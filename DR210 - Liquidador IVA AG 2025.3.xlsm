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danie\Desktop\"/>
    </mc:Choice>
  </mc:AlternateContent>
  <xr:revisionPtr revIDLastSave="0" documentId="13_ncr:1_{D3223BDA-EBB8-4398-A275-444E3D44D6B9}" xr6:coauthVersionLast="47" xr6:coauthVersionMax="47" xr10:uidLastSave="{00000000-0000-0000-0000-000000000000}"/>
  <workbookProtection workbookAlgorithmName="SHA-512" workbookHashValue="9ZBtceOZNVgF2gaCVxNll4JT4evfEGTsZ5R+sk3/tPXSzL2NTT2cGIv/6roaPHZoTaCG6BMDZjWaZJ6kmJ1u7w==" workbookSaltValue="HLYZRDr2ISsFx8KQA+CsDA==" workbookSpinCount="100000" lockStructure="1"/>
  <bookViews>
    <workbookView xWindow="-120" yWindow="-120" windowWidth="20730" windowHeight="11040" tabRatio="725" firstSheet="2" activeTab="2" xr2:uid="{00000000-000D-0000-FFFF-FFFF00000000}"/>
  </bookViews>
  <sheets>
    <sheet name="Datos" sheetId="26" state="veryHidden" r:id="rId1"/>
    <sheet name="Init" sheetId="39" state="veryHidden" r:id="rId2"/>
    <sheet name="Inicio" sheetId="2" r:id="rId3"/>
    <sheet name="Datos contribuyente" sheetId="27" r:id="rId4"/>
    <sheet name="F300-2025" sheetId="28" r:id="rId5"/>
    <sheet name="H.T 1" sheetId="12" r:id="rId6"/>
    <sheet name="H.T 2" sheetId="14" r:id="rId7"/>
    <sheet name="H.T 3" sheetId="29" r:id="rId8"/>
    <sheet name="H.T 4" sheetId="30" r:id="rId9"/>
    <sheet name="H.T 5" sheetId="31" r:id="rId10"/>
    <sheet name="H.T 6" sheetId="32" r:id="rId11"/>
    <sheet name="H.T 7" sheetId="33" r:id="rId12"/>
    <sheet name="H.T 8" sheetId="34" r:id="rId13"/>
    <sheet name="H.T 9" sheetId="35" r:id="rId14"/>
    <sheet name="H.T 10" sheetId="36" r:id="rId15"/>
    <sheet name="H.T 11" sheetId="37" r:id="rId16"/>
    <sheet name="H.T 12" sheetId="38" r:id="rId17"/>
  </sheets>
  <functionGroups builtInGroupCount="19"/>
  <definedNames>
    <definedName name="ANUAL_EXPORTAR">'F300-2025'!$B$404:$P$446</definedName>
    <definedName name="_xlnm.Print_Area" localSheetId="2">Inicio!$A$1:$J$18</definedName>
    <definedName name="BIMESTRE1_EXPORTAR">'F300-2025'!$B$6:$P$48</definedName>
    <definedName name="BIMESTRE2_EXPORTAR">'F300-2025'!$B$50:$P$92</definedName>
    <definedName name="BIMESTRE3_EXPORTAR">'F300-2025'!$B$94:$P$136</definedName>
    <definedName name="BIMESTRE4_EXPORTAR">'F300-2025'!$B$138:$P$180</definedName>
    <definedName name="BIMESTRE5_EXPORTAR">'F300-2025'!$B$184:$P$224</definedName>
    <definedName name="BIMESTRE6_EXPORTAR">'F300-2025'!$B$228:$P$268</definedName>
    <definedName name="CC">'Datos contribuyente'!$E$6</definedName>
    <definedName name="CUATRIMESTRE1_EXPORTAR">'F300-2025'!$B$272:$P$314</definedName>
    <definedName name="CUATRIMESTRE2_EXPORTAR">'F300-2025'!$B$316:$P$358</definedName>
    <definedName name="CUATRIMESTRE3_EXPORTAR">'F300-2025'!$B$360:$P$402</definedName>
    <definedName name="Desbloqueo_1" hidden="1">""</definedName>
    <definedName name="Desbloqueo_10" hidden="1">""</definedName>
    <definedName name="Desbloqueo_11" hidden="1">""</definedName>
    <definedName name="Desbloqueo_12" hidden="1">""</definedName>
    <definedName name="Desbloqueo_13" hidden="1">""</definedName>
    <definedName name="Desbloqueo_14" hidden="1">""</definedName>
    <definedName name="Desbloqueo_15" hidden="1">""</definedName>
    <definedName name="Desbloqueo_16" hidden="1">""</definedName>
    <definedName name="Desbloqueo_17" hidden="1">""</definedName>
    <definedName name="Desbloqueo_2" hidden="1">""</definedName>
    <definedName name="Desbloqueo_3" hidden="1">""</definedName>
    <definedName name="Desbloqueo_4" hidden="1">""</definedName>
    <definedName name="Desbloqueo_5" hidden="1">""</definedName>
    <definedName name="Desbloqueo_6" hidden="1">""</definedName>
    <definedName name="Desbloqueo_7" hidden="1">""</definedName>
    <definedName name="Desbloqueo_8" hidden="1">""</definedName>
    <definedName name="Desbloqueo_9" hidden="1">""</definedName>
    <definedName name="MSG_MACRO">"Debe habilitar las macros"</definedName>
    <definedName name="PARAMETRO_LOGIN" hidden="1">"1106226631"</definedName>
    <definedName name="PARAMETRO_NOMBRES_APELLIDOS" hidden="1">"Carlos Ramirez"</definedName>
    <definedName name="Plantilla_1001">'Datos contribuyente'!$23:$23</definedName>
    <definedName name="Plantilla_1002">'Datos contribuyente'!$37:$37</definedName>
    <definedName name="Plantilla_1003">'Datos contribuyente'!$51:$51</definedName>
    <definedName name="Plantilla_1004">'Datos contribuyente'!$64:$64</definedName>
    <definedName name="Plantilla_1005">'Datos contribuyente'!$77:$77</definedName>
    <definedName name="Plantilla_1006">'Datos contribuyente'!$90:$90</definedName>
    <definedName name="Plantilla_1007">'Datos contribuyente'!$103:$103</definedName>
    <definedName name="Plantilla_1008">'Datos contribuyente'!$117:$117</definedName>
    <definedName name="Plantilla_1009">'Datos contribuyente'!$130:$130</definedName>
    <definedName name="Plantilla_1010">'Datos contribuyente'!$144:$144</definedName>
    <definedName name="Plantilla_1011">'Datos contribuyente'!$158:$158</definedName>
    <definedName name="Plantilla_1012">'Datos contribuyente'!$172:$172</definedName>
    <definedName name="Plantilla_1013">'Datos contribuyente'!$185:$185</definedName>
    <definedName name="Plantilla_1014">'Datos contribuyente'!$198:$198</definedName>
    <definedName name="Plantilla_1015">'Datos contribuyente'!$212:$212</definedName>
    <definedName name="Plantilla_2001">'Datos contribuyente'!$228:$228</definedName>
    <definedName name="Plantilla_2002">'Datos contribuyente'!$242:$242</definedName>
    <definedName name="Plantilla_2003">'Datos contribuyente'!$256:$256</definedName>
    <definedName name="Plantilla_2004">'Datos contribuyente'!$269:$269</definedName>
    <definedName name="Plantilla_2005">'Datos contribuyente'!$282:$282</definedName>
    <definedName name="Plantilla_2006">'Datos contribuyente'!$296:$296</definedName>
    <definedName name="Plantilla_2007">'Datos contribuyente'!$310:$310</definedName>
    <definedName name="Plantilla_2008">'Datos contribuyente'!$324:$324</definedName>
    <definedName name="Plantilla_2009">'Datos contribuyente'!$338:$338</definedName>
    <definedName name="Plantilla_2010">'Datos contribuyente'!$352:$352</definedName>
    <definedName name="Plantilla_2011">'Datos contribuyente'!$365:$365</definedName>
    <definedName name="Plantilla_2012">'Datos contribuyente'!$379:$379</definedName>
    <definedName name="Plantilla_3001">'Datos contribuyente'!$395:$395</definedName>
    <definedName name="Plantilla_3002">'Datos contribuyente'!$409:$409</definedName>
    <definedName name="Plantilla_3003">'Datos contribuyente'!$423:$423</definedName>
    <definedName name="Plantilla_3004">'Datos contribuyente'!$437:$437</definedName>
    <definedName name="Plantilla_3005">'Datos contribuyente'!$451:$451</definedName>
    <definedName name="Plantilla_3006">'Datos contribuyente'!$465:$465</definedName>
    <definedName name="SALARIO_FORMATO1" hidden="1">"DN_31"</definedName>
    <definedName name="SALARIO_FORMATO2" hidden="1">"DN_"</definedName>
    <definedName name="SECCION1000">'Datos contribuyente'!$18:$220</definedName>
    <definedName name="SECCION1001">'Datos contribuyente'!$20:$31</definedName>
    <definedName name="SECCION1002">'Datos contribuyente'!$34:$45</definedName>
    <definedName name="SECCION1003">'Datos contribuyente'!$48:$59</definedName>
    <definedName name="SECCION1004">'Datos contribuyente'!$62:$72</definedName>
    <definedName name="SECCION1005">'Datos contribuyente'!$75:$85</definedName>
    <definedName name="SECCION1006">'Datos contribuyente'!$88:$98</definedName>
    <definedName name="SECCION1007">'Datos contribuyente'!$101:$111</definedName>
    <definedName name="SECCION1008">'Datos contribuyente'!$114:$125</definedName>
    <definedName name="SECCION1009">'Datos contribuyente'!$128:$138</definedName>
    <definedName name="SECCION1010">'Datos contribuyente'!$141:$152</definedName>
    <definedName name="SECCION1011">'Datos contribuyente'!$155:$166</definedName>
    <definedName name="SECCION1012">'Datos contribuyente'!$169:$180</definedName>
    <definedName name="SECCION1013">'Datos contribuyente'!$183:$193</definedName>
    <definedName name="SECCION1014">'Datos contribuyente'!$196:$206</definedName>
    <definedName name="SECCION1015">'Datos contribuyente'!$209:$220</definedName>
    <definedName name="SECCION2000">'Datos contribuyente'!$223:$387</definedName>
    <definedName name="SECCION2001">'Datos contribuyente'!$225:$236</definedName>
    <definedName name="SECCION2002">'Datos contribuyente'!$239:$250</definedName>
    <definedName name="SECCION2003">'Datos contribuyente'!$253:$264</definedName>
    <definedName name="SECCION2004">'Datos contribuyente'!$267:$277</definedName>
    <definedName name="SECCION2005">'Datos contribuyente'!$280:$290</definedName>
    <definedName name="SECCION2006">'Datos contribuyente'!$293:$304</definedName>
    <definedName name="SECCION2007">'Datos contribuyente'!$307:$318</definedName>
    <definedName name="SECCION2008">'Datos contribuyente'!$321:$332</definedName>
    <definedName name="SECCION2009">'Datos contribuyente'!$335:$346</definedName>
    <definedName name="SECCION2010">'Datos contribuyente'!$349:$360</definedName>
    <definedName name="SECCION2011">'Datos contribuyente'!$363:$373</definedName>
    <definedName name="SECCION2012">'Datos contribuyente'!$376:$387</definedName>
    <definedName name="SECCION3000">'Datos contribuyente'!$390:$473</definedName>
    <definedName name="SECCION3001">'Datos contribuyente'!$392:$403</definedName>
    <definedName name="SECCION3002">'Datos contribuyente'!$406:$417</definedName>
    <definedName name="SECCION3003">'Datos contribuyente'!$420:$431</definedName>
    <definedName name="SECCION3004">'Datos contribuyente'!$434:$445</definedName>
    <definedName name="SECCION3005">'Datos contribuyente'!$448:$459</definedName>
    <definedName name="SECCION3006">'Datos contribuyente'!$462:$473</definedName>
    <definedName name="SECCION4000">'Datos contribuyente'!$476:$879</definedName>
    <definedName name="SECCION4001">'Datos contribuyente'!$478:$717</definedName>
    <definedName name="SECCION4002">'Datos contribuyente'!$480:$517</definedName>
    <definedName name="SECCION4003">'Datos contribuyente'!$520:$557</definedName>
    <definedName name="SECCION4004">'Datos contribuyente'!$560:$597</definedName>
    <definedName name="SECCION4005">'Datos contribuyente'!$600:$637</definedName>
    <definedName name="SECCION4006">'Datos contribuyente'!$640:$677</definedName>
    <definedName name="SECCION4007">'Datos contribuyente'!$680:$717</definedName>
    <definedName name="SECCION4008">'Datos contribuyente'!$720:$839</definedName>
    <definedName name="SECCION4009">'Datos contribuyente'!$722:$759</definedName>
    <definedName name="SECCION4010">'Datos contribuyente'!$762:$799</definedName>
    <definedName name="SECCION4011">'Datos contribuyente'!$802:$839</definedName>
    <definedName name="SECCION4012">'Datos contribuyente'!$842:$879</definedName>
    <definedName name="SECCION5000">'Datos contribuyente'!$882:$946</definedName>
    <definedName name="SECCION5001">'Datos contribuyente'!$884:$916</definedName>
    <definedName name="SECCION5002">'Datos contribuyente'!$919:$946</definedName>
    <definedName name="SECCION6000">'Datos contribuyente'!$949:$1000</definedName>
    <definedName name="SECCION6001">'Datos contribuyente'!$951:$968</definedName>
    <definedName name="SECCION6002">'Datos contribuyente'!$971:$985</definedName>
    <definedName name="SECCION6003">'Datos contribuyente'!$988:$1000</definedName>
    <definedName name="SECCION7000">'Datos contribuyente'!$1003:$1014</definedName>
    <definedName name="SECCION8000">'F300-2025'!$6:$269</definedName>
    <definedName name="SECCION8001">'F300-2025'!$8:$49</definedName>
    <definedName name="SECCION8002">'F300-2025'!$52:$93</definedName>
    <definedName name="SECCION8003">'F300-2025'!$96:$137</definedName>
    <definedName name="SECCION8004">'F300-2025'!$140:$181</definedName>
    <definedName name="SECCION8005">'F300-2025'!$184:$225</definedName>
    <definedName name="SECCION8006">'F300-2025'!$228:$269</definedName>
    <definedName name="SECCION9000">'F300-2025'!$272:$403</definedName>
    <definedName name="SECCION9001">'F300-2025'!$274:$315</definedName>
    <definedName name="SECCION9002">'F300-2025'!$318:$359</definedName>
    <definedName name="SECCION9003">'F300-2025'!$362:$403</definedName>
    <definedName name="SECCION9004">'F300-2025'!$406:$447</definedName>
    <definedName name="TIT_SECCION1000">'Datos contribuyente'!$B$16</definedName>
    <definedName name="TIT_SECCION1001">'Datos contribuyente'!$B$18</definedName>
    <definedName name="TIT_SECCION1002">'Datos contribuyente'!$B$32</definedName>
    <definedName name="TIT_SECCION1003">'Datos contribuyente'!$B$46</definedName>
    <definedName name="TIT_SECCION1004">'Datos contribuyente'!$B$60</definedName>
    <definedName name="TIT_SECCION1005">'Datos contribuyente'!$B$73</definedName>
    <definedName name="TIT_SECCION1006">'Datos contribuyente'!$B$86</definedName>
    <definedName name="TIT_SECCION1007">'Datos contribuyente'!$B$99</definedName>
    <definedName name="TIT_SECCION1008">'Datos contribuyente'!$B$112</definedName>
    <definedName name="TIT_SECCION1009">'Datos contribuyente'!$B$126</definedName>
    <definedName name="TIT_SECCION1010">'Datos contribuyente'!$B$139</definedName>
    <definedName name="TIT_SECCION1011">'Datos contribuyente'!$B$153</definedName>
    <definedName name="TIT_SECCION1012">'Datos contribuyente'!$B$167</definedName>
    <definedName name="TIT_SECCION1013">'Datos contribuyente'!$B$181</definedName>
    <definedName name="TIT_SECCION1014">'Datos contribuyente'!$B$194</definedName>
    <definedName name="TIT_SECCION1015">'Datos contribuyente'!$B$207</definedName>
    <definedName name="TIT_SECCION2000">'Datos contribuyente'!$B$221</definedName>
    <definedName name="TIT_SECCION2001">'Datos contribuyente'!$B$223</definedName>
    <definedName name="TIT_SECCION2002">'Datos contribuyente'!$B$237</definedName>
    <definedName name="TIT_SECCION2003">'Datos contribuyente'!$B$251</definedName>
    <definedName name="TIT_SECCION2004">'Datos contribuyente'!$B$265</definedName>
    <definedName name="TIT_SECCION2005">'Datos contribuyente'!$B$278</definedName>
    <definedName name="TIT_SECCION2006">'Datos contribuyente'!$B$291</definedName>
    <definedName name="TIT_SECCION2007">'Datos contribuyente'!$B$305</definedName>
    <definedName name="TIT_SECCION2008">'Datos contribuyente'!$B$319</definedName>
    <definedName name="TIT_SECCION2009">'Datos contribuyente'!$B$333</definedName>
    <definedName name="TIT_SECCION2010">'Datos contribuyente'!$B$347</definedName>
    <definedName name="TIT_SECCION2011">'Datos contribuyente'!$B$361</definedName>
    <definedName name="TIT_SECCION2012">'Datos contribuyente'!$B$374</definedName>
    <definedName name="TIT_SECCION3000">'Datos contribuyente'!$B$388</definedName>
    <definedName name="TIT_SECCION3001">'Datos contribuyente'!$B$390</definedName>
    <definedName name="TIT_SECCION3002">'Datos contribuyente'!$B$404</definedName>
    <definedName name="TIT_SECCION3003">'Datos contribuyente'!$B$418</definedName>
    <definedName name="TIT_SECCION3004">'Datos contribuyente'!$B$432</definedName>
    <definedName name="TIT_SECCION3005">'Datos contribuyente'!$B$446</definedName>
    <definedName name="TIT_SECCION3006">'Datos contribuyente'!$B$460</definedName>
    <definedName name="TIT_SECCION4000">'Datos contribuyente'!$B$474</definedName>
    <definedName name="TIT_SECCION4001">'Datos contribuyente'!$B$476</definedName>
    <definedName name="TIT_SECCION4002">'Datos contribuyente'!$B$478</definedName>
    <definedName name="TIT_SECCION4003">'Datos contribuyente'!$B$518</definedName>
    <definedName name="TIT_SECCION4004">'Datos contribuyente'!$B$558</definedName>
    <definedName name="TIT_SECCION4005">'Datos contribuyente'!$B$598</definedName>
    <definedName name="TIT_SECCION4006">'Datos contribuyente'!$B$638</definedName>
    <definedName name="TIT_SECCION4007">'Datos contribuyente'!$B$678</definedName>
    <definedName name="TIT_SECCION4008">'Datos contribuyente'!$B$718</definedName>
    <definedName name="TIT_SECCION4009">'Datos contribuyente'!$B$720</definedName>
    <definedName name="TIT_SECCION4010">'Datos contribuyente'!$B$760</definedName>
    <definedName name="TIT_SECCION4011">'Datos contribuyente'!$B$800</definedName>
    <definedName name="TIT_SECCION4012">'Datos contribuyente'!$B$840</definedName>
    <definedName name="TIT_SECCION5000">'Datos contribuyente'!$B$880</definedName>
    <definedName name="TIT_SECCION5001">'Datos contribuyente'!$B$882</definedName>
    <definedName name="TIT_SECCION5002">'Datos contribuyente'!$B$917</definedName>
    <definedName name="TIT_SECCION6000">'Datos contribuyente'!$B$947</definedName>
    <definedName name="TIT_SECCION6001">'Datos contribuyente'!$B$949</definedName>
    <definedName name="TIT_SECCION6002">'Datos contribuyente'!$B$969</definedName>
    <definedName name="TIT_SECCION6003">'Datos contribuyente'!$B$986</definedName>
    <definedName name="TIT_SECCION7000">'Datos contribuyente'!$B$1001</definedName>
    <definedName name="TIT_SECCION8000">'F300-2025'!$B$4</definedName>
    <definedName name="TIT_SECCION8001">'F300-2025'!$B$6</definedName>
    <definedName name="TIT_SECCION8002">'F300-2025'!$B$50</definedName>
    <definedName name="TIT_SECCION8003">'F300-2025'!$B$94</definedName>
    <definedName name="TIT_SECCION8004">'F300-2025'!$B$138</definedName>
    <definedName name="TIT_SECCION8005">'F300-2025'!$B$182</definedName>
    <definedName name="TIT_SECCION8006">'F300-2025'!$B$226</definedName>
    <definedName name="TIT_SECCION9000">'F300-2025'!$B$270</definedName>
    <definedName name="TIT_SECCION9001">'F300-2025'!$B$272</definedName>
    <definedName name="TIT_SECCION9002">'F300-2025'!$B$316</definedName>
    <definedName name="TIT_SECCION9003">'F300-2025'!$B$360</definedName>
    <definedName name="TIT_SECCION9004">'F300-2025'!$B$404</definedName>
    <definedName name="Ult_1001">'Datos contribuyente'!$29:$29</definedName>
    <definedName name="Ult_1002">'Datos contribuyente'!$43:$43</definedName>
    <definedName name="Ult_1003">'Datos contribuyente'!$57:$57</definedName>
    <definedName name="Ult_1004">'Datos contribuyente'!$70:$70</definedName>
    <definedName name="Ult_1005">'Datos contribuyente'!$83:$83</definedName>
    <definedName name="Ult_1006">'Datos contribuyente'!$96:$96</definedName>
    <definedName name="Ult_1007">'Datos contribuyente'!$109:$109</definedName>
    <definedName name="Ult_1008">'Datos contribuyente'!$123:$123</definedName>
    <definedName name="Ult_1009">'Datos contribuyente'!$136:$136</definedName>
    <definedName name="Ult_1010">'Datos contribuyente'!$150:$150</definedName>
    <definedName name="Ult_1011">'Datos contribuyente'!$164:$164</definedName>
    <definedName name="Ult_1012">'Datos contribuyente'!$178:$178</definedName>
    <definedName name="Ult_1013">'Datos contribuyente'!$191:$191</definedName>
    <definedName name="Ult_1014">'Datos contribuyente'!$204:$204</definedName>
    <definedName name="Ult_1015">'Datos contribuyente'!$D$218</definedName>
    <definedName name="Ult_2001">'Datos contribuyente'!$234:$234</definedName>
    <definedName name="Ult_2002">'Datos contribuyente'!$248:$248</definedName>
    <definedName name="Ult_2003">'Datos contribuyente'!$262:$262</definedName>
    <definedName name="Ult_2004">'Datos contribuyente'!$275:$275</definedName>
    <definedName name="Ult_2005">'Datos contribuyente'!$288:$288</definedName>
    <definedName name="Ult_2006">'Datos contribuyente'!$302:$302</definedName>
    <definedName name="Ult_2007">'Datos contribuyente'!$316:$316</definedName>
    <definedName name="Ult_2008">'Datos contribuyente'!$330:$330</definedName>
    <definedName name="Ult_2009">'Datos contribuyente'!$344:$344</definedName>
    <definedName name="Ult_2010">'Datos contribuyente'!$358:$358</definedName>
    <definedName name="Ult_2011">'Datos contribuyente'!$371:$371</definedName>
    <definedName name="Ult_2012">'Datos contribuyente'!$385:$385</definedName>
    <definedName name="Ult_3001">'Datos contribuyente'!$401:$401</definedName>
    <definedName name="Ult_3002">'Datos contribuyente'!$415:$415</definedName>
    <definedName name="Ult_3003">'Datos contribuyente'!$429:$429</definedName>
    <definedName name="Ult_3004">'Datos contribuyente'!$443:$443</definedName>
    <definedName name="Ult_3005">'Datos contribuyente'!$457:$457</definedName>
    <definedName name="Ult_3006">'Datos contribuyente'!$471:$471</definedName>
    <definedName name="UVT_FORMATO1" hidden="1">"DN_63643162386335372D656239652D346465322D626138662D376431623937636237333264"</definedName>
    <definedName name="UVT_FORMATO2" hidden="1">"DN_3436303433"</definedName>
    <definedName name="UVT_FORMATO3" hidden="1">"DN_3436303433"</definedName>
    <definedName name="UVT_FORMATO4" hidden="1">"DN_3436303432"</definedName>
    <definedName name="UVT_FORMATO5" hidden="1">"DN_343139383737"</definedName>
    <definedName name="X_2">Inicio!$B$16</definedName>
    <definedName name="X_5">'Datos contribuyente'!$B$1</definedName>
  </definedNames>
  <calcPr calcId="191029" calcOnSave="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07" i="28" l="1"/>
  <c r="D409" i="28"/>
  <c r="F410" i="28"/>
  <c r="I30" i="27"/>
  <c r="M30" i="27"/>
  <c r="Q30" i="27"/>
  <c r="U30" i="27"/>
  <c r="Y30" i="27"/>
  <c r="AC30" i="27"/>
  <c r="AG30" i="27"/>
  <c r="AK30" i="27"/>
  <c r="AO30" i="27"/>
  <c r="AS30" i="27"/>
  <c r="AW30" i="27"/>
  <c r="BA30" i="27"/>
  <c r="E845" i="27"/>
  <c r="G411" i="28"/>
  <c r="K151" i="27"/>
  <c r="O151" i="27"/>
  <c r="S151" i="27"/>
  <c r="W151" i="27"/>
  <c r="AA151" i="27"/>
  <c r="AE151" i="27"/>
  <c r="AI151" i="27"/>
  <c r="AM151" i="27"/>
  <c r="AQ151" i="27"/>
  <c r="AU151" i="27"/>
  <c r="AY151" i="27"/>
  <c r="BC151" i="27"/>
  <c r="O411" i="28"/>
  <c r="I44" i="27"/>
  <c r="M44" i="27"/>
  <c r="Q44" i="27"/>
  <c r="U44" i="27"/>
  <c r="Y44" i="27"/>
  <c r="AC44" i="27"/>
  <c r="AG44" i="27"/>
  <c r="AK44" i="27"/>
  <c r="AO44" i="27"/>
  <c r="AS44" i="27"/>
  <c r="AW44" i="27"/>
  <c r="BA44" i="27"/>
  <c r="E846" i="27"/>
  <c r="G412" i="28"/>
  <c r="K165" i="27"/>
  <c r="O165" i="27"/>
  <c r="S165" i="27"/>
  <c r="W165" i="27"/>
  <c r="AA165" i="27"/>
  <c r="AE165" i="27"/>
  <c r="AI165" i="27"/>
  <c r="AM165" i="27"/>
  <c r="AQ165" i="27"/>
  <c r="AU165" i="27"/>
  <c r="AY165" i="27"/>
  <c r="BC165" i="27"/>
  <c r="O412" i="28"/>
  <c r="I58" i="27"/>
  <c r="M58" i="27"/>
  <c r="Q58" i="27"/>
  <c r="U58" i="27"/>
  <c r="Y58" i="27"/>
  <c r="AC58" i="27"/>
  <c r="AG58" i="27"/>
  <c r="AK58" i="27"/>
  <c r="AO58" i="27"/>
  <c r="AS58" i="27"/>
  <c r="AW58" i="27"/>
  <c r="BA58" i="27"/>
  <c r="E847" i="27"/>
  <c r="G413" i="28"/>
  <c r="K179" i="27"/>
  <c r="O179" i="27"/>
  <c r="S179" i="27"/>
  <c r="W179" i="27"/>
  <c r="AA179" i="27"/>
  <c r="AE179" i="27"/>
  <c r="AI179" i="27"/>
  <c r="AM179" i="27"/>
  <c r="AQ179" i="27"/>
  <c r="AU179" i="27"/>
  <c r="AY179" i="27"/>
  <c r="BC179" i="27"/>
  <c r="O413" i="28"/>
  <c r="I71" i="27"/>
  <c r="M71" i="27"/>
  <c r="Q71" i="27"/>
  <c r="U71" i="27"/>
  <c r="Y71" i="27"/>
  <c r="AC71" i="27"/>
  <c r="AG71" i="27"/>
  <c r="AK71" i="27"/>
  <c r="AO71" i="27"/>
  <c r="AS71" i="27"/>
  <c r="AW71" i="27"/>
  <c r="BA71" i="27"/>
  <c r="E848" i="27"/>
  <c r="G414" i="28"/>
  <c r="K402" i="27"/>
  <c r="O402" i="27"/>
  <c r="S402" i="27"/>
  <c r="W402" i="27"/>
  <c r="AA402" i="27"/>
  <c r="AE402" i="27"/>
  <c r="AI402" i="27"/>
  <c r="AM402" i="27"/>
  <c r="AQ402" i="27"/>
  <c r="AU402" i="27"/>
  <c r="AY402" i="27"/>
  <c r="BC402" i="27"/>
  <c r="O414" i="28"/>
  <c r="I84" i="27"/>
  <c r="M84" i="27"/>
  <c r="Q84" i="27"/>
  <c r="U84" i="27"/>
  <c r="Y84" i="27"/>
  <c r="AC84" i="27"/>
  <c r="AG84" i="27"/>
  <c r="AK84" i="27"/>
  <c r="AO84" i="27"/>
  <c r="AS84" i="27"/>
  <c r="AW84" i="27"/>
  <c r="BA84" i="27"/>
  <c r="E849" i="27"/>
  <c r="G415" i="28"/>
  <c r="I97" i="27"/>
  <c r="M97" i="27"/>
  <c r="Q97" i="27"/>
  <c r="U97" i="27"/>
  <c r="Y97" i="27"/>
  <c r="AC97" i="27"/>
  <c r="AG97" i="27"/>
  <c r="AK97" i="27"/>
  <c r="AO97" i="27"/>
  <c r="AS97" i="27"/>
  <c r="AW97" i="27"/>
  <c r="BA97" i="27"/>
  <c r="E850" i="27"/>
  <c r="G416" i="28"/>
  <c r="I110" i="27"/>
  <c r="M110" i="27"/>
  <c r="Q110" i="27"/>
  <c r="U110" i="27"/>
  <c r="Y110" i="27"/>
  <c r="AC110" i="27"/>
  <c r="AG110" i="27"/>
  <c r="AK110" i="27"/>
  <c r="AO110" i="27"/>
  <c r="AS110" i="27"/>
  <c r="AW110" i="27"/>
  <c r="BA110" i="27"/>
  <c r="E851" i="27"/>
  <c r="G417" i="28"/>
  <c r="I124" i="27"/>
  <c r="M124" i="27"/>
  <c r="Q124" i="27"/>
  <c r="U124" i="27"/>
  <c r="Y124" i="27"/>
  <c r="AC124" i="27"/>
  <c r="AG124" i="27"/>
  <c r="AK124" i="27"/>
  <c r="AO124" i="27"/>
  <c r="AS124" i="27"/>
  <c r="AW124" i="27"/>
  <c r="BA124" i="27"/>
  <c r="E852" i="27"/>
  <c r="G418" i="28"/>
  <c r="I137" i="27"/>
  <c r="M137" i="27"/>
  <c r="Q137" i="27"/>
  <c r="U137" i="27"/>
  <c r="Y137" i="27"/>
  <c r="AC137" i="27"/>
  <c r="AG137" i="27"/>
  <c r="AK137" i="27"/>
  <c r="AO137" i="27"/>
  <c r="AS137" i="27"/>
  <c r="AW137" i="27"/>
  <c r="BA137" i="27"/>
  <c r="E853" i="27"/>
  <c r="G419" i="28"/>
  <c r="I151" i="27"/>
  <c r="M151" i="27"/>
  <c r="Q151" i="27"/>
  <c r="U151" i="27"/>
  <c r="Y151" i="27"/>
  <c r="AC151" i="27"/>
  <c r="AG151" i="27"/>
  <c r="AK151" i="27"/>
  <c r="AO151" i="27"/>
  <c r="AS151" i="27"/>
  <c r="AW151" i="27"/>
  <c r="BA151" i="27"/>
  <c r="E854" i="27"/>
  <c r="G420" i="28"/>
  <c r="I165" i="27"/>
  <c r="M165" i="27"/>
  <c r="Q165" i="27"/>
  <c r="U165" i="27"/>
  <c r="Y165" i="27"/>
  <c r="AC165" i="27"/>
  <c r="AG165" i="27"/>
  <c r="AK165" i="27"/>
  <c r="AO165" i="27"/>
  <c r="AS165" i="27"/>
  <c r="AW165" i="27"/>
  <c r="BA165" i="27"/>
  <c r="E855" i="27"/>
  <c r="G421" i="28"/>
  <c r="I179" i="27"/>
  <c r="M179" i="27"/>
  <c r="Q179" i="27"/>
  <c r="U179" i="27"/>
  <c r="Y179" i="27"/>
  <c r="AC179" i="27"/>
  <c r="AG179" i="27"/>
  <c r="AK179" i="27"/>
  <c r="AO179" i="27"/>
  <c r="AS179" i="27"/>
  <c r="AW179" i="27"/>
  <c r="BA179" i="27"/>
  <c r="E856" i="27"/>
  <c r="G422" i="28"/>
  <c r="I192" i="27"/>
  <c r="M192" i="27"/>
  <c r="Q192" i="27"/>
  <c r="U192" i="27"/>
  <c r="Y192" i="27"/>
  <c r="AC192" i="27"/>
  <c r="AG192" i="27"/>
  <c r="AK192" i="27"/>
  <c r="AO192" i="27"/>
  <c r="AS192" i="27"/>
  <c r="AW192" i="27"/>
  <c r="BA192" i="27"/>
  <c r="E857" i="27"/>
  <c r="G423" i="28"/>
  <c r="I205" i="27"/>
  <c r="M205" i="27"/>
  <c r="Q205" i="27"/>
  <c r="U205" i="27"/>
  <c r="Y205" i="27"/>
  <c r="AC205" i="27"/>
  <c r="AG205" i="27"/>
  <c r="AK205" i="27"/>
  <c r="AO205" i="27"/>
  <c r="AS205" i="27"/>
  <c r="AW205" i="27"/>
  <c r="BA205" i="27"/>
  <c r="E858" i="27"/>
  <c r="G424" i="28"/>
  <c r="G425" i="28"/>
  <c r="K386" i="27"/>
  <c r="O386" i="27"/>
  <c r="S386" i="27"/>
  <c r="W386" i="27"/>
  <c r="AA386" i="27"/>
  <c r="AE386" i="27"/>
  <c r="AI386" i="27"/>
  <c r="AM386" i="27"/>
  <c r="AQ386" i="27"/>
  <c r="AU386" i="27"/>
  <c r="AY386" i="27"/>
  <c r="BC386" i="27"/>
  <c r="E869" i="27"/>
  <c r="O415" i="28"/>
  <c r="K30" i="27"/>
  <c r="O30" i="27"/>
  <c r="S30" i="27"/>
  <c r="W30" i="27"/>
  <c r="AA30" i="27"/>
  <c r="AE30" i="27"/>
  <c r="AI30" i="27"/>
  <c r="AM30" i="27"/>
  <c r="AQ30" i="27"/>
  <c r="AU30" i="27"/>
  <c r="AY30" i="27"/>
  <c r="BC30" i="27"/>
  <c r="G442" i="28"/>
  <c r="K44" i="27"/>
  <c r="O44" i="27"/>
  <c r="S44" i="27"/>
  <c r="W44" i="27"/>
  <c r="AA44" i="27"/>
  <c r="AE44" i="27"/>
  <c r="AI44" i="27"/>
  <c r="AM44" i="27"/>
  <c r="AQ44" i="27"/>
  <c r="AU44" i="27"/>
  <c r="AY44" i="27"/>
  <c r="BC44" i="27"/>
  <c r="G443" i="28"/>
  <c r="K58" i="27"/>
  <c r="O58" i="27"/>
  <c r="S58" i="27"/>
  <c r="W58" i="27"/>
  <c r="AA58" i="27"/>
  <c r="AE58" i="27"/>
  <c r="AI58" i="27"/>
  <c r="AM58" i="27"/>
  <c r="AQ58" i="27"/>
  <c r="AU58" i="27"/>
  <c r="AY58" i="27"/>
  <c r="BC58" i="27"/>
  <c r="G444" i="28"/>
  <c r="K124" i="27"/>
  <c r="O124" i="27"/>
  <c r="S124" i="27"/>
  <c r="W124" i="27"/>
  <c r="AA124" i="27"/>
  <c r="AE124" i="27"/>
  <c r="AI124" i="27"/>
  <c r="AM124" i="27"/>
  <c r="AQ124" i="27"/>
  <c r="AU124" i="27"/>
  <c r="AY124" i="27"/>
  <c r="BC124" i="27"/>
  <c r="G445" i="28"/>
  <c r="O416" i="28"/>
  <c r="K235" i="27"/>
  <c r="O235" i="27"/>
  <c r="S235" i="27"/>
  <c r="W235" i="27"/>
  <c r="AA235" i="27"/>
  <c r="AE235" i="27"/>
  <c r="AI235" i="27"/>
  <c r="AM235" i="27"/>
  <c r="AQ235" i="27"/>
  <c r="AU235" i="27"/>
  <c r="AY235" i="27"/>
  <c r="BC235" i="27"/>
  <c r="E870" i="27"/>
  <c r="O417" i="28"/>
  <c r="K249" i="27"/>
  <c r="O249" i="27"/>
  <c r="S249" i="27"/>
  <c r="W249" i="27"/>
  <c r="AA249" i="27"/>
  <c r="AE249" i="27"/>
  <c r="AI249" i="27"/>
  <c r="AM249" i="27"/>
  <c r="AQ249" i="27"/>
  <c r="AU249" i="27"/>
  <c r="AY249" i="27"/>
  <c r="BC249" i="27"/>
  <c r="E871" i="27"/>
  <c r="O418" i="28"/>
  <c r="K263" i="27"/>
  <c r="O263" i="27"/>
  <c r="S263" i="27"/>
  <c r="W263" i="27"/>
  <c r="AA263" i="27"/>
  <c r="AE263" i="27"/>
  <c r="AI263" i="27"/>
  <c r="AM263" i="27"/>
  <c r="AQ263" i="27"/>
  <c r="AU263" i="27"/>
  <c r="AY263" i="27"/>
  <c r="BC263" i="27"/>
  <c r="E872" i="27"/>
  <c r="O419" i="28"/>
  <c r="K317" i="27"/>
  <c r="O317" i="27"/>
  <c r="S317" i="27"/>
  <c r="W317" i="27"/>
  <c r="AA317" i="27"/>
  <c r="AE317" i="27"/>
  <c r="AI317" i="27"/>
  <c r="AM317" i="27"/>
  <c r="AQ317" i="27"/>
  <c r="AU317" i="27"/>
  <c r="AY317" i="27"/>
  <c r="BC317" i="27"/>
  <c r="E873" i="27"/>
  <c r="O420" i="28"/>
  <c r="K331" i="27"/>
  <c r="O331" i="27"/>
  <c r="S331" i="27"/>
  <c r="W331" i="27"/>
  <c r="AA331" i="27"/>
  <c r="AE331" i="27"/>
  <c r="AI331" i="27"/>
  <c r="AM331" i="27"/>
  <c r="AQ331" i="27"/>
  <c r="AU331" i="27"/>
  <c r="AY331" i="27"/>
  <c r="BC331" i="27"/>
  <c r="E874" i="27"/>
  <c r="O421" i="28"/>
  <c r="K416" i="27"/>
  <c r="O416" i="27"/>
  <c r="S416" i="27"/>
  <c r="W416" i="27"/>
  <c r="AA416" i="27"/>
  <c r="AE416" i="27"/>
  <c r="AI416" i="27"/>
  <c r="AM416" i="27"/>
  <c r="AQ416" i="27"/>
  <c r="AU416" i="27"/>
  <c r="AY416" i="27"/>
  <c r="BC416" i="27"/>
  <c r="E875" i="27"/>
  <c r="O422" i="28"/>
  <c r="K430" i="27"/>
  <c r="O430" i="27"/>
  <c r="S430" i="27"/>
  <c r="W430" i="27"/>
  <c r="AA430" i="27"/>
  <c r="AE430" i="27"/>
  <c r="AI430" i="27"/>
  <c r="AM430" i="27"/>
  <c r="AQ430" i="27"/>
  <c r="AU430" i="27"/>
  <c r="AY430" i="27"/>
  <c r="BC430" i="27"/>
  <c r="O425" i="28"/>
  <c r="K444" i="27"/>
  <c r="O444" i="27"/>
  <c r="S444" i="27"/>
  <c r="W444" i="27"/>
  <c r="AA444" i="27"/>
  <c r="AE444" i="27"/>
  <c r="AI444" i="27"/>
  <c r="AM444" i="27"/>
  <c r="AQ444" i="27"/>
  <c r="AU444" i="27"/>
  <c r="AY444" i="27"/>
  <c r="BC444" i="27"/>
  <c r="O427" i="28"/>
  <c r="I235" i="27"/>
  <c r="M235" i="27"/>
  <c r="Q235" i="27"/>
  <c r="U235" i="27"/>
  <c r="Y235" i="27"/>
  <c r="AC235" i="27"/>
  <c r="AG235" i="27"/>
  <c r="AK235" i="27"/>
  <c r="AO235" i="27"/>
  <c r="AS235" i="27"/>
  <c r="AW235" i="27"/>
  <c r="BA235" i="27"/>
  <c r="G428" i="28"/>
  <c r="I249" i="27"/>
  <c r="M249" i="27"/>
  <c r="Q249" i="27"/>
  <c r="U249" i="27"/>
  <c r="Y249" i="27"/>
  <c r="AC249" i="27"/>
  <c r="AG249" i="27"/>
  <c r="AK249" i="27"/>
  <c r="AO249" i="27"/>
  <c r="AS249" i="27"/>
  <c r="AW249" i="27"/>
  <c r="BA249" i="27"/>
  <c r="G429" i="28"/>
  <c r="I263" i="27"/>
  <c r="M263" i="27"/>
  <c r="Q263" i="27"/>
  <c r="U263" i="27"/>
  <c r="Y263" i="27"/>
  <c r="AC263" i="27"/>
  <c r="AG263" i="27"/>
  <c r="AK263" i="27"/>
  <c r="AO263" i="27"/>
  <c r="AS263" i="27"/>
  <c r="AW263" i="27"/>
  <c r="BA263" i="27"/>
  <c r="G430" i="28"/>
  <c r="I276" i="27"/>
  <c r="M276" i="27"/>
  <c r="Q276" i="27"/>
  <c r="U276" i="27"/>
  <c r="Y276" i="27"/>
  <c r="AC276" i="27"/>
  <c r="AG276" i="27"/>
  <c r="AK276" i="27"/>
  <c r="AO276" i="27"/>
  <c r="AS276" i="27"/>
  <c r="AW276" i="27"/>
  <c r="BA276" i="27"/>
  <c r="G431" i="28"/>
  <c r="I289" i="27"/>
  <c r="M289" i="27"/>
  <c r="Q289" i="27"/>
  <c r="U289" i="27"/>
  <c r="Y289" i="27"/>
  <c r="AC289" i="27"/>
  <c r="AG289" i="27"/>
  <c r="AK289" i="27"/>
  <c r="AO289" i="27"/>
  <c r="AS289" i="27"/>
  <c r="AW289" i="27"/>
  <c r="BA289" i="27"/>
  <c r="G432" i="28"/>
  <c r="I303" i="27"/>
  <c r="M303" i="27"/>
  <c r="Q303" i="27"/>
  <c r="U303" i="27"/>
  <c r="Y303" i="27"/>
  <c r="AC303" i="27"/>
  <c r="AG303" i="27"/>
  <c r="AK303" i="27"/>
  <c r="AO303" i="27"/>
  <c r="AS303" i="27"/>
  <c r="AW303" i="27"/>
  <c r="BA303" i="27"/>
  <c r="G433" i="28"/>
  <c r="I317" i="27"/>
  <c r="M317" i="27"/>
  <c r="Q317" i="27"/>
  <c r="U317" i="27"/>
  <c r="Y317" i="27"/>
  <c r="AC317" i="27"/>
  <c r="AG317" i="27"/>
  <c r="AK317" i="27"/>
  <c r="AO317" i="27"/>
  <c r="AS317" i="27"/>
  <c r="AW317" i="27"/>
  <c r="BA317" i="27"/>
  <c r="G434" i="28"/>
  <c r="I331" i="27"/>
  <c r="M331" i="27"/>
  <c r="Q331" i="27"/>
  <c r="U331" i="27"/>
  <c r="Y331" i="27"/>
  <c r="AC331" i="27"/>
  <c r="AG331" i="27"/>
  <c r="AK331" i="27"/>
  <c r="AO331" i="27"/>
  <c r="AS331" i="27"/>
  <c r="AW331" i="27"/>
  <c r="BA331" i="27"/>
  <c r="G435" i="28"/>
  <c r="I345" i="27"/>
  <c r="M345" i="27"/>
  <c r="Q345" i="27"/>
  <c r="U345" i="27"/>
  <c r="Y345" i="27"/>
  <c r="AC345" i="27"/>
  <c r="AG345" i="27"/>
  <c r="AK345" i="27"/>
  <c r="AO345" i="27"/>
  <c r="AS345" i="27"/>
  <c r="AW345" i="27"/>
  <c r="BA345" i="27"/>
  <c r="G436" i="28"/>
  <c r="I359" i="27"/>
  <c r="M359" i="27"/>
  <c r="Q359" i="27"/>
  <c r="U359" i="27"/>
  <c r="Y359" i="27"/>
  <c r="AC359" i="27"/>
  <c r="AG359" i="27"/>
  <c r="AK359" i="27"/>
  <c r="AO359" i="27"/>
  <c r="AS359" i="27"/>
  <c r="AW359" i="27"/>
  <c r="BA359" i="27"/>
  <c r="G437" i="28"/>
  <c r="I372" i="27"/>
  <c r="M372" i="27"/>
  <c r="Q372" i="27"/>
  <c r="U372" i="27"/>
  <c r="Y372" i="27"/>
  <c r="AC372" i="27"/>
  <c r="AG372" i="27"/>
  <c r="AK372" i="27"/>
  <c r="AO372" i="27"/>
  <c r="AS372" i="27"/>
  <c r="AW372" i="27"/>
  <c r="BA372" i="27"/>
  <c r="G438" i="28"/>
  <c r="G439" i="28"/>
  <c r="I386" i="27"/>
  <c r="M386" i="27"/>
  <c r="Q386" i="27"/>
  <c r="U386" i="27"/>
  <c r="Y386" i="27"/>
  <c r="AC386" i="27"/>
  <c r="AG386" i="27"/>
  <c r="AK386" i="27"/>
  <c r="AO386" i="27"/>
  <c r="AS386" i="27"/>
  <c r="AW386" i="27"/>
  <c r="BA386" i="27"/>
  <c r="G440" i="28"/>
  <c r="G441" i="28"/>
  <c r="K219" i="27"/>
  <c r="O219" i="27"/>
  <c r="S219" i="27"/>
  <c r="W219" i="27"/>
  <c r="AA219" i="27"/>
  <c r="AE219" i="27"/>
  <c r="AI219" i="27"/>
  <c r="AM219" i="27"/>
  <c r="AQ219" i="27"/>
  <c r="AU219" i="27"/>
  <c r="AY219" i="27"/>
  <c r="BC219" i="27"/>
  <c r="O428" i="28"/>
  <c r="K458" i="27"/>
  <c r="O458" i="27"/>
  <c r="S458" i="27"/>
  <c r="W458" i="27"/>
  <c r="AA458" i="27"/>
  <c r="AE458" i="27"/>
  <c r="AI458" i="27"/>
  <c r="AM458" i="27"/>
  <c r="AQ458" i="27"/>
  <c r="AU458" i="27"/>
  <c r="AY458" i="27"/>
  <c r="BC458" i="27"/>
  <c r="O429" i="28"/>
  <c r="O433" i="28"/>
  <c r="K472" i="27"/>
  <c r="O472" i="27"/>
  <c r="S472" i="27"/>
  <c r="W472" i="27"/>
  <c r="AA472" i="27"/>
  <c r="AE472" i="27"/>
  <c r="AI472" i="27"/>
  <c r="AM472" i="27"/>
  <c r="AQ472" i="27"/>
  <c r="AU472" i="27"/>
  <c r="AY472" i="27"/>
  <c r="BC472" i="27"/>
  <c r="O434" i="28"/>
  <c r="O436" i="28"/>
  <c r="O439" i="28"/>
  <c r="O441" i="28"/>
  <c r="D275" i="28"/>
  <c r="D277" i="28"/>
  <c r="F278" i="28"/>
  <c r="G279" i="28"/>
  <c r="O279" i="28"/>
  <c r="G280" i="28"/>
  <c r="O280" i="28"/>
  <c r="G281" i="28"/>
  <c r="O281" i="28"/>
  <c r="G282" i="28"/>
  <c r="O282" i="28"/>
  <c r="G283" i="28"/>
  <c r="E749" i="27"/>
  <c r="O283" i="28"/>
  <c r="G284" i="28"/>
  <c r="G310" i="28"/>
  <c r="G311" i="28"/>
  <c r="G312" i="28"/>
  <c r="G313" i="28"/>
  <c r="O284" i="28"/>
  <c r="G285" i="28"/>
  <c r="E750" i="27"/>
  <c r="O285" i="28"/>
  <c r="G286" i="28"/>
  <c r="E751" i="27"/>
  <c r="O286" i="28"/>
  <c r="G287" i="28"/>
  <c r="E752" i="27"/>
  <c r="O287" i="28"/>
  <c r="G288" i="28"/>
  <c r="E753" i="27"/>
  <c r="O288" i="28"/>
  <c r="G289" i="28"/>
  <c r="E754" i="27"/>
  <c r="O289" i="28"/>
  <c r="G290" i="28"/>
  <c r="E755" i="27"/>
  <c r="O290" i="28"/>
  <c r="G291" i="28"/>
  <c r="G292" i="28"/>
  <c r="G293" i="28"/>
  <c r="I219" i="27"/>
  <c r="M219" i="27"/>
  <c r="Q219" i="27"/>
  <c r="U219" i="27"/>
  <c r="G294" i="28"/>
  <c r="G295" i="28"/>
  <c r="O293" i="28"/>
  <c r="O295" i="28"/>
  <c r="G296" i="28"/>
  <c r="O296" i="28"/>
  <c r="G297" i="28"/>
  <c r="O297" i="28"/>
  <c r="G298" i="28"/>
  <c r="G299" i="28"/>
  <c r="G300" i="28"/>
  <c r="G301" i="28"/>
  <c r="G302" i="28"/>
  <c r="G303" i="28"/>
  <c r="G304" i="28"/>
  <c r="G305" i="28"/>
  <c r="G306" i="28"/>
  <c r="G307" i="28"/>
  <c r="G308" i="28"/>
  <c r="G309" i="28"/>
  <c r="O301" i="28"/>
  <c r="O302" i="28"/>
  <c r="O304" i="28"/>
  <c r="O307" i="28"/>
  <c r="O309" i="28"/>
  <c r="D319" i="28"/>
  <c r="D321" i="28"/>
  <c r="F322" i="28"/>
  <c r="G323" i="28"/>
  <c r="G324" i="28"/>
  <c r="G325" i="28"/>
  <c r="G326" i="28"/>
  <c r="G327" i="28"/>
  <c r="G328" i="28"/>
  <c r="G329" i="28"/>
  <c r="G330" i="28"/>
  <c r="G331" i="28"/>
  <c r="G332" i="28"/>
  <c r="G333" i="28"/>
  <c r="G334" i="28"/>
  <c r="G335" i="28"/>
  <c r="G336" i="28"/>
  <c r="G337" i="28"/>
  <c r="Y219" i="27"/>
  <c r="AC219" i="27"/>
  <c r="AG219" i="27"/>
  <c r="AK219" i="27"/>
  <c r="G338" i="28"/>
  <c r="G339" i="28"/>
  <c r="O323" i="28"/>
  <c r="O324" i="28"/>
  <c r="O325" i="28"/>
  <c r="O326" i="28"/>
  <c r="E789" i="27"/>
  <c r="O327" i="28"/>
  <c r="G354" i="28"/>
  <c r="G355" i="28"/>
  <c r="G356" i="28"/>
  <c r="G357" i="28"/>
  <c r="O328" i="28"/>
  <c r="E790" i="27"/>
  <c r="O329" i="28"/>
  <c r="E791" i="27"/>
  <c r="O330" i="28"/>
  <c r="E792" i="27"/>
  <c r="O331" i="28"/>
  <c r="E793" i="27"/>
  <c r="O332" i="28"/>
  <c r="E794" i="27"/>
  <c r="O333" i="28"/>
  <c r="E795" i="27"/>
  <c r="O334" i="28"/>
  <c r="O337" i="28"/>
  <c r="O339" i="28"/>
  <c r="G340" i="28"/>
  <c r="G341" i="28"/>
  <c r="G342" i="28"/>
  <c r="G343" i="28"/>
  <c r="G344" i="28"/>
  <c r="G345" i="28"/>
  <c r="G346" i="28"/>
  <c r="G347" i="28"/>
  <c r="G348" i="28"/>
  <c r="G349" i="28"/>
  <c r="G350" i="28"/>
  <c r="G351" i="28"/>
  <c r="G352" i="28"/>
  <c r="G353" i="28"/>
  <c r="O340" i="28"/>
  <c r="O341" i="28"/>
  <c r="O346" i="28"/>
  <c r="O348" i="28"/>
  <c r="O351" i="28"/>
  <c r="O353" i="28"/>
  <c r="D363" i="28"/>
  <c r="D365" i="28"/>
  <c r="F366" i="28"/>
  <c r="G367" i="28"/>
  <c r="G368" i="28"/>
  <c r="G369" i="28"/>
  <c r="G370" i="28"/>
  <c r="G371" i="28"/>
  <c r="G372" i="28"/>
  <c r="G373" i="28"/>
  <c r="G374" i="28"/>
  <c r="G375" i="28"/>
  <c r="G376" i="28"/>
  <c r="G377" i="28"/>
  <c r="G378" i="28"/>
  <c r="G379" i="28"/>
  <c r="G380" i="28"/>
  <c r="G381" i="28"/>
  <c r="AO219" i="27"/>
  <c r="AS219" i="27"/>
  <c r="AW219" i="27"/>
  <c r="BA219" i="27"/>
  <c r="G382" i="28"/>
  <c r="G383" i="28"/>
  <c r="O367" i="28"/>
  <c r="O368" i="28"/>
  <c r="O369" i="28"/>
  <c r="O370" i="28"/>
  <c r="E829" i="27"/>
  <c r="O371" i="28"/>
  <c r="G398" i="28"/>
  <c r="G399" i="28"/>
  <c r="G400" i="28"/>
  <c r="G401" i="28"/>
  <c r="O372" i="28"/>
  <c r="E830" i="27"/>
  <c r="O373" i="28"/>
  <c r="E831" i="27"/>
  <c r="O374" i="28"/>
  <c r="E832" i="27"/>
  <c r="O375" i="28"/>
  <c r="E833" i="27"/>
  <c r="O376" i="28"/>
  <c r="E834" i="27"/>
  <c r="O377" i="28"/>
  <c r="E835" i="27"/>
  <c r="O378" i="28"/>
  <c r="O381" i="28"/>
  <c r="O383" i="28"/>
  <c r="G384" i="28"/>
  <c r="O384" i="28"/>
  <c r="G385" i="28"/>
  <c r="O385" i="28"/>
  <c r="G386" i="28"/>
  <c r="G387" i="28"/>
  <c r="G388" i="28"/>
  <c r="G389" i="28"/>
  <c r="G390" i="28"/>
  <c r="O390" i="28"/>
  <c r="G391" i="28"/>
  <c r="G392" i="28"/>
  <c r="O392" i="28"/>
  <c r="G393" i="28"/>
  <c r="G394" i="28"/>
  <c r="G395" i="28"/>
  <c r="G396" i="28"/>
  <c r="G397" i="28"/>
  <c r="O395" i="28"/>
  <c r="O397" i="28"/>
  <c r="D9" i="28"/>
  <c r="D11" i="28"/>
  <c r="F12" i="28"/>
  <c r="G13" i="28"/>
  <c r="O13" i="28"/>
  <c r="G14" i="28"/>
  <c r="G15" i="28"/>
  <c r="G16" i="28"/>
  <c r="G17" i="28"/>
  <c r="G18" i="28"/>
  <c r="G19" i="28"/>
  <c r="G20" i="28"/>
  <c r="G21" i="28"/>
  <c r="G22" i="28"/>
  <c r="G23" i="28"/>
  <c r="G24" i="28"/>
  <c r="G25" i="28"/>
  <c r="G26" i="28"/>
  <c r="G27" i="28"/>
  <c r="G28" i="28"/>
  <c r="G29" i="28"/>
  <c r="O14" i="28"/>
  <c r="O15" i="28"/>
  <c r="G44" i="28"/>
  <c r="G45" i="28"/>
  <c r="G46" i="28"/>
  <c r="G47" i="28"/>
  <c r="O16" i="28"/>
  <c r="O17" i="28"/>
  <c r="O18" i="28"/>
  <c r="O19" i="28"/>
  <c r="P19" i="28"/>
  <c r="O20" i="28"/>
  <c r="O21" i="28"/>
  <c r="O22" i="28"/>
  <c r="O23" i="28"/>
  <c r="O24" i="28"/>
  <c r="J296" i="27"/>
  <c r="J297" i="27"/>
  <c r="J298" i="27"/>
  <c r="J299" i="27"/>
  <c r="J300" i="27"/>
  <c r="J301" i="27"/>
  <c r="J302" i="27"/>
  <c r="N296" i="27"/>
  <c r="N297" i="27"/>
  <c r="N298" i="27"/>
  <c r="N299" i="27"/>
  <c r="N300" i="27"/>
  <c r="N301" i="27"/>
  <c r="N302" i="27"/>
  <c r="K345" i="27"/>
  <c r="O345" i="27"/>
  <c r="O25" i="28"/>
  <c r="K359" i="27"/>
  <c r="O359" i="27"/>
  <c r="O26" i="28"/>
  <c r="O27" i="28"/>
  <c r="O29" i="28"/>
  <c r="G30" i="28"/>
  <c r="G31" i="28"/>
  <c r="G32" i="28"/>
  <c r="G33" i="28"/>
  <c r="G34" i="28"/>
  <c r="G35" i="28"/>
  <c r="G36" i="28"/>
  <c r="G37" i="28"/>
  <c r="G38" i="28"/>
  <c r="G39" i="28"/>
  <c r="G40" i="28"/>
  <c r="G41" i="28"/>
  <c r="G42" i="28"/>
  <c r="G43" i="28"/>
  <c r="O30" i="28"/>
  <c r="O31" i="28"/>
  <c r="O35" i="28"/>
  <c r="O36" i="28"/>
  <c r="O38" i="28"/>
  <c r="O41" i="28"/>
  <c r="O43" i="28"/>
  <c r="D53" i="28"/>
  <c r="D55" i="28"/>
  <c r="F56" i="28"/>
  <c r="G57" i="28"/>
  <c r="O57" i="28"/>
  <c r="G58" i="28"/>
  <c r="O58" i="28"/>
  <c r="G59" i="28"/>
  <c r="O59" i="28"/>
  <c r="G60" i="28"/>
  <c r="O60" i="28"/>
  <c r="G61" i="28"/>
  <c r="O61" i="28"/>
  <c r="G62" i="28"/>
  <c r="G88" i="28"/>
  <c r="G89" i="28"/>
  <c r="G90" i="28"/>
  <c r="G91" i="28"/>
  <c r="O62" i="28"/>
  <c r="G63" i="28"/>
  <c r="O63" i="28"/>
  <c r="P63" i="28"/>
  <c r="G64" i="28"/>
  <c r="O64" i="28"/>
  <c r="G65" i="28"/>
  <c r="O65" i="28"/>
  <c r="G66" i="28"/>
  <c r="O66" i="28"/>
  <c r="G67" i="28"/>
  <c r="O67" i="28"/>
  <c r="G68" i="28"/>
  <c r="O68" i="28"/>
  <c r="G69" i="28"/>
  <c r="R296" i="27"/>
  <c r="R297" i="27"/>
  <c r="R298" i="27"/>
  <c r="R299" i="27"/>
  <c r="R300" i="27"/>
  <c r="R301" i="27"/>
  <c r="R302" i="27"/>
  <c r="V296" i="27"/>
  <c r="V297" i="27"/>
  <c r="V298" i="27"/>
  <c r="V299" i="27"/>
  <c r="V300" i="27"/>
  <c r="V301" i="27"/>
  <c r="V302" i="27"/>
  <c r="S345" i="27"/>
  <c r="W345" i="27"/>
  <c r="O69" i="28"/>
  <c r="G70" i="28"/>
  <c r="S359" i="27"/>
  <c r="W359" i="27"/>
  <c r="O70" i="28"/>
  <c r="G71" i="28"/>
  <c r="G72" i="28"/>
  <c r="G73" i="28"/>
  <c r="O71" i="28"/>
  <c r="O73" i="28"/>
  <c r="G74" i="28"/>
  <c r="G75" i="28"/>
  <c r="G76" i="28"/>
  <c r="G77" i="28"/>
  <c r="G78" i="28"/>
  <c r="G79" i="28"/>
  <c r="G80" i="28"/>
  <c r="G81" i="28"/>
  <c r="G82" i="28"/>
  <c r="G83" i="28"/>
  <c r="G84" i="28"/>
  <c r="G85" i="28"/>
  <c r="G86" i="28"/>
  <c r="G87" i="28"/>
  <c r="O74" i="28"/>
  <c r="O75" i="28"/>
  <c r="O80" i="28"/>
  <c r="O82" i="28"/>
  <c r="O85" i="28"/>
  <c r="O87" i="28"/>
  <c r="D97" i="28"/>
  <c r="D99" i="28"/>
  <c r="F100" i="28"/>
  <c r="G101" i="28"/>
  <c r="O101" i="28"/>
  <c r="G102" i="28"/>
  <c r="O102" i="28"/>
  <c r="G103" i="28"/>
  <c r="O103" i="28"/>
  <c r="G132" i="28"/>
  <c r="G133" i="28"/>
  <c r="G134" i="28"/>
  <c r="G135" i="28"/>
  <c r="O104" i="28"/>
  <c r="O105" i="28"/>
  <c r="O106" i="28"/>
  <c r="G104" i="28"/>
  <c r="G105" i="28"/>
  <c r="G106" i="28"/>
  <c r="G107" i="28"/>
  <c r="G108" i="28"/>
  <c r="G109" i="28"/>
  <c r="G110" i="28"/>
  <c r="G111" i="28"/>
  <c r="G112" i="28"/>
  <c r="G113" i="28"/>
  <c r="G114" i="28"/>
  <c r="G115" i="28"/>
  <c r="G116" i="28"/>
  <c r="G117" i="28"/>
  <c r="O107" i="28"/>
  <c r="P107" i="28"/>
  <c r="O108" i="28"/>
  <c r="O109" i="28"/>
  <c r="O110" i="28"/>
  <c r="O111" i="28"/>
  <c r="O112" i="28"/>
  <c r="Z296" i="27"/>
  <c r="Z297" i="27"/>
  <c r="Z298" i="27"/>
  <c r="Z299" i="27"/>
  <c r="Z300" i="27"/>
  <c r="Z301" i="27"/>
  <c r="Z302" i="27"/>
  <c r="AD296" i="27"/>
  <c r="AD297" i="27"/>
  <c r="AD298" i="27"/>
  <c r="AD299" i="27"/>
  <c r="AD300" i="27"/>
  <c r="AD301" i="27"/>
  <c r="AD302" i="27"/>
  <c r="AA345" i="27"/>
  <c r="AE345" i="27"/>
  <c r="O113" i="28"/>
  <c r="AA359" i="27"/>
  <c r="AE359" i="27"/>
  <c r="O114" i="28"/>
  <c r="O115" i="28"/>
  <c r="O117" i="28"/>
  <c r="G118" i="28"/>
  <c r="G119" i="28"/>
  <c r="G120" i="28"/>
  <c r="G121" i="28"/>
  <c r="G122" i="28"/>
  <c r="G123" i="28"/>
  <c r="G124" i="28"/>
  <c r="G125" i="28"/>
  <c r="G126" i="28"/>
  <c r="G127" i="28"/>
  <c r="G128" i="28"/>
  <c r="G129" i="28"/>
  <c r="G130" i="28"/>
  <c r="G131" i="28"/>
  <c r="O118" i="28"/>
  <c r="O119" i="28"/>
  <c r="O124" i="28"/>
  <c r="O126" i="28"/>
  <c r="O129" i="28"/>
  <c r="O131" i="28"/>
  <c r="D141" i="28"/>
  <c r="D143" i="28"/>
  <c r="F144" i="28"/>
  <c r="G145" i="28"/>
  <c r="O145" i="28"/>
  <c r="G146" i="28"/>
  <c r="O146" i="28"/>
  <c r="G147" i="28"/>
  <c r="O147" i="28"/>
  <c r="G148" i="28"/>
  <c r="O148" i="28"/>
  <c r="G149" i="28"/>
  <c r="O149" i="28"/>
  <c r="G150" i="28"/>
  <c r="G151" i="28"/>
  <c r="G152" i="28"/>
  <c r="G153" i="28"/>
  <c r="G154" i="28"/>
  <c r="G155" i="28"/>
  <c r="G156" i="28"/>
  <c r="G157" i="28"/>
  <c r="G158" i="28"/>
  <c r="G159" i="28"/>
  <c r="G160" i="28"/>
  <c r="G161" i="28"/>
  <c r="G176" i="28"/>
  <c r="G177" i="28"/>
  <c r="G178" i="28"/>
  <c r="G179" i="28"/>
  <c r="O150" i="28"/>
  <c r="O151" i="28"/>
  <c r="P151" i="28"/>
  <c r="O152" i="28"/>
  <c r="O153" i="28"/>
  <c r="O154" i="28"/>
  <c r="O155" i="28"/>
  <c r="O156" i="28"/>
  <c r="AH296" i="27"/>
  <c r="AH297" i="27"/>
  <c r="AH298" i="27"/>
  <c r="AH299" i="27"/>
  <c r="AH300" i="27"/>
  <c r="AH301" i="27"/>
  <c r="AH302" i="27"/>
  <c r="AL296" i="27"/>
  <c r="AL297" i="27"/>
  <c r="AL298" i="27"/>
  <c r="AL299" i="27"/>
  <c r="AL300" i="27"/>
  <c r="AL301" i="27"/>
  <c r="AL302" i="27"/>
  <c r="AI345" i="27"/>
  <c r="AM345" i="27"/>
  <c r="O157" i="28"/>
  <c r="AI359" i="27"/>
  <c r="AM359" i="27"/>
  <c r="O158" i="28"/>
  <c r="O159" i="28"/>
  <c r="O161" i="28"/>
  <c r="G162" i="28"/>
  <c r="O162" i="28"/>
  <c r="G163" i="28"/>
  <c r="G164" i="28"/>
  <c r="G165" i="28"/>
  <c r="G166" i="28"/>
  <c r="G167" i="28"/>
  <c r="G168" i="28"/>
  <c r="G169" i="28"/>
  <c r="G170" i="28"/>
  <c r="G171" i="28"/>
  <c r="G172" i="28"/>
  <c r="G173" i="28"/>
  <c r="G174" i="28"/>
  <c r="G175" i="28"/>
  <c r="O163" i="28"/>
  <c r="O168" i="28"/>
  <c r="O170" i="28"/>
  <c r="O173" i="28"/>
  <c r="O175" i="28"/>
  <c r="D185" i="28"/>
  <c r="D187" i="28"/>
  <c r="F188" i="28"/>
  <c r="G189" i="28"/>
  <c r="G190" i="28"/>
  <c r="G191" i="28"/>
  <c r="G192" i="28"/>
  <c r="G193" i="28"/>
  <c r="G194" i="28"/>
  <c r="G195" i="28"/>
  <c r="G196" i="28"/>
  <c r="G197" i="28"/>
  <c r="G198" i="28"/>
  <c r="G199" i="28"/>
  <c r="G200" i="28"/>
  <c r="G201" i="28"/>
  <c r="G202" i="28"/>
  <c r="G203" i="28"/>
  <c r="G204" i="28"/>
  <c r="G205" i="28"/>
  <c r="O189" i="28"/>
  <c r="O190" i="28"/>
  <c r="O191" i="28"/>
  <c r="O192" i="28"/>
  <c r="O193" i="28"/>
  <c r="G220" i="28"/>
  <c r="G221" i="28"/>
  <c r="G222" i="28"/>
  <c r="G223" i="28"/>
  <c r="O194" i="28"/>
  <c r="O195" i="28"/>
  <c r="P195" i="28"/>
  <c r="O196" i="28"/>
  <c r="O197" i="28"/>
  <c r="O198" i="28"/>
  <c r="O199" i="28"/>
  <c r="O200" i="28"/>
  <c r="AP296" i="27"/>
  <c r="AP297" i="27"/>
  <c r="AP298" i="27"/>
  <c r="AP299" i="27"/>
  <c r="AP300" i="27"/>
  <c r="AP301" i="27"/>
  <c r="AP302" i="27"/>
  <c r="AT296" i="27"/>
  <c r="AT297" i="27"/>
  <c r="AT298" i="27"/>
  <c r="AT299" i="27"/>
  <c r="AT300" i="27"/>
  <c r="AT301" i="27"/>
  <c r="AT302" i="27"/>
  <c r="AQ345" i="27"/>
  <c r="AU345" i="27"/>
  <c r="O201" i="28"/>
  <c r="AQ359" i="27"/>
  <c r="AU359" i="27"/>
  <c r="O202" i="28"/>
  <c r="O203" i="28"/>
  <c r="O205" i="28"/>
  <c r="G206" i="28"/>
  <c r="G207" i="28"/>
  <c r="G208" i="28"/>
  <c r="G209" i="28"/>
  <c r="G210" i="28"/>
  <c r="G211" i="28"/>
  <c r="G212" i="28"/>
  <c r="G213" i="28"/>
  <c r="G214" i="28"/>
  <c r="G215" i="28"/>
  <c r="G216" i="28"/>
  <c r="G217" i="28"/>
  <c r="G218" i="28"/>
  <c r="G219" i="28"/>
  <c r="O206" i="28"/>
  <c r="O207" i="28"/>
  <c r="O212" i="28"/>
  <c r="O214" i="28"/>
  <c r="O217" i="28"/>
  <c r="O219" i="28"/>
  <c r="D229" i="28"/>
  <c r="D231" i="28"/>
  <c r="F232" i="28"/>
  <c r="G233" i="28"/>
  <c r="G234" i="28"/>
  <c r="G235" i="28"/>
  <c r="G236" i="28"/>
  <c r="G237" i="28"/>
  <c r="G238" i="28"/>
  <c r="G239" i="28"/>
  <c r="G240" i="28"/>
  <c r="G241" i="28"/>
  <c r="G242" i="28"/>
  <c r="G243" i="28"/>
  <c r="G244" i="28"/>
  <c r="G245" i="28"/>
  <c r="G246" i="28"/>
  <c r="G247" i="28"/>
  <c r="G248" i="28"/>
  <c r="G249" i="28"/>
  <c r="O233" i="28"/>
  <c r="O234" i="28"/>
  <c r="O235" i="28"/>
  <c r="O236" i="28"/>
  <c r="O237" i="28"/>
  <c r="G264" i="28"/>
  <c r="G265" i="28"/>
  <c r="G266" i="28"/>
  <c r="G267" i="28"/>
  <c r="O238" i="28"/>
  <c r="O239" i="28"/>
  <c r="P239" i="28"/>
  <c r="O240" i="28"/>
  <c r="O241" i="28"/>
  <c r="O242" i="28"/>
  <c r="O243" i="28"/>
  <c r="O244" i="28"/>
  <c r="AX296" i="27"/>
  <c r="AX297" i="27"/>
  <c r="AX298" i="27"/>
  <c r="AX299" i="27"/>
  <c r="AX300" i="27"/>
  <c r="AX301" i="27"/>
  <c r="AX302" i="27"/>
  <c r="BB296" i="27"/>
  <c r="BB297" i="27"/>
  <c r="BB298" i="27"/>
  <c r="BB299" i="27"/>
  <c r="BB300" i="27"/>
  <c r="BB301" i="27"/>
  <c r="BB302" i="27"/>
  <c r="AY345" i="27"/>
  <c r="BC345" i="27"/>
  <c r="O245" i="28"/>
  <c r="AY359" i="27"/>
  <c r="BC359" i="27"/>
  <c r="O246" i="28"/>
  <c r="O247" i="28"/>
  <c r="O249" i="28"/>
  <c r="G250" i="28"/>
  <c r="O250" i="28"/>
  <c r="G251" i="28"/>
  <c r="O251" i="28"/>
  <c r="G252" i="28"/>
  <c r="G253" i="28"/>
  <c r="G254" i="28"/>
  <c r="G255" i="28"/>
  <c r="G256" i="28"/>
  <c r="G257" i="28"/>
  <c r="G258" i="28"/>
  <c r="G259" i="28"/>
  <c r="G260" i="28"/>
  <c r="G261" i="28"/>
  <c r="G262" i="28"/>
  <c r="G263" i="28"/>
  <c r="O256" i="28"/>
  <c r="O258" i="28"/>
  <c r="O261" i="28"/>
  <c r="O263" i="28"/>
  <c r="B961" i="27"/>
  <c r="B962" i="27"/>
  <c r="B963" i="27"/>
  <c r="B964" i="27"/>
  <c r="B965" i="27"/>
  <c r="B966" i="27"/>
  <c r="B967" i="27"/>
  <c r="B981" i="27"/>
  <c r="B982" i="27"/>
  <c r="B983" i="27"/>
  <c r="B984" i="27"/>
  <c r="B998" i="27"/>
  <c r="B999" i="27"/>
  <c r="E483" i="27"/>
  <c r="J212" i="27"/>
  <c r="N212" i="27"/>
  <c r="R212" i="27"/>
  <c r="V212" i="27"/>
  <c r="Z212" i="27"/>
  <c r="AD212" i="27"/>
  <c r="AH212" i="27"/>
  <c r="AL212" i="27"/>
  <c r="AP212" i="27"/>
  <c r="AT212" i="27"/>
  <c r="AX212" i="27"/>
  <c r="BB212" i="27"/>
  <c r="BE212" i="27"/>
  <c r="BG212" i="27"/>
  <c r="BF212" i="27"/>
  <c r="J213" i="27"/>
  <c r="N213" i="27"/>
  <c r="R213" i="27"/>
  <c r="V213" i="27"/>
  <c r="Z213" i="27"/>
  <c r="AD213" i="27"/>
  <c r="AH213" i="27"/>
  <c r="AL213" i="27"/>
  <c r="AP213" i="27"/>
  <c r="AT213" i="27"/>
  <c r="AX213" i="27"/>
  <c r="BB213" i="27"/>
  <c r="BE213" i="27"/>
  <c r="BG213" i="27"/>
  <c r="BF213" i="27"/>
  <c r="J214" i="27"/>
  <c r="N214" i="27"/>
  <c r="R214" i="27"/>
  <c r="V214" i="27"/>
  <c r="Z214" i="27"/>
  <c r="AD214" i="27"/>
  <c r="AH214" i="27"/>
  <c r="AL214" i="27"/>
  <c r="AP214" i="27"/>
  <c r="AT214" i="27"/>
  <c r="AX214" i="27"/>
  <c r="BB214" i="27"/>
  <c r="BE214" i="27"/>
  <c r="BG214" i="27"/>
  <c r="BF214" i="27"/>
  <c r="J215" i="27"/>
  <c r="N215" i="27"/>
  <c r="R215" i="27"/>
  <c r="V215" i="27"/>
  <c r="Z215" i="27"/>
  <c r="AD215" i="27"/>
  <c r="AH215" i="27"/>
  <c r="AL215" i="27"/>
  <c r="AP215" i="27"/>
  <c r="AT215" i="27"/>
  <c r="AX215" i="27"/>
  <c r="BB215" i="27"/>
  <c r="BE215" i="27"/>
  <c r="BG215" i="27"/>
  <c r="BF215" i="27"/>
  <c r="J216" i="27"/>
  <c r="N216" i="27"/>
  <c r="R216" i="27"/>
  <c r="V216" i="27"/>
  <c r="Z216" i="27"/>
  <c r="AD216" i="27"/>
  <c r="AH216" i="27"/>
  <c r="AL216" i="27"/>
  <c r="AP216" i="27"/>
  <c r="AT216" i="27"/>
  <c r="AX216" i="27"/>
  <c r="BB216" i="27"/>
  <c r="BE216" i="27"/>
  <c r="BG216" i="27"/>
  <c r="BF216" i="27"/>
  <c r="J217" i="27"/>
  <c r="N217" i="27"/>
  <c r="R217" i="27"/>
  <c r="V217" i="27"/>
  <c r="Z217" i="27"/>
  <c r="AD217" i="27"/>
  <c r="AH217" i="27"/>
  <c r="AL217" i="27"/>
  <c r="AP217" i="27"/>
  <c r="AT217" i="27"/>
  <c r="AX217" i="27"/>
  <c r="BB217" i="27"/>
  <c r="BE217" i="27"/>
  <c r="BG217" i="27"/>
  <c r="BF217" i="27"/>
  <c r="J218" i="27"/>
  <c r="N218" i="27"/>
  <c r="R218" i="27"/>
  <c r="V218" i="27"/>
  <c r="Z218" i="27"/>
  <c r="AD218" i="27"/>
  <c r="AH218" i="27"/>
  <c r="AL218" i="27"/>
  <c r="AP218" i="27"/>
  <c r="AT218" i="27"/>
  <c r="AX218" i="27"/>
  <c r="BB218" i="27"/>
  <c r="BE218" i="27"/>
  <c r="BG218" i="27"/>
  <c r="BF218" i="27"/>
  <c r="J219" i="27"/>
  <c r="N219" i="27"/>
  <c r="R219" i="27"/>
  <c r="V219" i="27"/>
  <c r="Z219" i="27"/>
  <c r="AD219" i="27"/>
  <c r="AH219" i="27"/>
  <c r="AL219" i="27"/>
  <c r="AP219" i="27"/>
  <c r="AT219" i="27"/>
  <c r="AX219" i="27"/>
  <c r="BB219" i="27"/>
  <c r="BE219" i="27"/>
  <c r="BG219" i="27"/>
  <c r="BF219" i="27"/>
  <c r="F483" i="27"/>
  <c r="G483" i="27"/>
  <c r="E484" i="27"/>
  <c r="F484" i="27"/>
  <c r="G484" i="27"/>
  <c r="E485" i="27"/>
  <c r="F485" i="27"/>
  <c r="G485" i="27"/>
  <c r="E486" i="27"/>
  <c r="F486" i="27"/>
  <c r="G486" i="27"/>
  <c r="E487" i="27"/>
  <c r="F487" i="27"/>
  <c r="G487" i="27"/>
  <c r="E488" i="27"/>
  <c r="F488" i="27"/>
  <c r="G488" i="27"/>
  <c r="E489" i="27"/>
  <c r="F489" i="27"/>
  <c r="G489" i="27"/>
  <c r="E490" i="27"/>
  <c r="F490" i="27"/>
  <c r="G490" i="27"/>
  <c r="E491" i="27"/>
  <c r="F491" i="27"/>
  <c r="G491" i="27"/>
  <c r="E492" i="27"/>
  <c r="F492" i="27"/>
  <c r="G492" i="27"/>
  <c r="E493" i="27"/>
  <c r="F493" i="27"/>
  <c r="G493" i="27"/>
  <c r="E494" i="27"/>
  <c r="F494" i="27"/>
  <c r="G494" i="27"/>
  <c r="E495" i="27"/>
  <c r="F495" i="27"/>
  <c r="G495" i="27"/>
  <c r="E501" i="27"/>
  <c r="F501" i="27"/>
  <c r="E496" i="27"/>
  <c r="F496" i="27"/>
  <c r="G496" i="27"/>
  <c r="F503" i="27"/>
  <c r="E507" i="27"/>
  <c r="E508" i="27"/>
  <c r="E509" i="27"/>
  <c r="E510" i="27"/>
  <c r="E511" i="27"/>
  <c r="E512" i="27"/>
  <c r="E513" i="27"/>
  <c r="E514" i="27"/>
  <c r="E515" i="27"/>
  <c r="E523" i="27"/>
  <c r="F523" i="27"/>
  <c r="E524" i="27"/>
  <c r="F524" i="27"/>
  <c r="E525" i="27"/>
  <c r="F525" i="27"/>
  <c r="G525" i="27"/>
  <c r="E526" i="27"/>
  <c r="F526" i="27"/>
  <c r="G526" i="27"/>
  <c r="E527" i="27"/>
  <c r="F527" i="27"/>
  <c r="E528" i="27"/>
  <c r="F528" i="27"/>
  <c r="E529" i="27"/>
  <c r="F529" i="27"/>
  <c r="G529" i="27"/>
  <c r="E530" i="27"/>
  <c r="F530" i="27"/>
  <c r="G530" i="27"/>
  <c r="E531" i="27"/>
  <c r="F531" i="27"/>
  <c r="E532" i="27"/>
  <c r="F532" i="27"/>
  <c r="E533" i="27"/>
  <c r="F533" i="27"/>
  <c r="G533" i="27"/>
  <c r="E534" i="27"/>
  <c r="F534" i="27"/>
  <c r="G534" i="27"/>
  <c r="E535" i="27"/>
  <c r="F535" i="27"/>
  <c r="E536" i="27"/>
  <c r="F536" i="27"/>
  <c r="F543" i="27"/>
  <c r="E547" i="27"/>
  <c r="E548" i="27"/>
  <c r="E549" i="27"/>
  <c r="E550" i="27"/>
  <c r="E551" i="27"/>
  <c r="E552" i="27"/>
  <c r="E553" i="27"/>
  <c r="E554" i="27"/>
  <c r="E555" i="27"/>
  <c r="E563" i="27"/>
  <c r="F563" i="27"/>
  <c r="G563" i="27"/>
  <c r="E564" i="27"/>
  <c r="F564" i="27"/>
  <c r="E565" i="27"/>
  <c r="F565" i="27"/>
  <c r="G565" i="27"/>
  <c r="E566" i="27"/>
  <c r="F566" i="27"/>
  <c r="G566" i="27"/>
  <c r="E567" i="27"/>
  <c r="F567" i="27"/>
  <c r="E568" i="27"/>
  <c r="F568" i="27"/>
  <c r="E569" i="27"/>
  <c r="F569" i="27"/>
  <c r="G569" i="27"/>
  <c r="E570" i="27"/>
  <c r="F570" i="27"/>
  <c r="G570" i="27"/>
  <c r="E571" i="27"/>
  <c r="F571" i="27"/>
  <c r="E572" i="27"/>
  <c r="F572" i="27"/>
  <c r="E573" i="27"/>
  <c r="F573" i="27"/>
  <c r="G573" i="27"/>
  <c r="E574" i="27"/>
  <c r="F574" i="27"/>
  <c r="G574" i="27"/>
  <c r="E575" i="27"/>
  <c r="F575" i="27"/>
  <c r="G575" i="27"/>
  <c r="E581" i="27"/>
  <c r="F581" i="27"/>
  <c r="E576" i="27"/>
  <c r="F576" i="27"/>
  <c r="F583" i="27"/>
  <c r="E587" i="27"/>
  <c r="E588" i="27"/>
  <c r="E589" i="27"/>
  <c r="E590" i="27"/>
  <c r="E591" i="27"/>
  <c r="E592" i="27"/>
  <c r="E593" i="27"/>
  <c r="E594" i="27"/>
  <c r="E595" i="27"/>
  <c r="E603" i="27"/>
  <c r="F603" i="27"/>
  <c r="E604" i="27"/>
  <c r="F604" i="27"/>
  <c r="E605" i="27"/>
  <c r="F605" i="27"/>
  <c r="G605" i="27"/>
  <c r="E606" i="27"/>
  <c r="F606" i="27"/>
  <c r="G606" i="27"/>
  <c r="E607" i="27"/>
  <c r="F607" i="27"/>
  <c r="G607" i="27"/>
  <c r="E608" i="27"/>
  <c r="F608" i="27"/>
  <c r="G608" i="27"/>
  <c r="E609" i="27"/>
  <c r="F609" i="27"/>
  <c r="G609" i="27"/>
  <c r="E610" i="27"/>
  <c r="F610" i="27"/>
  <c r="G610" i="27"/>
  <c r="E611" i="27"/>
  <c r="F611" i="27"/>
  <c r="G611" i="27"/>
  <c r="E612" i="27"/>
  <c r="F612" i="27"/>
  <c r="E613" i="27"/>
  <c r="F613" i="27"/>
  <c r="G613" i="27"/>
  <c r="E614" i="27"/>
  <c r="F614" i="27"/>
  <c r="G614" i="27"/>
  <c r="E615" i="27"/>
  <c r="F615" i="27"/>
  <c r="G615" i="27"/>
  <c r="E621" i="27"/>
  <c r="F621" i="27"/>
  <c r="F630" i="27"/>
  <c r="E630" i="27"/>
  <c r="G630" i="27"/>
  <c r="E616" i="27"/>
  <c r="F616" i="27"/>
  <c r="F623" i="27"/>
  <c r="E627" i="27"/>
  <c r="E628" i="27"/>
  <c r="E629" i="27"/>
  <c r="E631" i="27"/>
  <c r="E632" i="27"/>
  <c r="E633" i="27"/>
  <c r="E634" i="27"/>
  <c r="E635" i="27"/>
  <c r="E643" i="27"/>
  <c r="F643" i="27"/>
  <c r="G643" i="27"/>
  <c r="E644" i="27"/>
  <c r="F644" i="27"/>
  <c r="E645" i="27"/>
  <c r="F645" i="27"/>
  <c r="E646" i="27"/>
  <c r="F646" i="27"/>
  <c r="E647" i="27"/>
  <c r="F647" i="27"/>
  <c r="G647" i="27"/>
  <c r="E648" i="27"/>
  <c r="F648" i="27"/>
  <c r="G648" i="27"/>
  <c r="E649" i="27"/>
  <c r="F649" i="27"/>
  <c r="E650" i="27"/>
  <c r="F650" i="27"/>
  <c r="E651" i="27"/>
  <c r="F651" i="27"/>
  <c r="G651" i="27"/>
  <c r="E652" i="27"/>
  <c r="F652" i="27"/>
  <c r="G652" i="27"/>
  <c r="E653" i="27"/>
  <c r="F653" i="27"/>
  <c r="E654" i="27"/>
  <c r="F654" i="27"/>
  <c r="E655" i="27"/>
  <c r="F655" i="27"/>
  <c r="G655" i="27"/>
  <c r="E661" i="27"/>
  <c r="F661" i="27"/>
  <c r="E656" i="27"/>
  <c r="F656" i="27"/>
  <c r="G656" i="27"/>
  <c r="F663" i="27"/>
  <c r="E667" i="27"/>
  <c r="E668" i="27"/>
  <c r="E669" i="27"/>
  <c r="E670" i="27"/>
  <c r="E671" i="27"/>
  <c r="E672" i="27"/>
  <c r="E673" i="27"/>
  <c r="E674" i="27"/>
  <c r="E675" i="27"/>
  <c r="E683" i="27"/>
  <c r="F683" i="27"/>
  <c r="G683" i="27"/>
  <c r="E684" i="27"/>
  <c r="F684" i="27"/>
  <c r="G684" i="27"/>
  <c r="E685" i="27"/>
  <c r="F685" i="27"/>
  <c r="G685" i="27"/>
  <c r="E686" i="27"/>
  <c r="F686" i="27"/>
  <c r="E687" i="27"/>
  <c r="F687" i="27"/>
  <c r="G687" i="27"/>
  <c r="E688" i="27"/>
  <c r="F688" i="27"/>
  <c r="G688" i="27"/>
  <c r="E689" i="27"/>
  <c r="F689" i="27"/>
  <c r="E690" i="27"/>
  <c r="F690" i="27"/>
  <c r="E691" i="27"/>
  <c r="F691" i="27"/>
  <c r="G691" i="27"/>
  <c r="E692" i="27"/>
  <c r="F692" i="27"/>
  <c r="G692" i="27"/>
  <c r="E693" i="27"/>
  <c r="F693" i="27"/>
  <c r="E694" i="27"/>
  <c r="F694" i="27"/>
  <c r="E695" i="27"/>
  <c r="F695" i="27"/>
  <c r="G695" i="27"/>
  <c r="E701" i="27"/>
  <c r="F701" i="27"/>
  <c r="F715" i="27"/>
  <c r="E696" i="27"/>
  <c r="F696" i="27"/>
  <c r="G696" i="27"/>
  <c r="F703" i="27"/>
  <c r="E707" i="27"/>
  <c r="E708" i="27"/>
  <c r="E709" i="27"/>
  <c r="E710" i="27"/>
  <c r="E711" i="27"/>
  <c r="E712" i="27"/>
  <c r="E713" i="27"/>
  <c r="E714" i="27"/>
  <c r="E715" i="27"/>
  <c r="E725" i="27"/>
  <c r="F725" i="27"/>
  <c r="G725" i="27"/>
  <c r="E726" i="27"/>
  <c r="F726" i="27"/>
  <c r="G726" i="27"/>
  <c r="E727" i="27"/>
  <c r="F727" i="27"/>
  <c r="G727" i="27"/>
  <c r="E728" i="27"/>
  <c r="E729" i="27"/>
  <c r="E730" i="27"/>
  <c r="E731" i="27"/>
  <c r="E732" i="27"/>
  <c r="E733" i="27"/>
  <c r="E734" i="27"/>
  <c r="E735" i="27"/>
  <c r="E736" i="27"/>
  <c r="E737" i="27"/>
  <c r="E738" i="27"/>
  <c r="E739" i="27"/>
  <c r="F728" i="27"/>
  <c r="G728" i="27"/>
  <c r="F729" i="27"/>
  <c r="G729" i="27"/>
  <c r="F730" i="27"/>
  <c r="G730" i="27"/>
  <c r="F731" i="27"/>
  <c r="G731" i="27"/>
  <c r="F732" i="27"/>
  <c r="G732" i="27"/>
  <c r="F733" i="27"/>
  <c r="G733" i="27"/>
  <c r="F734" i="27"/>
  <c r="G734" i="27"/>
  <c r="F735" i="27"/>
  <c r="G735" i="27"/>
  <c r="F736" i="27"/>
  <c r="G736" i="27"/>
  <c r="F737" i="27"/>
  <c r="G737" i="27"/>
  <c r="E743" i="27"/>
  <c r="F743" i="27"/>
  <c r="F738" i="27"/>
  <c r="G738" i="27"/>
  <c r="F745" i="27"/>
  <c r="E756" i="27"/>
  <c r="O291" i="28"/>
  <c r="E757" i="27"/>
  <c r="O292" i="28"/>
  <c r="E765" i="27"/>
  <c r="F765" i="27"/>
  <c r="E766" i="27"/>
  <c r="F766" i="27"/>
  <c r="E767" i="27"/>
  <c r="F767" i="27"/>
  <c r="G767" i="27"/>
  <c r="E768" i="27"/>
  <c r="F768" i="27"/>
  <c r="E769" i="27"/>
  <c r="F769" i="27"/>
  <c r="E770" i="27"/>
  <c r="F770" i="27"/>
  <c r="E771" i="27"/>
  <c r="F771" i="27"/>
  <c r="G771" i="27"/>
  <c r="E772" i="27"/>
  <c r="F772" i="27"/>
  <c r="E773" i="27"/>
  <c r="F773" i="27"/>
  <c r="E774" i="27"/>
  <c r="F774" i="27"/>
  <c r="E775" i="27"/>
  <c r="F775" i="27"/>
  <c r="G775" i="27"/>
  <c r="E776" i="27"/>
  <c r="F776" i="27"/>
  <c r="G776" i="27"/>
  <c r="E777" i="27"/>
  <c r="F777" i="27"/>
  <c r="E778" i="27"/>
  <c r="F778" i="27"/>
  <c r="F785" i="27"/>
  <c r="E796" i="27"/>
  <c r="O335" i="28"/>
  <c r="E797" i="27"/>
  <c r="O336" i="28"/>
  <c r="E805" i="27"/>
  <c r="F805" i="27"/>
  <c r="G805" i="27"/>
  <c r="E806" i="27"/>
  <c r="F806" i="27"/>
  <c r="E807" i="27"/>
  <c r="F807" i="27"/>
  <c r="G807" i="27"/>
  <c r="E808" i="27"/>
  <c r="F808" i="27"/>
  <c r="G808" i="27"/>
  <c r="E809" i="27"/>
  <c r="F809" i="27"/>
  <c r="G809" i="27"/>
  <c r="E810" i="27"/>
  <c r="F810" i="27"/>
  <c r="E811" i="27"/>
  <c r="F811" i="27"/>
  <c r="G811" i="27"/>
  <c r="E812" i="27"/>
  <c r="F812" i="27"/>
  <c r="G812" i="27"/>
  <c r="E813" i="27"/>
  <c r="F813" i="27"/>
  <c r="G813" i="27"/>
  <c r="E814" i="27"/>
  <c r="F814" i="27"/>
  <c r="E815" i="27"/>
  <c r="F815" i="27"/>
  <c r="G815" i="27"/>
  <c r="E816" i="27"/>
  <c r="F816" i="27"/>
  <c r="G816" i="27"/>
  <c r="E817" i="27"/>
  <c r="F817" i="27"/>
  <c r="G817" i="27"/>
  <c r="E823" i="27"/>
  <c r="F823" i="27"/>
  <c r="F835" i="27"/>
  <c r="E818" i="27"/>
  <c r="F818" i="27"/>
  <c r="F825" i="27"/>
  <c r="E836" i="27"/>
  <c r="O379" i="28"/>
  <c r="E837" i="27"/>
  <c r="O380" i="28"/>
  <c r="F845" i="27"/>
  <c r="G845" i="27"/>
  <c r="F846" i="27"/>
  <c r="F847" i="27"/>
  <c r="G847" i="27"/>
  <c r="F848" i="27"/>
  <c r="G848" i="27"/>
  <c r="F849" i="27"/>
  <c r="G849" i="27"/>
  <c r="F850" i="27"/>
  <c r="G850" i="27"/>
  <c r="F851" i="27"/>
  <c r="G851" i="27"/>
  <c r="F852" i="27"/>
  <c r="G852" i="27"/>
  <c r="F853" i="27"/>
  <c r="G853" i="27"/>
  <c r="F854" i="27"/>
  <c r="G854" i="27"/>
  <c r="F855" i="27"/>
  <c r="G855" i="27"/>
  <c r="F856" i="27"/>
  <c r="G856" i="27"/>
  <c r="F857" i="27"/>
  <c r="G857" i="27"/>
  <c r="E863" i="27"/>
  <c r="F863" i="27"/>
  <c r="F858" i="27"/>
  <c r="G858" i="27"/>
  <c r="F865" i="27"/>
  <c r="E876" i="27"/>
  <c r="O423" i="28"/>
  <c r="E877" i="27"/>
  <c r="O424" i="28"/>
  <c r="I392" i="27"/>
  <c r="M392" i="27"/>
  <c r="Q392" i="27"/>
  <c r="U392" i="27"/>
  <c r="Y392" i="27"/>
  <c r="AC392" i="27"/>
  <c r="AG392" i="27"/>
  <c r="AK392" i="27"/>
  <c r="AO392" i="27"/>
  <c r="AS392" i="27"/>
  <c r="AW392" i="27"/>
  <c r="BA392" i="27"/>
  <c r="BE392" i="27"/>
  <c r="J395" i="27"/>
  <c r="N395" i="27"/>
  <c r="R395" i="27"/>
  <c r="V395" i="27"/>
  <c r="Z395" i="27"/>
  <c r="AD395" i="27"/>
  <c r="AH395" i="27"/>
  <c r="AL395" i="27"/>
  <c r="AP395" i="27"/>
  <c r="AT395" i="27"/>
  <c r="AX395" i="27"/>
  <c r="BB395" i="27"/>
  <c r="BE395" i="27"/>
  <c r="BG395" i="27"/>
  <c r="BF395" i="27"/>
  <c r="J396" i="27"/>
  <c r="N396" i="27"/>
  <c r="R396" i="27"/>
  <c r="V396" i="27"/>
  <c r="Z396" i="27"/>
  <c r="AD396" i="27"/>
  <c r="AH396" i="27"/>
  <c r="AL396" i="27"/>
  <c r="AP396" i="27"/>
  <c r="AT396" i="27"/>
  <c r="AX396" i="27"/>
  <c r="BB396" i="27"/>
  <c r="BE396" i="27"/>
  <c r="BG396" i="27"/>
  <c r="BF396" i="27"/>
  <c r="J397" i="27"/>
  <c r="N397" i="27"/>
  <c r="R397" i="27"/>
  <c r="V397" i="27"/>
  <c r="Z397" i="27"/>
  <c r="AD397" i="27"/>
  <c r="AH397" i="27"/>
  <c r="AL397" i="27"/>
  <c r="AP397" i="27"/>
  <c r="AT397" i="27"/>
  <c r="AX397" i="27"/>
  <c r="BB397" i="27"/>
  <c r="BE397" i="27"/>
  <c r="BG397" i="27"/>
  <c r="BF397" i="27"/>
  <c r="J398" i="27"/>
  <c r="N398" i="27"/>
  <c r="R398" i="27"/>
  <c r="V398" i="27"/>
  <c r="Z398" i="27"/>
  <c r="AD398" i="27"/>
  <c r="AH398" i="27"/>
  <c r="AL398" i="27"/>
  <c r="AP398" i="27"/>
  <c r="AT398" i="27"/>
  <c r="AX398" i="27"/>
  <c r="BB398" i="27"/>
  <c r="BE398" i="27"/>
  <c r="BG398" i="27"/>
  <c r="BF398" i="27"/>
  <c r="J399" i="27"/>
  <c r="N399" i="27"/>
  <c r="R399" i="27"/>
  <c r="V399" i="27"/>
  <c r="Z399" i="27"/>
  <c r="AD399" i="27"/>
  <c r="AH399" i="27"/>
  <c r="AL399" i="27"/>
  <c r="AP399" i="27"/>
  <c r="AT399" i="27"/>
  <c r="AX399" i="27"/>
  <c r="BB399" i="27"/>
  <c r="BE399" i="27"/>
  <c r="BG399" i="27"/>
  <c r="BF399" i="27"/>
  <c r="J400" i="27"/>
  <c r="N400" i="27"/>
  <c r="R400" i="27"/>
  <c r="V400" i="27"/>
  <c r="Z400" i="27"/>
  <c r="AD400" i="27"/>
  <c r="AH400" i="27"/>
  <c r="AL400" i="27"/>
  <c r="AP400" i="27"/>
  <c r="AT400" i="27"/>
  <c r="AX400" i="27"/>
  <c r="BB400" i="27"/>
  <c r="BE400" i="27"/>
  <c r="BG400" i="27"/>
  <c r="BF400" i="27"/>
  <c r="J401" i="27"/>
  <c r="N401" i="27"/>
  <c r="R401" i="27"/>
  <c r="V401" i="27"/>
  <c r="Z401" i="27"/>
  <c r="AD401" i="27"/>
  <c r="AH401" i="27"/>
  <c r="AL401" i="27"/>
  <c r="AP401" i="27"/>
  <c r="AT401" i="27"/>
  <c r="AX401" i="27"/>
  <c r="BB401" i="27"/>
  <c r="BE401" i="27"/>
  <c r="BG401" i="27"/>
  <c r="BF401" i="27"/>
  <c r="I402" i="27"/>
  <c r="J402" i="27"/>
  <c r="M402" i="27"/>
  <c r="N402" i="27"/>
  <c r="Q402" i="27"/>
  <c r="R402" i="27"/>
  <c r="U402" i="27"/>
  <c r="V402" i="27"/>
  <c r="Y402" i="27"/>
  <c r="Z402" i="27"/>
  <c r="AC402" i="27"/>
  <c r="AD402" i="27"/>
  <c r="AG402" i="27"/>
  <c r="AH402" i="27"/>
  <c r="AK402" i="27"/>
  <c r="AL402" i="27"/>
  <c r="AO402" i="27"/>
  <c r="AP402" i="27"/>
  <c r="AS402" i="27"/>
  <c r="AT402" i="27"/>
  <c r="AW402" i="27"/>
  <c r="AX402" i="27"/>
  <c r="BA402" i="27"/>
  <c r="BB402" i="27"/>
  <c r="BE402" i="27"/>
  <c r="BG402" i="27"/>
  <c r="BF402" i="27"/>
  <c r="I406" i="27"/>
  <c r="M406" i="27"/>
  <c r="Q406" i="27"/>
  <c r="U406" i="27"/>
  <c r="Y406" i="27"/>
  <c r="AC406" i="27"/>
  <c r="AG406" i="27"/>
  <c r="AK406" i="27"/>
  <c r="AO406" i="27"/>
  <c r="AS406" i="27"/>
  <c r="AW406" i="27"/>
  <c r="BA406" i="27"/>
  <c r="BE406" i="27"/>
  <c r="J409" i="27"/>
  <c r="N409" i="27"/>
  <c r="R409" i="27"/>
  <c r="V409" i="27"/>
  <c r="Z409" i="27"/>
  <c r="AD409" i="27"/>
  <c r="AH409" i="27"/>
  <c r="AL409" i="27"/>
  <c r="AP409" i="27"/>
  <c r="AT409" i="27"/>
  <c r="AX409" i="27"/>
  <c r="BB409" i="27"/>
  <c r="BE409" i="27"/>
  <c r="BG409" i="27"/>
  <c r="BG410" i="27"/>
  <c r="BG411" i="27"/>
  <c r="BG412" i="27"/>
  <c r="BG413" i="27"/>
  <c r="BG414" i="27"/>
  <c r="BG415" i="27"/>
  <c r="BG416" i="27"/>
  <c r="BE410" i="27"/>
  <c r="BE411" i="27"/>
  <c r="BE412" i="27"/>
  <c r="BE413" i="27"/>
  <c r="BE414" i="27"/>
  <c r="BE415" i="27"/>
  <c r="BE416" i="27"/>
  <c r="BF416" i="27"/>
  <c r="BF409" i="27"/>
  <c r="J410" i="27"/>
  <c r="N410" i="27"/>
  <c r="R410" i="27"/>
  <c r="V410" i="27"/>
  <c r="Z410" i="27"/>
  <c r="AD410" i="27"/>
  <c r="AH410" i="27"/>
  <c r="AL410" i="27"/>
  <c r="AP410" i="27"/>
  <c r="AT410" i="27"/>
  <c r="AX410" i="27"/>
  <c r="BB410" i="27"/>
  <c r="BF410" i="27"/>
  <c r="J411" i="27"/>
  <c r="N411" i="27"/>
  <c r="R411" i="27"/>
  <c r="V411" i="27"/>
  <c r="Z411" i="27"/>
  <c r="AD411" i="27"/>
  <c r="AH411" i="27"/>
  <c r="AL411" i="27"/>
  <c r="AP411" i="27"/>
  <c r="AT411" i="27"/>
  <c r="AX411" i="27"/>
  <c r="BB411" i="27"/>
  <c r="BF411" i="27"/>
  <c r="J412" i="27"/>
  <c r="N412" i="27"/>
  <c r="R412" i="27"/>
  <c r="V412" i="27"/>
  <c r="Z412" i="27"/>
  <c r="AD412" i="27"/>
  <c r="AH412" i="27"/>
  <c r="AL412" i="27"/>
  <c r="AP412" i="27"/>
  <c r="AT412" i="27"/>
  <c r="AX412" i="27"/>
  <c r="BB412" i="27"/>
  <c r="BF412" i="27"/>
  <c r="J413" i="27"/>
  <c r="N413" i="27"/>
  <c r="R413" i="27"/>
  <c r="V413" i="27"/>
  <c r="Z413" i="27"/>
  <c r="AD413" i="27"/>
  <c r="AH413" i="27"/>
  <c r="AL413" i="27"/>
  <c r="AP413" i="27"/>
  <c r="AT413" i="27"/>
  <c r="AX413" i="27"/>
  <c r="BB413" i="27"/>
  <c r="BF413" i="27"/>
  <c r="J414" i="27"/>
  <c r="N414" i="27"/>
  <c r="R414" i="27"/>
  <c r="V414" i="27"/>
  <c r="Z414" i="27"/>
  <c r="AD414" i="27"/>
  <c r="AH414" i="27"/>
  <c r="AL414" i="27"/>
  <c r="AP414" i="27"/>
  <c r="AT414" i="27"/>
  <c r="AX414" i="27"/>
  <c r="BB414" i="27"/>
  <c r="BF414" i="27"/>
  <c r="J415" i="27"/>
  <c r="N415" i="27"/>
  <c r="R415" i="27"/>
  <c r="V415" i="27"/>
  <c r="Z415" i="27"/>
  <c r="AD415" i="27"/>
  <c r="AH415" i="27"/>
  <c r="AL415" i="27"/>
  <c r="AP415" i="27"/>
  <c r="AT415" i="27"/>
  <c r="AX415" i="27"/>
  <c r="BB415" i="27"/>
  <c r="BF415" i="27"/>
  <c r="I416" i="27"/>
  <c r="J416" i="27"/>
  <c r="M416" i="27"/>
  <c r="N416" i="27"/>
  <c r="Q416" i="27"/>
  <c r="R416" i="27"/>
  <c r="U416" i="27"/>
  <c r="V416" i="27"/>
  <c r="Y416" i="27"/>
  <c r="Z416" i="27"/>
  <c r="AC416" i="27"/>
  <c r="AD416" i="27"/>
  <c r="AG416" i="27"/>
  <c r="AH416" i="27"/>
  <c r="AK416" i="27"/>
  <c r="AL416" i="27"/>
  <c r="AO416" i="27"/>
  <c r="AP416" i="27"/>
  <c r="AS416" i="27"/>
  <c r="AT416" i="27"/>
  <c r="AW416" i="27"/>
  <c r="AX416" i="27"/>
  <c r="BA416" i="27"/>
  <c r="BB416" i="27"/>
  <c r="I420" i="27"/>
  <c r="M420" i="27"/>
  <c r="Q420" i="27"/>
  <c r="U420" i="27"/>
  <c r="Y420" i="27"/>
  <c r="AC420" i="27"/>
  <c r="AG420" i="27"/>
  <c r="AK420" i="27"/>
  <c r="AO420" i="27"/>
  <c r="AS420" i="27"/>
  <c r="AW420" i="27"/>
  <c r="BA420" i="27"/>
  <c r="BE420" i="27"/>
  <c r="J423" i="27"/>
  <c r="N423" i="27"/>
  <c r="R423" i="27"/>
  <c r="V423" i="27"/>
  <c r="Z423" i="27"/>
  <c r="AD423" i="27"/>
  <c r="AH423" i="27"/>
  <c r="AL423" i="27"/>
  <c r="AP423" i="27"/>
  <c r="AT423" i="27"/>
  <c r="AX423" i="27"/>
  <c r="BB423" i="27"/>
  <c r="BE423" i="27"/>
  <c r="BE424" i="27"/>
  <c r="BE425" i="27"/>
  <c r="BE426" i="27"/>
  <c r="BE427" i="27"/>
  <c r="BE428" i="27"/>
  <c r="BE429" i="27"/>
  <c r="BE430" i="27"/>
  <c r="BG423" i="27"/>
  <c r="BG424" i="27"/>
  <c r="BG425" i="27"/>
  <c r="BG426" i="27"/>
  <c r="BG427" i="27"/>
  <c r="BG428" i="27"/>
  <c r="BG429" i="27"/>
  <c r="BG430" i="27"/>
  <c r="BF423" i="27"/>
  <c r="J424" i="27"/>
  <c r="N424" i="27"/>
  <c r="R424" i="27"/>
  <c r="V424" i="27"/>
  <c r="Z424" i="27"/>
  <c r="AD424" i="27"/>
  <c r="AH424" i="27"/>
  <c r="AL424" i="27"/>
  <c r="AP424" i="27"/>
  <c r="AT424" i="27"/>
  <c r="AX424" i="27"/>
  <c r="BB424" i="27"/>
  <c r="BF424" i="27"/>
  <c r="J425" i="27"/>
  <c r="N425" i="27"/>
  <c r="R425" i="27"/>
  <c r="V425" i="27"/>
  <c r="Z425" i="27"/>
  <c r="AD425" i="27"/>
  <c r="AH425" i="27"/>
  <c r="AL425" i="27"/>
  <c r="AP425" i="27"/>
  <c r="AT425" i="27"/>
  <c r="AX425" i="27"/>
  <c r="BB425" i="27"/>
  <c r="BF425" i="27"/>
  <c r="J426" i="27"/>
  <c r="N426" i="27"/>
  <c r="R426" i="27"/>
  <c r="V426" i="27"/>
  <c r="Z426" i="27"/>
  <c r="AD426" i="27"/>
  <c r="AH426" i="27"/>
  <c r="AL426" i="27"/>
  <c r="AP426" i="27"/>
  <c r="AT426" i="27"/>
  <c r="AX426" i="27"/>
  <c r="BB426" i="27"/>
  <c r="BF426" i="27"/>
  <c r="J427" i="27"/>
  <c r="N427" i="27"/>
  <c r="R427" i="27"/>
  <c r="V427" i="27"/>
  <c r="Z427" i="27"/>
  <c r="AD427" i="27"/>
  <c r="AH427" i="27"/>
  <c r="AL427" i="27"/>
  <c r="AP427" i="27"/>
  <c r="AT427" i="27"/>
  <c r="AX427" i="27"/>
  <c r="BB427" i="27"/>
  <c r="BF427" i="27"/>
  <c r="J428" i="27"/>
  <c r="N428" i="27"/>
  <c r="R428" i="27"/>
  <c r="V428" i="27"/>
  <c r="Z428" i="27"/>
  <c r="AD428" i="27"/>
  <c r="AH428" i="27"/>
  <c r="AL428" i="27"/>
  <c r="AP428" i="27"/>
  <c r="AT428" i="27"/>
  <c r="AX428" i="27"/>
  <c r="BB428" i="27"/>
  <c r="BF428" i="27"/>
  <c r="J429" i="27"/>
  <c r="N429" i="27"/>
  <c r="R429" i="27"/>
  <c r="V429" i="27"/>
  <c r="Z429" i="27"/>
  <c r="AD429" i="27"/>
  <c r="AH429" i="27"/>
  <c r="AL429" i="27"/>
  <c r="AP429" i="27"/>
  <c r="AT429" i="27"/>
  <c r="AX429" i="27"/>
  <c r="BB429" i="27"/>
  <c r="BF429" i="27"/>
  <c r="I430" i="27"/>
  <c r="J430" i="27"/>
  <c r="M430" i="27"/>
  <c r="N430" i="27"/>
  <c r="Q430" i="27"/>
  <c r="R430" i="27"/>
  <c r="U430" i="27"/>
  <c r="V430" i="27"/>
  <c r="Y430" i="27"/>
  <c r="Z430" i="27"/>
  <c r="AC430" i="27"/>
  <c r="AD430" i="27"/>
  <c r="AG430" i="27"/>
  <c r="AH430" i="27"/>
  <c r="AK430" i="27"/>
  <c r="AL430" i="27"/>
  <c r="AO430" i="27"/>
  <c r="AP430" i="27"/>
  <c r="AS430" i="27"/>
  <c r="AT430" i="27"/>
  <c r="AW430" i="27"/>
  <c r="AX430" i="27"/>
  <c r="BA430" i="27"/>
  <c r="BB430" i="27"/>
  <c r="I434" i="27"/>
  <c r="M434" i="27"/>
  <c r="Q434" i="27"/>
  <c r="U434" i="27"/>
  <c r="Y434" i="27"/>
  <c r="AC434" i="27"/>
  <c r="AG434" i="27"/>
  <c r="AK434" i="27"/>
  <c r="AO434" i="27"/>
  <c r="AS434" i="27"/>
  <c r="AW434" i="27"/>
  <c r="BA434" i="27"/>
  <c r="BE434" i="27"/>
  <c r="J437" i="27"/>
  <c r="N437" i="27"/>
  <c r="R437" i="27"/>
  <c r="V437" i="27"/>
  <c r="Z437" i="27"/>
  <c r="AD437" i="27"/>
  <c r="AH437" i="27"/>
  <c r="AL437" i="27"/>
  <c r="AP437" i="27"/>
  <c r="AT437" i="27"/>
  <c r="AX437" i="27"/>
  <c r="BB437" i="27"/>
  <c r="BE437" i="27"/>
  <c r="BE438" i="27"/>
  <c r="BE439" i="27"/>
  <c r="BE440" i="27"/>
  <c r="BE441" i="27"/>
  <c r="BE442" i="27"/>
  <c r="BE443" i="27"/>
  <c r="BE444" i="27"/>
  <c r="BG437" i="27"/>
  <c r="BG438" i="27"/>
  <c r="BG439" i="27"/>
  <c r="BG440" i="27"/>
  <c r="BG441" i="27"/>
  <c r="BG442" i="27"/>
  <c r="BG443" i="27"/>
  <c r="BG444" i="27"/>
  <c r="BF444" i="27"/>
  <c r="BF437" i="27"/>
  <c r="J438" i="27"/>
  <c r="N438" i="27"/>
  <c r="R438" i="27"/>
  <c r="V438" i="27"/>
  <c r="Z438" i="27"/>
  <c r="AD438" i="27"/>
  <c r="AH438" i="27"/>
  <c r="AL438" i="27"/>
  <c r="AP438" i="27"/>
  <c r="AT438" i="27"/>
  <c r="AX438" i="27"/>
  <c r="BB438" i="27"/>
  <c r="BF438" i="27"/>
  <c r="J439" i="27"/>
  <c r="N439" i="27"/>
  <c r="R439" i="27"/>
  <c r="V439" i="27"/>
  <c r="Z439" i="27"/>
  <c r="AD439" i="27"/>
  <c r="AH439" i="27"/>
  <c r="AL439" i="27"/>
  <c r="AP439" i="27"/>
  <c r="AT439" i="27"/>
  <c r="AX439" i="27"/>
  <c r="BB439" i="27"/>
  <c r="BF439" i="27"/>
  <c r="J440" i="27"/>
  <c r="N440" i="27"/>
  <c r="R440" i="27"/>
  <c r="V440" i="27"/>
  <c r="Z440" i="27"/>
  <c r="AD440" i="27"/>
  <c r="AH440" i="27"/>
  <c r="AL440" i="27"/>
  <c r="AP440" i="27"/>
  <c r="AT440" i="27"/>
  <c r="AX440" i="27"/>
  <c r="BB440" i="27"/>
  <c r="BF440" i="27"/>
  <c r="J441" i="27"/>
  <c r="N441" i="27"/>
  <c r="R441" i="27"/>
  <c r="V441" i="27"/>
  <c r="Z441" i="27"/>
  <c r="AD441" i="27"/>
  <c r="AH441" i="27"/>
  <c r="AL441" i="27"/>
  <c r="AP441" i="27"/>
  <c r="AT441" i="27"/>
  <c r="AX441" i="27"/>
  <c r="BB441" i="27"/>
  <c r="BF441" i="27"/>
  <c r="J442" i="27"/>
  <c r="N442" i="27"/>
  <c r="R442" i="27"/>
  <c r="V442" i="27"/>
  <c r="Z442" i="27"/>
  <c r="AD442" i="27"/>
  <c r="AH442" i="27"/>
  <c r="AL442" i="27"/>
  <c r="AP442" i="27"/>
  <c r="AT442" i="27"/>
  <c r="AX442" i="27"/>
  <c r="BB442" i="27"/>
  <c r="BF442" i="27"/>
  <c r="J443" i="27"/>
  <c r="N443" i="27"/>
  <c r="R443" i="27"/>
  <c r="V443" i="27"/>
  <c r="Z443" i="27"/>
  <c r="AD443" i="27"/>
  <c r="AH443" i="27"/>
  <c r="AL443" i="27"/>
  <c r="AP443" i="27"/>
  <c r="AT443" i="27"/>
  <c r="AX443" i="27"/>
  <c r="BB443" i="27"/>
  <c r="BF443" i="27"/>
  <c r="I444" i="27"/>
  <c r="J444" i="27"/>
  <c r="M444" i="27"/>
  <c r="N444" i="27"/>
  <c r="Q444" i="27"/>
  <c r="R444" i="27"/>
  <c r="U444" i="27"/>
  <c r="V444" i="27"/>
  <c r="Y444" i="27"/>
  <c r="Z444" i="27"/>
  <c r="AC444" i="27"/>
  <c r="AD444" i="27"/>
  <c r="AG444" i="27"/>
  <c r="AH444" i="27"/>
  <c r="AK444" i="27"/>
  <c r="AL444" i="27"/>
  <c r="AO444" i="27"/>
  <c r="AP444" i="27"/>
  <c r="AS444" i="27"/>
  <c r="AT444" i="27"/>
  <c r="AW444" i="27"/>
  <c r="AX444" i="27"/>
  <c r="BA444" i="27"/>
  <c r="BB444" i="27"/>
  <c r="I448" i="27"/>
  <c r="M448" i="27"/>
  <c r="Q448" i="27"/>
  <c r="U448" i="27"/>
  <c r="Y448" i="27"/>
  <c r="AC448" i="27"/>
  <c r="AG448" i="27"/>
  <c r="AK448" i="27"/>
  <c r="AO448" i="27"/>
  <c r="AS448" i="27"/>
  <c r="AW448" i="27"/>
  <c r="BA448" i="27"/>
  <c r="BE448" i="27"/>
  <c r="J451" i="27"/>
  <c r="N451" i="27"/>
  <c r="R451" i="27"/>
  <c r="V451" i="27"/>
  <c r="Z451" i="27"/>
  <c r="AD451" i="27"/>
  <c r="AH451" i="27"/>
  <c r="AL451" i="27"/>
  <c r="AP451" i="27"/>
  <c r="AT451" i="27"/>
  <c r="AX451" i="27"/>
  <c r="BB451" i="27"/>
  <c r="BE451" i="27"/>
  <c r="BE452" i="27"/>
  <c r="BE453" i="27"/>
  <c r="BE454" i="27"/>
  <c r="BE455" i="27"/>
  <c r="BE456" i="27"/>
  <c r="BE457" i="27"/>
  <c r="BE458" i="27"/>
  <c r="BG451" i="27"/>
  <c r="BG452" i="27"/>
  <c r="BG453" i="27"/>
  <c r="BG454" i="27"/>
  <c r="BG455" i="27"/>
  <c r="BG456" i="27"/>
  <c r="BG457" i="27"/>
  <c r="BG458" i="27"/>
  <c r="BF458" i="27"/>
  <c r="BF451" i="27"/>
  <c r="J452" i="27"/>
  <c r="N452" i="27"/>
  <c r="R452" i="27"/>
  <c r="V452" i="27"/>
  <c r="Z452" i="27"/>
  <c r="AD452" i="27"/>
  <c r="AH452" i="27"/>
  <c r="AL452" i="27"/>
  <c r="AP452" i="27"/>
  <c r="AT452" i="27"/>
  <c r="AX452" i="27"/>
  <c r="BB452" i="27"/>
  <c r="BF452" i="27"/>
  <c r="J453" i="27"/>
  <c r="N453" i="27"/>
  <c r="R453" i="27"/>
  <c r="V453" i="27"/>
  <c r="Z453" i="27"/>
  <c r="AD453" i="27"/>
  <c r="AH453" i="27"/>
  <c r="AL453" i="27"/>
  <c r="AP453" i="27"/>
  <c r="AT453" i="27"/>
  <c r="AX453" i="27"/>
  <c r="BB453" i="27"/>
  <c r="BF453" i="27"/>
  <c r="J454" i="27"/>
  <c r="N454" i="27"/>
  <c r="R454" i="27"/>
  <c r="V454" i="27"/>
  <c r="Z454" i="27"/>
  <c r="AD454" i="27"/>
  <c r="AH454" i="27"/>
  <c r="AL454" i="27"/>
  <c r="AP454" i="27"/>
  <c r="AT454" i="27"/>
  <c r="AX454" i="27"/>
  <c r="BB454" i="27"/>
  <c r="BF454" i="27"/>
  <c r="J455" i="27"/>
  <c r="N455" i="27"/>
  <c r="R455" i="27"/>
  <c r="V455" i="27"/>
  <c r="Z455" i="27"/>
  <c r="AD455" i="27"/>
  <c r="AH455" i="27"/>
  <c r="AL455" i="27"/>
  <c r="AP455" i="27"/>
  <c r="AT455" i="27"/>
  <c r="AX455" i="27"/>
  <c r="BB455" i="27"/>
  <c r="BF455" i="27"/>
  <c r="J456" i="27"/>
  <c r="N456" i="27"/>
  <c r="R456" i="27"/>
  <c r="V456" i="27"/>
  <c r="Z456" i="27"/>
  <c r="AD456" i="27"/>
  <c r="AH456" i="27"/>
  <c r="AL456" i="27"/>
  <c r="AP456" i="27"/>
  <c r="AT456" i="27"/>
  <c r="AX456" i="27"/>
  <c r="BB456" i="27"/>
  <c r="BF456" i="27"/>
  <c r="J457" i="27"/>
  <c r="N457" i="27"/>
  <c r="R457" i="27"/>
  <c r="V457" i="27"/>
  <c r="Z457" i="27"/>
  <c r="AD457" i="27"/>
  <c r="AH457" i="27"/>
  <c r="AL457" i="27"/>
  <c r="AP457" i="27"/>
  <c r="AT457" i="27"/>
  <c r="AX457" i="27"/>
  <c r="BB457" i="27"/>
  <c r="BF457" i="27"/>
  <c r="I458" i="27"/>
  <c r="J458" i="27"/>
  <c r="M458" i="27"/>
  <c r="N458" i="27"/>
  <c r="Q458" i="27"/>
  <c r="R458" i="27"/>
  <c r="U458" i="27"/>
  <c r="V458" i="27"/>
  <c r="Y458" i="27"/>
  <c r="Z458" i="27"/>
  <c r="AC458" i="27"/>
  <c r="AD458" i="27"/>
  <c r="AG458" i="27"/>
  <c r="AH458" i="27"/>
  <c r="AK458" i="27"/>
  <c r="AL458" i="27"/>
  <c r="AO458" i="27"/>
  <c r="AP458" i="27"/>
  <c r="AS458" i="27"/>
  <c r="AT458" i="27"/>
  <c r="AW458" i="27"/>
  <c r="AX458" i="27"/>
  <c r="BA458" i="27"/>
  <c r="BB458" i="27"/>
  <c r="I462" i="27"/>
  <c r="M462" i="27"/>
  <c r="Q462" i="27"/>
  <c r="U462" i="27"/>
  <c r="Y462" i="27"/>
  <c r="AC462" i="27"/>
  <c r="AG462" i="27"/>
  <c r="AK462" i="27"/>
  <c r="AO462" i="27"/>
  <c r="AS462" i="27"/>
  <c r="AW462" i="27"/>
  <c r="BA462" i="27"/>
  <c r="BE462" i="27"/>
  <c r="J465" i="27"/>
  <c r="N465" i="27"/>
  <c r="R465" i="27"/>
  <c r="V465" i="27"/>
  <c r="Z465" i="27"/>
  <c r="AD465" i="27"/>
  <c r="AH465" i="27"/>
  <c r="AL465" i="27"/>
  <c r="AP465" i="27"/>
  <c r="AT465" i="27"/>
  <c r="AX465" i="27"/>
  <c r="BB465" i="27"/>
  <c r="BE465" i="27"/>
  <c r="BE466" i="27"/>
  <c r="BE467" i="27"/>
  <c r="BE468" i="27"/>
  <c r="BE469" i="27"/>
  <c r="BE470" i="27"/>
  <c r="BE471" i="27"/>
  <c r="BE472" i="27"/>
  <c r="BG465" i="27"/>
  <c r="BG466" i="27"/>
  <c r="BG467" i="27"/>
  <c r="BG468" i="27"/>
  <c r="BG469" i="27"/>
  <c r="BG470" i="27"/>
  <c r="BG471" i="27"/>
  <c r="BG472" i="27"/>
  <c r="BF472" i="27"/>
  <c r="BF465" i="27"/>
  <c r="J466" i="27"/>
  <c r="N466" i="27"/>
  <c r="R466" i="27"/>
  <c r="V466" i="27"/>
  <c r="Z466" i="27"/>
  <c r="AD466" i="27"/>
  <c r="AH466" i="27"/>
  <c r="AL466" i="27"/>
  <c r="AP466" i="27"/>
  <c r="AT466" i="27"/>
  <c r="AX466" i="27"/>
  <c r="BB466" i="27"/>
  <c r="BF466" i="27"/>
  <c r="J467" i="27"/>
  <c r="N467" i="27"/>
  <c r="R467" i="27"/>
  <c r="V467" i="27"/>
  <c r="Z467" i="27"/>
  <c r="AD467" i="27"/>
  <c r="AH467" i="27"/>
  <c r="AL467" i="27"/>
  <c r="AP467" i="27"/>
  <c r="AT467" i="27"/>
  <c r="AX467" i="27"/>
  <c r="BB467" i="27"/>
  <c r="BF467" i="27"/>
  <c r="J468" i="27"/>
  <c r="N468" i="27"/>
  <c r="R468" i="27"/>
  <c r="V468" i="27"/>
  <c r="Z468" i="27"/>
  <c r="AD468" i="27"/>
  <c r="AH468" i="27"/>
  <c r="AL468" i="27"/>
  <c r="AP468" i="27"/>
  <c r="AT468" i="27"/>
  <c r="AX468" i="27"/>
  <c r="BB468" i="27"/>
  <c r="BF468" i="27"/>
  <c r="J469" i="27"/>
  <c r="N469" i="27"/>
  <c r="R469" i="27"/>
  <c r="V469" i="27"/>
  <c r="Z469" i="27"/>
  <c r="AD469" i="27"/>
  <c r="AH469" i="27"/>
  <c r="AL469" i="27"/>
  <c r="AP469" i="27"/>
  <c r="AT469" i="27"/>
  <c r="AX469" i="27"/>
  <c r="BB469" i="27"/>
  <c r="BF469" i="27"/>
  <c r="J470" i="27"/>
  <c r="N470" i="27"/>
  <c r="R470" i="27"/>
  <c r="V470" i="27"/>
  <c r="Z470" i="27"/>
  <c r="AD470" i="27"/>
  <c r="AH470" i="27"/>
  <c r="AL470" i="27"/>
  <c r="AP470" i="27"/>
  <c r="AT470" i="27"/>
  <c r="AX470" i="27"/>
  <c r="BB470" i="27"/>
  <c r="BF470" i="27"/>
  <c r="J471" i="27"/>
  <c r="N471" i="27"/>
  <c r="R471" i="27"/>
  <c r="V471" i="27"/>
  <c r="Z471" i="27"/>
  <c r="AD471" i="27"/>
  <c r="AH471" i="27"/>
  <c r="AL471" i="27"/>
  <c r="AP471" i="27"/>
  <c r="AT471" i="27"/>
  <c r="AX471" i="27"/>
  <c r="BB471" i="27"/>
  <c r="BF471" i="27"/>
  <c r="I472" i="27"/>
  <c r="J472" i="27"/>
  <c r="M472" i="27"/>
  <c r="N472" i="27"/>
  <c r="Q472" i="27"/>
  <c r="R472" i="27"/>
  <c r="U472" i="27"/>
  <c r="V472" i="27"/>
  <c r="Y472" i="27"/>
  <c r="Z472" i="27"/>
  <c r="AC472" i="27"/>
  <c r="AD472" i="27"/>
  <c r="AG472" i="27"/>
  <c r="AH472" i="27"/>
  <c r="AK472" i="27"/>
  <c r="AL472" i="27"/>
  <c r="AO472" i="27"/>
  <c r="AP472" i="27"/>
  <c r="AS472" i="27"/>
  <c r="AT472" i="27"/>
  <c r="AW472" i="27"/>
  <c r="AX472" i="27"/>
  <c r="BA472" i="27"/>
  <c r="BB472" i="27"/>
  <c r="I225" i="27"/>
  <c r="M225" i="27"/>
  <c r="Q225" i="27"/>
  <c r="U225" i="27"/>
  <c r="Y225" i="27"/>
  <c r="AC225" i="27"/>
  <c r="AG225" i="27"/>
  <c r="AK225" i="27"/>
  <c r="AO225" i="27"/>
  <c r="AS225" i="27"/>
  <c r="AW225" i="27"/>
  <c r="BA225" i="27"/>
  <c r="BE225" i="27"/>
  <c r="G228" i="27"/>
  <c r="J228" i="27"/>
  <c r="N228" i="27"/>
  <c r="R228" i="27"/>
  <c r="V228" i="27"/>
  <c r="Z228" i="27"/>
  <c r="AD228" i="27"/>
  <c r="AH228" i="27"/>
  <c r="AL228" i="27"/>
  <c r="AP228" i="27"/>
  <c r="AT228" i="27"/>
  <c r="AX228" i="27"/>
  <c r="BB228" i="27"/>
  <c r="BE228" i="27"/>
  <c r="BG228" i="27"/>
  <c r="BG229" i="27"/>
  <c r="BG230" i="27"/>
  <c r="BG231" i="27"/>
  <c r="BG232" i="27"/>
  <c r="BG233" i="27"/>
  <c r="BG234" i="27"/>
  <c r="BG235" i="27"/>
  <c r="BF228" i="27"/>
  <c r="G229" i="27"/>
  <c r="J229" i="27"/>
  <c r="N229" i="27"/>
  <c r="R229" i="27"/>
  <c r="V229" i="27"/>
  <c r="Z229" i="27"/>
  <c r="AD229" i="27"/>
  <c r="AH229" i="27"/>
  <c r="AL229" i="27"/>
  <c r="AP229" i="27"/>
  <c r="AT229" i="27"/>
  <c r="AX229" i="27"/>
  <c r="BB229" i="27"/>
  <c r="BE229" i="27"/>
  <c r="BF229" i="27"/>
  <c r="G230" i="27"/>
  <c r="J230" i="27"/>
  <c r="N230" i="27"/>
  <c r="R230" i="27"/>
  <c r="V230" i="27"/>
  <c r="Z230" i="27"/>
  <c r="AD230" i="27"/>
  <c r="AH230" i="27"/>
  <c r="AL230" i="27"/>
  <c r="AP230" i="27"/>
  <c r="AT230" i="27"/>
  <c r="AX230" i="27"/>
  <c r="BB230" i="27"/>
  <c r="BE230" i="27"/>
  <c r="BE231" i="27"/>
  <c r="BE232" i="27"/>
  <c r="BE233" i="27"/>
  <c r="BE234" i="27"/>
  <c r="BE235" i="27"/>
  <c r="BF230" i="27"/>
  <c r="G231" i="27"/>
  <c r="J231" i="27"/>
  <c r="N231" i="27"/>
  <c r="R231" i="27"/>
  <c r="V231" i="27"/>
  <c r="Z231" i="27"/>
  <c r="AD231" i="27"/>
  <c r="AH231" i="27"/>
  <c r="AL231" i="27"/>
  <c r="AP231" i="27"/>
  <c r="AT231" i="27"/>
  <c r="AX231" i="27"/>
  <c r="BB231" i="27"/>
  <c r="BF231" i="27"/>
  <c r="G232" i="27"/>
  <c r="J232" i="27"/>
  <c r="N232" i="27"/>
  <c r="R232" i="27"/>
  <c r="V232" i="27"/>
  <c r="Z232" i="27"/>
  <c r="AD232" i="27"/>
  <c r="AH232" i="27"/>
  <c r="AL232" i="27"/>
  <c r="AP232" i="27"/>
  <c r="AT232" i="27"/>
  <c r="AX232" i="27"/>
  <c r="BB232" i="27"/>
  <c r="BF232" i="27"/>
  <c r="G233" i="27"/>
  <c r="J233" i="27"/>
  <c r="N233" i="27"/>
  <c r="R233" i="27"/>
  <c r="V233" i="27"/>
  <c r="Z233" i="27"/>
  <c r="AD233" i="27"/>
  <c r="AH233" i="27"/>
  <c r="AL233" i="27"/>
  <c r="AP233" i="27"/>
  <c r="AT233" i="27"/>
  <c r="AX233" i="27"/>
  <c r="BB233" i="27"/>
  <c r="BF233" i="27"/>
  <c r="G234" i="27"/>
  <c r="J234" i="27"/>
  <c r="N234" i="27"/>
  <c r="R234" i="27"/>
  <c r="V234" i="27"/>
  <c r="Z234" i="27"/>
  <c r="AD234" i="27"/>
  <c r="AH234" i="27"/>
  <c r="AL234" i="27"/>
  <c r="AP234" i="27"/>
  <c r="AT234" i="27"/>
  <c r="AX234" i="27"/>
  <c r="BB234" i="27"/>
  <c r="BF234" i="27"/>
  <c r="J235" i="27"/>
  <c r="N235" i="27"/>
  <c r="R235" i="27"/>
  <c r="V235" i="27"/>
  <c r="Z235" i="27"/>
  <c r="AD235" i="27"/>
  <c r="AH235" i="27"/>
  <c r="AL235" i="27"/>
  <c r="AP235" i="27"/>
  <c r="AT235" i="27"/>
  <c r="AX235" i="27"/>
  <c r="BB235" i="27"/>
  <c r="I239" i="27"/>
  <c r="M239" i="27"/>
  <c r="Q239" i="27"/>
  <c r="U239" i="27"/>
  <c r="Y239" i="27"/>
  <c r="AC239" i="27"/>
  <c r="AG239" i="27"/>
  <c r="AK239" i="27"/>
  <c r="AO239" i="27"/>
  <c r="AS239" i="27"/>
  <c r="AW239" i="27"/>
  <c r="BA239" i="27"/>
  <c r="BE239" i="27"/>
  <c r="G242" i="27"/>
  <c r="J242" i="27"/>
  <c r="N242" i="27"/>
  <c r="R242" i="27"/>
  <c r="V242" i="27"/>
  <c r="Z242" i="27"/>
  <c r="AD242" i="27"/>
  <c r="AH242" i="27"/>
  <c r="AL242" i="27"/>
  <c r="AP242" i="27"/>
  <c r="AT242" i="27"/>
  <c r="AX242" i="27"/>
  <c r="BB242" i="27"/>
  <c r="BE242" i="27"/>
  <c r="BE243" i="27"/>
  <c r="BE244" i="27"/>
  <c r="BE245" i="27"/>
  <c r="BE246" i="27"/>
  <c r="BE247" i="27"/>
  <c r="BE248" i="27"/>
  <c r="BE249" i="27"/>
  <c r="BG242" i="27"/>
  <c r="BF242" i="27"/>
  <c r="G243" i="27"/>
  <c r="J243" i="27"/>
  <c r="N243" i="27"/>
  <c r="R243" i="27"/>
  <c r="V243" i="27"/>
  <c r="Z243" i="27"/>
  <c r="AD243" i="27"/>
  <c r="AH243" i="27"/>
  <c r="AL243" i="27"/>
  <c r="AP243" i="27"/>
  <c r="AT243" i="27"/>
  <c r="AX243" i="27"/>
  <c r="BB243" i="27"/>
  <c r="BG243" i="27"/>
  <c r="BF243" i="27"/>
  <c r="G244" i="27"/>
  <c r="J244" i="27"/>
  <c r="N244" i="27"/>
  <c r="R244" i="27"/>
  <c r="V244" i="27"/>
  <c r="Z244" i="27"/>
  <c r="AD244" i="27"/>
  <c r="AH244" i="27"/>
  <c r="AL244" i="27"/>
  <c r="AP244" i="27"/>
  <c r="AT244" i="27"/>
  <c r="AX244" i="27"/>
  <c r="BB244" i="27"/>
  <c r="BG244" i="27"/>
  <c r="BF244" i="27"/>
  <c r="G245" i="27"/>
  <c r="J245" i="27"/>
  <c r="N245" i="27"/>
  <c r="R245" i="27"/>
  <c r="V245" i="27"/>
  <c r="Z245" i="27"/>
  <c r="AD245" i="27"/>
  <c r="AH245" i="27"/>
  <c r="AL245" i="27"/>
  <c r="AP245" i="27"/>
  <c r="AT245" i="27"/>
  <c r="AX245" i="27"/>
  <c r="BB245" i="27"/>
  <c r="BG245" i="27"/>
  <c r="BF245" i="27"/>
  <c r="G246" i="27"/>
  <c r="J246" i="27"/>
  <c r="N246" i="27"/>
  <c r="R246" i="27"/>
  <c r="V246" i="27"/>
  <c r="Z246" i="27"/>
  <c r="AD246" i="27"/>
  <c r="AH246" i="27"/>
  <c r="AL246" i="27"/>
  <c r="AP246" i="27"/>
  <c r="AT246" i="27"/>
  <c r="AX246" i="27"/>
  <c r="BB246" i="27"/>
  <c r="BG246" i="27"/>
  <c r="BF246" i="27"/>
  <c r="G247" i="27"/>
  <c r="J247" i="27"/>
  <c r="N247" i="27"/>
  <c r="R247" i="27"/>
  <c r="V247" i="27"/>
  <c r="Z247" i="27"/>
  <c r="AD247" i="27"/>
  <c r="AH247" i="27"/>
  <c r="AL247" i="27"/>
  <c r="AP247" i="27"/>
  <c r="AT247" i="27"/>
  <c r="AX247" i="27"/>
  <c r="BB247" i="27"/>
  <c r="BG247" i="27"/>
  <c r="BF247" i="27"/>
  <c r="G248" i="27"/>
  <c r="J248" i="27"/>
  <c r="N248" i="27"/>
  <c r="R248" i="27"/>
  <c r="V248" i="27"/>
  <c r="Z248" i="27"/>
  <c r="AD248" i="27"/>
  <c r="AH248" i="27"/>
  <c r="AL248" i="27"/>
  <c r="AP248" i="27"/>
  <c r="AT248" i="27"/>
  <c r="AX248" i="27"/>
  <c r="BB248" i="27"/>
  <c r="BG248" i="27"/>
  <c r="BF248" i="27"/>
  <c r="J249" i="27"/>
  <c r="N249" i="27"/>
  <c r="R249" i="27"/>
  <c r="V249" i="27"/>
  <c r="Z249" i="27"/>
  <c r="AD249" i="27"/>
  <c r="AH249" i="27"/>
  <c r="AL249" i="27"/>
  <c r="AP249" i="27"/>
  <c r="AT249" i="27"/>
  <c r="AX249" i="27"/>
  <c r="BB249" i="27"/>
  <c r="I253" i="27"/>
  <c r="M253" i="27"/>
  <c r="Q253" i="27"/>
  <c r="U253" i="27"/>
  <c r="Y253" i="27"/>
  <c r="AC253" i="27"/>
  <c r="AG253" i="27"/>
  <c r="AK253" i="27"/>
  <c r="AO253" i="27"/>
  <c r="AS253" i="27"/>
  <c r="AW253" i="27"/>
  <c r="BA253" i="27"/>
  <c r="BE253" i="27"/>
  <c r="G256" i="27"/>
  <c r="J256" i="27"/>
  <c r="N256" i="27"/>
  <c r="R256" i="27"/>
  <c r="V256" i="27"/>
  <c r="Z256" i="27"/>
  <c r="AD256" i="27"/>
  <c r="AH256" i="27"/>
  <c r="AL256" i="27"/>
  <c r="AP256" i="27"/>
  <c r="AT256" i="27"/>
  <c r="AX256" i="27"/>
  <c r="BB256" i="27"/>
  <c r="BE256" i="27"/>
  <c r="BG256" i="27"/>
  <c r="BF256" i="27"/>
  <c r="G257" i="27"/>
  <c r="J257" i="27"/>
  <c r="N257" i="27"/>
  <c r="R257" i="27"/>
  <c r="V257" i="27"/>
  <c r="Z257" i="27"/>
  <c r="AD257" i="27"/>
  <c r="AH257" i="27"/>
  <c r="AL257" i="27"/>
  <c r="AP257" i="27"/>
  <c r="AT257" i="27"/>
  <c r="AX257" i="27"/>
  <c r="BB257" i="27"/>
  <c r="BE257" i="27"/>
  <c r="BE258" i="27"/>
  <c r="BE259" i="27"/>
  <c r="BE260" i="27"/>
  <c r="BE261" i="27"/>
  <c r="BE262" i="27"/>
  <c r="BE263" i="27"/>
  <c r="BG257" i="27"/>
  <c r="BF257" i="27"/>
  <c r="G258" i="27"/>
  <c r="J258" i="27"/>
  <c r="N258" i="27"/>
  <c r="R258" i="27"/>
  <c r="V258" i="27"/>
  <c r="Z258" i="27"/>
  <c r="AD258" i="27"/>
  <c r="AH258" i="27"/>
  <c r="AL258" i="27"/>
  <c r="AP258" i="27"/>
  <c r="AT258" i="27"/>
  <c r="AX258" i="27"/>
  <c r="BB258" i="27"/>
  <c r="BG258" i="27"/>
  <c r="BF258" i="27"/>
  <c r="G259" i="27"/>
  <c r="J259" i="27"/>
  <c r="N259" i="27"/>
  <c r="R259" i="27"/>
  <c r="V259" i="27"/>
  <c r="Z259" i="27"/>
  <c r="AD259" i="27"/>
  <c r="AH259" i="27"/>
  <c r="AL259" i="27"/>
  <c r="AP259" i="27"/>
  <c r="AT259" i="27"/>
  <c r="AX259" i="27"/>
  <c r="BB259" i="27"/>
  <c r="BG259" i="27"/>
  <c r="BF259" i="27"/>
  <c r="G260" i="27"/>
  <c r="J260" i="27"/>
  <c r="N260" i="27"/>
  <c r="R260" i="27"/>
  <c r="V260" i="27"/>
  <c r="Z260" i="27"/>
  <c r="AD260" i="27"/>
  <c r="AH260" i="27"/>
  <c r="AL260" i="27"/>
  <c r="AP260" i="27"/>
  <c r="AT260" i="27"/>
  <c r="AX260" i="27"/>
  <c r="BB260" i="27"/>
  <c r="BG260" i="27"/>
  <c r="BF260" i="27"/>
  <c r="G261" i="27"/>
  <c r="J261" i="27"/>
  <c r="N261" i="27"/>
  <c r="R261" i="27"/>
  <c r="V261" i="27"/>
  <c r="Z261" i="27"/>
  <c r="AD261" i="27"/>
  <c r="AH261" i="27"/>
  <c r="AL261" i="27"/>
  <c r="AP261" i="27"/>
  <c r="AT261" i="27"/>
  <c r="AX261" i="27"/>
  <c r="BB261" i="27"/>
  <c r="BG261" i="27"/>
  <c r="BF261" i="27"/>
  <c r="G262" i="27"/>
  <c r="J262" i="27"/>
  <c r="N262" i="27"/>
  <c r="R262" i="27"/>
  <c r="V262" i="27"/>
  <c r="Z262" i="27"/>
  <c r="AD262" i="27"/>
  <c r="AH262" i="27"/>
  <c r="AL262" i="27"/>
  <c r="AP262" i="27"/>
  <c r="AT262" i="27"/>
  <c r="AX262" i="27"/>
  <c r="BB262" i="27"/>
  <c r="BG262" i="27"/>
  <c r="BF262" i="27"/>
  <c r="J263" i="27"/>
  <c r="N263" i="27"/>
  <c r="R263" i="27"/>
  <c r="V263" i="27"/>
  <c r="Z263" i="27"/>
  <c r="AD263" i="27"/>
  <c r="AH263" i="27"/>
  <c r="AL263" i="27"/>
  <c r="AP263" i="27"/>
  <c r="AT263" i="27"/>
  <c r="BB263" i="27"/>
  <c r="I267" i="27"/>
  <c r="M267" i="27"/>
  <c r="Q267" i="27"/>
  <c r="U267" i="27"/>
  <c r="Y267" i="27"/>
  <c r="AC267" i="27"/>
  <c r="AG267" i="27"/>
  <c r="AK267" i="27"/>
  <c r="AO267" i="27"/>
  <c r="AS267" i="27"/>
  <c r="AW267" i="27"/>
  <c r="BA267" i="27"/>
  <c r="BE267" i="27"/>
  <c r="G269" i="27"/>
  <c r="J269" i="27"/>
  <c r="N269" i="27"/>
  <c r="R269" i="27"/>
  <c r="V269" i="27"/>
  <c r="Z269" i="27"/>
  <c r="AD269" i="27"/>
  <c r="AH269" i="27"/>
  <c r="AL269" i="27"/>
  <c r="AP269" i="27"/>
  <c r="AT269" i="27"/>
  <c r="AX269" i="27"/>
  <c r="BB269" i="27"/>
  <c r="BE269" i="27"/>
  <c r="BG269" i="27"/>
  <c r="BF269" i="27"/>
  <c r="G270" i="27"/>
  <c r="J270" i="27"/>
  <c r="N270" i="27"/>
  <c r="R270" i="27"/>
  <c r="V270" i="27"/>
  <c r="Z270" i="27"/>
  <c r="AD270" i="27"/>
  <c r="AH270" i="27"/>
  <c r="AL270" i="27"/>
  <c r="AP270" i="27"/>
  <c r="AT270" i="27"/>
  <c r="AX270" i="27"/>
  <c r="BB270" i="27"/>
  <c r="BE270" i="27"/>
  <c r="BG270" i="27"/>
  <c r="BG271" i="27"/>
  <c r="BG272" i="27"/>
  <c r="BG273" i="27"/>
  <c r="BG274" i="27"/>
  <c r="BG275" i="27"/>
  <c r="BG276" i="27"/>
  <c r="BE271" i="27"/>
  <c r="BE272" i="27"/>
  <c r="BE273" i="27"/>
  <c r="BE274" i="27"/>
  <c r="BE275" i="27"/>
  <c r="BE276" i="27"/>
  <c r="BF276" i="27"/>
  <c r="BF270" i="27"/>
  <c r="G271" i="27"/>
  <c r="J271" i="27"/>
  <c r="N271" i="27"/>
  <c r="R271" i="27"/>
  <c r="V271" i="27"/>
  <c r="Z271" i="27"/>
  <c r="AD271" i="27"/>
  <c r="AH271" i="27"/>
  <c r="AL271" i="27"/>
  <c r="AP271" i="27"/>
  <c r="AT271" i="27"/>
  <c r="AX271" i="27"/>
  <c r="BB271" i="27"/>
  <c r="BF271" i="27"/>
  <c r="G272" i="27"/>
  <c r="J272" i="27"/>
  <c r="N272" i="27"/>
  <c r="R272" i="27"/>
  <c r="V272" i="27"/>
  <c r="Z272" i="27"/>
  <c r="AD272" i="27"/>
  <c r="AH272" i="27"/>
  <c r="AL272" i="27"/>
  <c r="AP272" i="27"/>
  <c r="AT272" i="27"/>
  <c r="AX272" i="27"/>
  <c r="BB272" i="27"/>
  <c r="BF272" i="27"/>
  <c r="G273" i="27"/>
  <c r="J273" i="27"/>
  <c r="N273" i="27"/>
  <c r="R273" i="27"/>
  <c r="V273" i="27"/>
  <c r="Z273" i="27"/>
  <c r="AD273" i="27"/>
  <c r="AH273" i="27"/>
  <c r="AL273" i="27"/>
  <c r="AP273" i="27"/>
  <c r="AT273" i="27"/>
  <c r="AX273" i="27"/>
  <c r="BB273" i="27"/>
  <c r="BF273" i="27"/>
  <c r="G274" i="27"/>
  <c r="J274" i="27"/>
  <c r="N274" i="27"/>
  <c r="R274" i="27"/>
  <c r="V274" i="27"/>
  <c r="Z274" i="27"/>
  <c r="AD274" i="27"/>
  <c r="AH274" i="27"/>
  <c r="AL274" i="27"/>
  <c r="AP274" i="27"/>
  <c r="AT274" i="27"/>
  <c r="AX274" i="27"/>
  <c r="BB274" i="27"/>
  <c r="BF274" i="27"/>
  <c r="G275" i="27"/>
  <c r="J275" i="27"/>
  <c r="N275" i="27"/>
  <c r="R275" i="27"/>
  <c r="V275" i="27"/>
  <c r="Z275" i="27"/>
  <c r="AD275" i="27"/>
  <c r="AH275" i="27"/>
  <c r="AL275" i="27"/>
  <c r="AP275" i="27"/>
  <c r="AT275" i="27"/>
  <c r="AX275" i="27"/>
  <c r="BB275" i="27"/>
  <c r="BF275" i="27"/>
  <c r="K276" i="27"/>
  <c r="J276" i="27"/>
  <c r="O276" i="27"/>
  <c r="N276" i="27"/>
  <c r="S276" i="27"/>
  <c r="R276" i="27"/>
  <c r="W276" i="27"/>
  <c r="V276" i="27"/>
  <c r="AA276" i="27"/>
  <c r="Z276" i="27"/>
  <c r="AE276" i="27"/>
  <c r="AD276" i="27"/>
  <c r="AI276" i="27"/>
  <c r="AH276" i="27"/>
  <c r="AM276" i="27"/>
  <c r="AL276" i="27"/>
  <c r="AQ276" i="27"/>
  <c r="AP276" i="27"/>
  <c r="AU276" i="27"/>
  <c r="AT276" i="27"/>
  <c r="AY276" i="27"/>
  <c r="AX276" i="27"/>
  <c r="BC276" i="27"/>
  <c r="BB276" i="27"/>
  <c r="I280" i="27"/>
  <c r="M280" i="27"/>
  <c r="Q280" i="27"/>
  <c r="U280" i="27"/>
  <c r="Y280" i="27"/>
  <c r="AC280" i="27"/>
  <c r="AG280" i="27"/>
  <c r="AK280" i="27"/>
  <c r="AO280" i="27"/>
  <c r="AS280" i="27"/>
  <c r="AW280" i="27"/>
  <c r="BA280" i="27"/>
  <c r="BE280" i="27"/>
  <c r="G282" i="27"/>
  <c r="J282" i="27"/>
  <c r="N282" i="27"/>
  <c r="R282" i="27"/>
  <c r="V282" i="27"/>
  <c r="Z282" i="27"/>
  <c r="AD282" i="27"/>
  <c r="AH282" i="27"/>
  <c r="AL282" i="27"/>
  <c r="AP282" i="27"/>
  <c r="AT282" i="27"/>
  <c r="AX282" i="27"/>
  <c r="BB282" i="27"/>
  <c r="BE282" i="27"/>
  <c r="BE283" i="27"/>
  <c r="BE284" i="27"/>
  <c r="BE285" i="27"/>
  <c r="BE286" i="27"/>
  <c r="BE287" i="27"/>
  <c r="BE288" i="27"/>
  <c r="BE289" i="27"/>
  <c r="BG282" i="27"/>
  <c r="BF282" i="27"/>
  <c r="G283" i="27"/>
  <c r="J283" i="27"/>
  <c r="N283" i="27"/>
  <c r="R283" i="27"/>
  <c r="V283" i="27"/>
  <c r="Z283" i="27"/>
  <c r="AD283" i="27"/>
  <c r="AH283" i="27"/>
  <c r="AL283" i="27"/>
  <c r="AP283" i="27"/>
  <c r="AT283" i="27"/>
  <c r="AX283" i="27"/>
  <c r="BB283" i="27"/>
  <c r="BG283" i="27"/>
  <c r="BF283" i="27"/>
  <c r="G284" i="27"/>
  <c r="J284" i="27"/>
  <c r="N284" i="27"/>
  <c r="R284" i="27"/>
  <c r="V284" i="27"/>
  <c r="Z284" i="27"/>
  <c r="AD284" i="27"/>
  <c r="AH284" i="27"/>
  <c r="AL284" i="27"/>
  <c r="AP284" i="27"/>
  <c r="AT284" i="27"/>
  <c r="AX284" i="27"/>
  <c r="BB284" i="27"/>
  <c r="BG284" i="27"/>
  <c r="BF284" i="27"/>
  <c r="G285" i="27"/>
  <c r="J285" i="27"/>
  <c r="N285" i="27"/>
  <c r="R285" i="27"/>
  <c r="V285" i="27"/>
  <c r="Z285" i="27"/>
  <c r="AD285" i="27"/>
  <c r="AH285" i="27"/>
  <c r="AL285" i="27"/>
  <c r="AP285" i="27"/>
  <c r="AT285" i="27"/>
  <c r="AX285" i="27"/>
  <c r="BB285" i="27"/>
  <c r="BG285" i="27"/>
  <c r="BF285" i="27"/>
  <c r="G286" i="27"/>
  <c r="J286" i="27"/>
  <c r="N286" i="27"/>
  <c r="R286" i="27"/>
  <c r="V286" i="27"/>
  <c r="Z286" i="27"/>
  <c r="AD286" i="27"/>
  <c r="AH286" i="27"/>
  <c r="AL286" i="27"/>
  <c r="AP286" i="27"/>
  <c r="AT286" i="27"/>
  <c r="AX286" i="27"/>
  <c r="BB286" i="27"/>
  <c r="BG286" i="27"/>
  <c r="BF286" i="27"/>
  <c r="G287" i="27"/>
  <c r="J287" i="27"/>
  <c r="N287" i="27"/>
  <c r="R287" i="27"/>
  <c r="V287" i="27"/>
  <c r="Z287" i="27"/>
  <c r="AD287" i="27"/>
  <c r="AH287" i="27"/>
  <c r="AL287" i="27"/>
  <c r="AP287" i="27"/>
  <c r="AT287" i="27"/>
  <c r="AX287" i="27"/>
  <c r="BB287" i="27"/>
  <c r="BG287" i="27"/>
  <c r="BF287" i="27"/>
  <c r="G288" i="27"/>
  <c r="J288" i="27"/>
  <c r="N288" i="27"/>
  <c r="R288" i="27"/>
  <c r="V288" i="27"/>
  <c r="Z288" i="27"/>
  <c r="AD288" i="27"/>
  <c r="AH288" i="27"/>
  <c r="AL288" i="27"/>
  <c r="AP288" i="27"/>
  <c r="AT288" i="27"/>
  <c r="AX288" i="27"/>
  <c r="BB288" i="27"/>
  <c r="BG288" i="27"/>
  <c r="BF288" i="27"/>
  <c r="K289" i="27"/>
  <c r="J289" i="27"/>
  <c r="O289" i="27"/>
  <c r="N289" i="27"/>
  <c r="S289" i="27"/>
  <c r="R289" i="27"/>
  <c r="W289" i="27"/>
  <c r="V289" i="27"/>
  <c r="AA289" i="27"/>
  <c r="Z289" i="27"/>
  <c r="AE289" i="27"/>
  <c r="AD289" i="27"/>
  <c r="AI289" i="27"/>
  <c r="AH289" i="27"/>
  <c r="AM289" i="27"/>
  <c r="AL289" i="27"/>
  <c r="AQ289" i="27"/>
  <c r="AP289" i="27"/>
  <c r="AU289" i="27"/>
  <c r="AT289" i="27"/>
  <c r="AY289" i="27"/>
  <c r="AX289" i="27"/>
  <c r="BC289" i="27"/>
  <c r="BB289" i="27"/>
  <c r="I293" i="27"/>
  <c r="M293" i="27"/>
  <c r="Q293" i="27"/>
  <c r="U293" i="27"/>
  <c r="Y293" i="27"/>
  <c r="AC293" i="27"/>
  <c r="AG293" i="27"/>
  <c r="AK293" i="27"/>
  <c r="AO293" i="27"/>
  <c r="AS293" i="27"/>
  <c r="AW293" i="27"/>
  <c r="BA293" i="27"/>
  <c r="BE293" i="27"/>
  <c r="G296" i="27"/>
  <c r="BE296" i="27"/>
  <c r="BG296" i="27"/>
  <c r="BF296" i="27"/>
  <c r="G297" i="27"/>
  <c r="BE297" i="27"/>
  <c r="BE298" i="27"/>
  <c r="BE299" i="27"/>
  <c r="BE300" i="27"/>
  <c r="BE301" i="27"/>
  <c r="BE302" i="27"/>
  <c r="BE303" i="27"/>
  <c r="BG297" i="27"/>
  <c r="BF297" i="27"/>
  <c r="G298" i="27"/>
  <c r="BG298" i="27"/>
  <c r="BF298" i="27"/>
  <c r="G299" i="27"/>
  <c r="BG299" i="27"/>
  <c r="BF299" i="27"/>
  <c r="G300" i="27"/>
  <c r="BG300" i="27"/>
  <c r="BF300" i="27"/>
  <c r="G301" i="27"/>
  <c r="BG301" i="27"/>
  <c r="BF301" i="27"/>
  <c r="G302" i="27"/>
  <c r="BG302" i="27"/>
  <c r="BF302" i="27"/>
  <c r="K303" i="27"/>
  <c r="J303" i="27"/>
  <c r="O303" i="27"/>
  <c r="N303" i="27"/>
  <c r="S303" i="27"/>
  <c r="R303" i="27"/>
  <c r="W303" i="27"/>
  <c r="V303" i="27"/>
  <c r="AA303" i="27"/>
  <c r="Z303" i="27"/>
  <c r="AE303" i="27"/>
  <c r="AD303" i="27"/>
  <c r="AI303" i="27"/>
  <c r="AH303" i="27"/>
  <c r="AM303" i="27"/>
  <c r="AL303" i="27"/>
  <c r="AQ303" i="27"/>
  <c r="AP303" i="27"/>
  <c r="AU303" i="27"/>
  <c r="AT303" i="27"/>
  <c r="AY303" i="27"/>
  <c r="AX303" i="27"/>
  <c r="BC303" i="27"/>
  <c r="BB303" i="27"/>
  <c r="I307" i="27"/>
  <c r="M307" i="27"/>
  <c r="Q307" i="27"/>
  <c r="U307" i="27"/>
  <c r="Y307" i="27"/>
  <c r="AC307" i="27"/>
  <c r="AG307" i="27"/>
  <c r="AK307" i="27"/>
  <c r="AO307" i="27"/>
  <c r="AS307" i="27"/>
  <c r="AW307" i="27"/>
  <c r="BA307" i="27"/>
  <c r="BE307" i="27"/>
  <c r="G310" i="27"/>
  <c r="J310" i="27"/>
  <c r="N310" i="27"/>
  <c r="R310" i="27"/>
  <c r="V310" i="27"/>
  <c r="Z310" i="27"/>
  <c r="AD310" i="27"/>
  <c r="AH310" i="27"/>
  <c r="AL310" i="27"/>
  <c r="AP310" i="27"/>
  <c r="AT310" i="27"/>
  <c r="AX310" i="27"/>
  <c r="BB310" i="27"/>
  <c r="BE310" i="27"/>
  <c r="BG310" i="27"/>
  <c r="BF310" i="27"/>
  <c r="G311" i="27"/>
  <c r="J311" i="27"/>
  <c r="N311" i="27"/>
  <c r="R311" i="27"/>
  <c r="V311" i="27"/>
  <c r="Z311" i="27"/>
  <c r="AD311" i="27"/>
  <c r="AH311" i="27"/>
  <c r="AL311" i="27"/>
  <c r="AP311" i="27"/>
  <c r="AT311" i="27"/>
  <c r="AX311" i="27"/>
  <c r="BB311" i="27"/>
  <c r="BE311" i="27"/>
  <c r="BG311" i="27"/>
  <c r="BG312" i="27"/>
  <c r="BG313" i="27"/>
  <c r="BG314" i="27"/>
  <c r="BG315" i="27"/>
  <c r="BG316" i="27"/>
  <c r="BG317" i="27"/>
  <c r="BE312" i="27"/>
  <c r="BE313" i="27"/>
  <c r="BE314" i="27"/>
  <c r="BE315" i="27"/>
  <c r="BE316" i="27"/>
  <c r="BE317" i="27"/>
  <c r="BF317" i="27"/>
  <c r="BF311" i="27"/>
  <c r="G312" i="27"/>
  <c r="J312" i="27"/>
  <c r="N312" i="27"/>
  <c r="R312" i="27"/>
  <c r="V312" i="27"/>
  <c r="Z312" i="27"/>
  <c r="AD312" i="27"/>
  <c r="AH312" i="27"/>
  <c r="AL312" i="27"/>
  <c r="AP312" i="27"/>
  <c r="AT312" i="27"/>
  <c r="AX312" i="27"/>
  <c r="BB312" i="27"/>
  <c r="BF312" i="27"/>
  <c r="G313" i="27"/>
  <c r="J313" i="27"/>
  <c r="N313" i="27"/>
  <c r="R313" i="27"/>
  <c r="V313" i="27"/>
  <c r="Z313" i="27"/>
  <c r="AD313" i="27"/>
  <c r="AH313" i="27"/>
  <c r="AL313" i="27"/>
  <c r="AP313" i="27"/>
  <c r="AT313" i="27"/>
  <c r="AX313" i="27"/>
  <c r="BB313" i="27"/>
  <c r="BF313" i="27"/>
  <c r="G314" i="27"/>
  <c r="J314" i="27"/>
  <c r="N314" i="27"/>
  <c r="R314" i="27"/>
  <c r="V314" i="27"/>
  <c r="Z314" i="27"/>
  <c r="AD314" i="27"/>
  <c r="AH314" i="27"/>
  <c r="AL314" i="27"/>
  <c r="AP314" i="27"/>
  <c r="AT314" i="27"/>
  <c r="AX314" i="27"/>
  <c r="BB314" i="27"/>
  <c r="BF314" i="27"/>
  <c r="G315" i="27"/>
  <c r="J315" i="27"/>
  <c r="N315" i="27"/>
  <c r="R315" i="27"/>
  <c r="V315" i="27"/>
  <c r="Z315" i="27"/>
  <c r="AD315" i="27"/>
  <c r="AH315" i="27"/>
  <c r="AL315" i="27"/>
  <c r="AP315" i="27"/>
  <c r="AT315" i="27"/>
  <c r="AX315" i="27"/>
  <c r="BB315" i="27"/>
  <c r="BF315" i="27"/>
  <c r="G316" i="27"/>
  <c r="J316" i="27"/>
  <c r="N316" i="27"/>
  <c r="R316" i="27"/>
  <c r="V316" i="27"/>
  <c r="Z316" i="27"/>
  <c r="AD316" i="27"/>
  <c r="AH316" i="27"/>
  <c r="AL316" i="27"/>
  <c r="AP316" i="27"/>
  <c r="AT316" i="27"/>
  <c r="AX316" i="27"/>
  <c r="BB316" i="27"/>
  <c r="BF316" i="27"/>
  <c r="J317" i="27"/>
  <c r="N317" i="27"/>
  <c r="R317" i="27"/>
  <c r="V317" i="27"/>
  <c r="Z317" i="27"/>
  <c r="AD317" i="27"/>
  <c r="AH317" i="27"/>
  <c r="AL317" i="27"/>
  <c r="AP317" i="27"/>
  <c r="AT317" i="27"/>
  <c r="AX317" i="27"/>
  <c r="BB317" i="27"/>
  <c r="I321" i="27"/>
  <c r="M321" i="27"/>
  <c r="Q321" i="27"/>
  <c r="U321" i="27"/>
  <c r="Y321" i="27"/>
  <c r="AC321" i="27"/>
  <c r="AG321" i="27"/>
  <c r="AK321" i="27"/>
  <c r="AO321" i="27"/>
  <c r="AS321" i="27"/>
  <c r="AW321" i="27"/>
  <c r="BA321" i="27"/>
  <c r="BE321" i="27"/>
  <c r="J324" i="27"/>
  <c r="N324" i="27"/>
  <c r="R324" i="27"/>
  <c r="V324" i="27"/>
  <c r="Z324" i="27"/>
  <c r="AD324" i="27"/>
  <c r="AH324" i="27"/>
  <c r="AL324" i="27"/>
  <c r="AP324" i="27"/>
  <c r="AT324" i="27"/>
  <c r="AX324" i="27"/>
  <c r="BB324" i="27"/>
  <c r="BE324" i="27"/>
  <c r="BE325" i="27"/>
  <c r="BE326" i="27"/>
  <c r="BE327" i="27"/>
  <c r="BE328" i="27"/>
  <c r="BE329" i="27"/>
  <c r="BE330" i="27"/>
  <c r="BE331" i="27"/>
  <c r="BG324" i="27"/>
  <c r="BG325" i="27"/>
  <c r="BG326" i="27"/>
  <c r="BG327" i="27"/>
  <c r="BG328" i="27"/>
  <c r="BG329" i="27"/>
  <c r="BG330" i="27"/>
  <c r="BG331" i="27"/>
  <c r="BF331" i="27"/>
  <c r="BF324" i="27"/>
  <c r="J325" i="27"/>
  <c r="N325" i="27"/>
  <c r="R325" i="27"/>
  <c r="V325" i="27"/>
  <c r="Z325" i="27"/>
  <c r="AD325" i="27"/>
  <c r="AH325" i="27"/>
  <c r="AL325" i="27"/>
  <c r="AP325" i="27"/>
  <c r="AT325" i="27"/>
  <c r="AX325" i="27"/>
  <c r="BB325" i="27"/>
  <c r="BF325" i="27"/>
  <c r="J326" i="27"/>
  <c r="N326" i="27"/>
  <c r="R326" i="27"/>
  <c r="V326" i="27"/>
  <c r="Z326" i="27"/>
  <c r="AD326" i="27"/>
  <c r="AH326" i="27"/>
  <c r="AL326" i="27"/>
  <c r="AP326" i="27"/>
  <c r="AT326" i="27"/>
  <c r="AX326" i="27"/>
  <c r="BB326" i="27"/>
  <c r="BF326" i="27"/>
  <c r="J327" i="27"/>
  <c r="N327" i="27"/>
  <c r="R327" i="27"/>
  <c r="V327" i="27"/>
  <c r="Z327" i="27"/>
  <c r="AD327" i="27"/>
  <c r="AH327" i="27"/>
  <c r="AL327" i="27"/>
  <c r="AP327" i="27"/>
  <c r="AT327" i="27"/>
  <c r="AX327" i="27"/>
  <c r="BB327" i="27"/>
  <c r="BF327" i="27"/>
  <c r="J328" i="27"/>
  <c r="N328" i="27"/>
  <c r="R328" i="27"/>
  <c r="V328" i="27"/>
  <c r="Z328" i="27"/>
  <c r="AD328" i="27"/>
  <c r="AH328" i="27"/>
  <c r="AL328" i="27"/>
  <c r="AP328" i="27"/>
  <c r="AT328" i="27"/>
  <c r="AX328" i="27"/>
  <c r="BB328" i="27"/>
  <c r="BF328" i="27"/>
  <c r="J329" i="27"/>
  <c r="N329" i="27"/>
  <c r="R329" i="27"/>
  <c r="V329" i="27"/>
  <c r="Z329" i="27"/>
  <c r="AD329" i="27"/>
  <c r="AH329" i="27"/>
  <c r="AL329" i="27"/>
  <c r="AP329" i="27"/>
  <c r="AT329" i="27"/>
  <c r="AX329" i="27"/>
  <c r="BB329" i="27"/>
  <c r="BF329" i="27"/>
  <c r="J330" i="27"/>
  <c r="N330" i="27"/>
  <c r="R330" i="27"/>
  <c r="V330" i="27"/>
  <c r="Z330" i="27"/>
  <c r="AD330" i="27"/>
  <c r="AH330" i="27"/>
  <c r="AL330" i="27"/>
  <c r="AP330" i="27"/>
  <c r="AT330" i="27"/>
  <c r="AX330" i="27"/>
  <c r="BB330" i="27"/>
  <c r="BF330" i="27"/>
  <c r="J331" i="27"/>
  <c r="N331" i="27"/>
  <c r="R331" i="27"/>
  <c r="V331" i="27"/>
  <c r="Z331" i="27"/>
  <c r="AD331" i="27"/>
  <c r="AH331" i="27"/>
  <c r="AL331" i="27"/>
  <c r="AP331" i="27"/>
  <c r="AT331" i="27"/>
  <c r="AX331" i="27"/>
  <c r="BB331" i="27"/>
  <c r="I335" i="27"/>
  <c r="M335" i="27"/>
  <c r="Q335" i="27"/>
  <c r="U335" i="27"/>
  <c r="Y335" i="27"/>
  <c r="AC335" i="27"/>
  <c r="AG335" i="27"/>
  <c r="AK335" i="27"/>
  <c r="AO335" i="27"/>
  <c r="AS335" i="27"/>
  <c r="AW335" i="27"/>
  <c r="BA335" i="27"/>
  <c r="BE335" i="27"/>
  <c r="G338" i="27"/>
  <c r="J338" i="27"/>
  <c r="N338" i="27"/>
  <c r="R338" i="27"/>
  <c r="V338" i="27"/>
  <c r="Z338" i="27"/>
  <c r="AD338" i="27"/>
  <c r="AH338" i="27"/>
  <c r="AL338" i="27"/>
  <c r="AP338" i="27"/>
  <c r="AT338" i="27"/>
  <c r="AX338" i="27"/>
  <c r="BB338" i="27"/>
  <c r="BE338" i="27"/>
  <c r="BG338" i="27"/>
  <c r="BF338" i="27"/>
  <c r="G339" i="27"/>
  <c r="J339" i="27"/>
  <c r="N339" i="27"/>
  <c r="R339" i="27"/>
  <c r="V339" i="27"/>
  <c r="Z339" i="27"/>
  <c r="AD339" i="27"/>
  <c r="AH339" i="27"/>
  <c r="AL339" i="27"/>
  <c r="AP339" i="27"/>
  <c r="AT339" i="27"/>
  <c r="AX339" i="27"/>
  <c r="BB339" i="27"/>
  <c r="BE339" i="27"/>
  <c r="BG339" i="27"/>
  <c r="BG340" i="27"/>
  <c r="BG341" i="27"/>
  <c r="BG342" i="27"/>
  <c r="BG343" i="27"/>
  <c r="BG344" i="27"/>
  <c r="BG345" i="27"/>
  <c r="BF339" i="27"/>
  <c r="G340" i="27"/>
  <c r="J340" i="27"/>
  <c r="N340" i="27"/>
  <c r="R340" i="27"/>
  <c r="V340" i="27"/>
  <c r="Z340" i="27"/>
  <c r="AD340" i="27"/>
  <c r="AH340" i="27"/>
  <c r="AL340" i="27"/>
  <c r="AP340" i="27"/>
  <c r="AT340" i="27"/>
  <c r="AX340" i="27"/>
  <c r="BB340" i="27"/>
  <c r="BE340" i="27"/>
  <c r="BF340" i="27"/>
  <c r="G341" i="27"/>
  <c r="J341" i="27"/>
  <c r="N341" i="27"/>
  <c r="R341" i="27"/>
  <c r="V341" i="27"/>
  <c r="Z341" i="27"/>
  <c r="AD341" i="27"/>
  <c r="AH341" i="27"/>
  <c r="AL341" i="27"/>
  <c r="AP341" i="27"/>
  <c r="AT341" i="27"/>
  <c r="AX341" i="27"/>
  <c r="BB341" i="27"/>
  <c r="BE341" i="27"/>
  <c r="BF341" i="27"/>
  <c r="G342" i="27"/>
  <c r="J342" i="27"/>
  <c r="N342" i="27"/>
  <c r="R342" i="27"/>
  <c r="V342" i="27"/>
  <c r="Z342" i="27"/>
  <c r="AD342" i="27"/>
  <c r="AH342" i="27"/>
  <c r="AL342" i="27"/>
  <c r="AP342" i="27"/>
  <c r="AT342" i="27"/>
  <c r="AX342" i="27"/>
  <c r="BB342" i="27"/>
  <c r="BE342" i="27"/>
  <c r="BF342" i="27"/>
  <c r="G343" i="27"/>
  <c r="J343" i="27"/>
  <c r="N343" i="27"/>
  <c r="R343" i="27"/>
  <c r="V343" i="27"/>
  <c r="Z343" i="27"/>
  <c r="AD343" i="27"/>
  <c r="AH343" i="27"/>
  <c r="AL343" i="27"/>
  <c r="AP343" i="27"/>
  <c r="AT343" i="27"/>
  <c r="AX343" i="27"/>
  <c r="BB343" i="27"/>
  <c r="BE343" i="27"/>
  <c r="BF343" i="27"/>
  <c r="G344" i="27"/>
  <c r="J344" i="27"/>
  <c r="N344" i="27"/>
  <c r="R344" i="27"/>
  <c r="V344" i="27"/>
  <c r="Z344" i="27"/>
  <c r="AD344" i="27"/>
  <c r="AH344" i="27"/>
  <c r="AL344" i="27"/>
  <c r="AP344" i="27"/>
  <c r="AT344" i="27"/>
  <c r="AX344" i="27"/>
  <c r="BB344" i="27"/>
  <c r="BE344" i="27"/>
  <c r="BF344" i="27"/>
  <c r="J345" i="27"/>
  <c r="N345" i="27"/>
  <c r="R345" i="27"/>
  <c r="V345" i="27"/>
  <c r="Z345" i="27"/>
  <c r="AD345" i="27"/>
  <c r="AH345" i="27"/>
  <c r="AL345" i="27"/>
  <c r="AP345" i="27"/>
  <c r="AT345" i="27"/>
  <c r="AX345" i="27"/>
  <c r="BB345" i="27"/>
  <c r="I349" i="27"/>
  <c r="M349" i="27"/>
  <c r="Q349" i="27"/>
  <c r="U349" i="27"/>
  <c r="Y349" i="27"/>
  <c r="AC349" i="27"/>
  <c r="AG349" i="27"/>
  <c r="AK349" i="27"/>
  <c r="AO349" i="27"/>
  <c r="AS349" i="27"/>
  <c r="AW349" i="27"/>
  <c r="BA349" i="27"/>
  <c r="BE349" i="27"/>
  <c r="J352" i="27"/>
  <c r="N352" i="27"/>
  <c r="R352" i="27"/>
  <c r="V352" i="27"/>
  <c r="Z352" i="27"/>
  <c r="AD352" i="27"/>
  <c r="AH352" i="27"/>
  <c r="AL352" i="27"/>
  <c r="AP352" i="27"/>
  <c r="AT352" i="27"/>
  <c r="AX352" i="27"/>
  <c r="BB352" i="27"/>
  <c r="BE352" i="27"/>
  <c r="BE353" i="27"/>
  <c r="BE354" i="27"/>
  <c r="BE355" i="27"/>
  <c r="BE356" i="27"/>
  <c r="BE357" i="27"/>
  <c r="BE358" i="27"/>
  <c r="BE359" i="27"/>
  <c r="BG352" i="27"/>
  <c r="BG353" i="27"/>
  <c r="BG354" i="27"/>
  <c r="BG355" i="27"/>
  <c r="BG356" i="27"/>
  <c r="BG357" i="27"/>
  <c r="BG358" i="27"/>
  <c r="BG359" i="27"/>
  <c r="BF359" i="27"/>
  <c r="BF352" i="27"/>
  <c r="J353" i="27"/>
  <c r="N353" i="27"/>
  <c r="R353" i="27"/>
  <c r="V353" i="27"/>
  <c r="Z353" i="27"/>
  <c r="AD353" i="27"/>
  <c r="AH353" i="27"/>
  <c r="AL353" i="27"/>
  <c r="AP353" i="27"/>
  <c r="AT353" i="27"/>
  <c r="AX353" i="27"/>
  <c r="BB353" i="27"/>
  <c r="BF353" i="27"/>
  <c r="J354" i="27"/>
  <c r="N354" i="27"/>
  <c r="R354" i="27"/>
  <c r="V354" i="27"/>
  <c r="Z354" i="27"/>
  <c r="AD354" i="27"/>
  <c r="AH354" i="27"/>
  <c r="AL354" i="27"/>
  <c r="AP354" i="27"/>
  <c r="AT354" i="27"/>
  <c r="AX354" i="27"/>
  <c r="BB354" i="27"/>
  <c r="BF354" i="27"/>
  <c r="J355" i="27"/>
  <c r="N355" i="27"/>
  <c r="R355" i="27"/>
  <c r="V355" i="27"/>
  <c r="Z355" i="27"/>
  <c r="AD355" i="27"/>
  <c r="AH355" i="27"/>
  <c r="AL355" i="27"/>
  <c r="AP355" i="27"/>
  <c r="AT355" i="27"/>
  <c r="AX355" i="27"/>
  <c r="BB355" i="27"/>
  <c r="BF355" i="27"/>
  <c r="J356" i="27"/>
  <c r="N356" i="27"/>
  <c r="R356" i="27"/>
  <c r="V356" i="27"/>
  <c r="Z356" i="27"/>
  <c r="AD356" i="27"/>
  <c r="AH356" i="27"/>
  <c r="AL356" i="27"/>
  <c r="AP356" i="27"/>
  <c r="AT356" i="27"/>
  <c r="AX356" i="27"/>
  <c r="BB356" i="27"/>
  <c r="BF356" i="27"/>
  <c r="J357" i="27"/>
  <c r="N357" i="27"/>
  <c r="R357" i="27"/>
  <c r="V357" i="27"/>
  <c r="Z357" i="27"/>
  <c r="AD357" i="27"/>
  <c r="AH357" i="27"/>
  <c r="AL357" i="27"/>
  <c r="AP357" i="27"/>
  <c r="AT357" i="27"/>
  <c r="AX357" i="27"/>
  <c r="BB357" i="27"/>
  <c r="BF357" i="27"/>
  <c r="J358" i="27"/>
  <c r="N358" i="27"/>
  <c r="R358" i="27"/>
  <c r="V358" i="27"/>
  <c r="Z358" i="27"/>
  <c r="AD358" i="27"/>
  <c r="AH358" i="27"/>
  <c r="AL358" i="27"/>
  <c r="AP358" i="27"/>
  <c r="AT358" i="27"/>
  <c r="AX358" i="27"/>
  <c r="BB358" i="27"/>
  <c r="BF358" i="27"/>
  <c r="J359" i="27"/>
  <c r="N359" i="27"/>
  <c r="R359" i="27"/>
  <c r="V359" i="27"/>
  <c r="Z359" i="27"/>
  <c r="AD359" i="27"/>
  <c r="AH359" i="27"/>
  <c r="AL359" i="27"/>
  <c r="AP359" i="27"/>
  <c r="AT359" i="27"/>
  <c r="AX359" i="27"/>
  <c r="BB359" i="27"/>
  <c r="I363" i="27"/>
  <c r="M363" i="27"/>
  <c r="Q363" i="27"/>
  <c r="U363" i="27"/>
  <c r="Y363" i="27"/>
  <c r="AC363" i="27"/>
  <c r="AG363" i="27"/>
  <c r="AK363" i="27"/>
  <c r="AO363" i="27"/>
  <c r="AS363" i="27"/>
  <c r="AW363" i="27"/>
  <c r="BA363" i="27"/>
  <c r="BE363" i="27"/>
  <c r="J365" i="27"/>
  <c r="N365" i="27"/>
  <c r="R365" i="27"/>
  <c r="V365" i="27"/>
  <c r="Z365" i="27"/>
  <c r="AD365" i="27"/>
  <c r="AH365" i="27"/>
  <c r="AL365" i="27"/>
  <c r="AP365" i="27"/>
  <c r="AT365" i="27"/>
  <c r="AX365" i="27"/>
  <c r="BB365" i="27"/>
  <c r="BE365" i="27"/>
  <c r="BE366" i="27"/>
  <c r="BE367" i="27"/>
  <c r="BE368" i="27"/>
  <c r="BE369" i="27"/>
  <c r="BE370" i="27"/>
  <c r="BE371" i="27"/>
  <c r="BE372" i="27"/>
  <c r="BG365" i="27"/>
  <c r="BG366" i="27"/>
  <c r="BG367" i="27"/>
  <c r="BG368" i="27"/>
  <c r="BG369" i="27"/>
  <c r="BG370" i="27"/>
  <c r="BG371" i="27"/>
  <c r="BG372" i="27"/>
  <c r="BF365" i="27"/>
  <c r="J366" i="27"/>
  <c r="N366" i="27"/>
  <c r="R366" i="27"/>
  <c r="V366" i="27"/>
  <c r="Z366" i="27"/>
  <c r="AD366" i="27"/>
  <c r="AH366" i="27"/>
  <c r="AL366" i="27"/>
  <c r="AP366" i="27"/>
  <c r="AT366" i="27"/>
  <c r="AX366" i="27"/>
  <c r="BB366" i="27"/>
  <c r="BF366" i="27"/>
  <c r="J367" i="27"/>
  <c r="N367" i="27"/>
  <c r="R367" i="27"/>
  <c r="V367" i="27"/>
  <c r="Z367" i="27"/>
  <c r="AD367" i="27"/>
  <c r="AH367" i="27"/>
  <c r="AL367" i="27"/>
  <c r="AP367" i="27"/>
  <c r="AT367" i="27"/>
  <c r="AX367" i="27"/>
  <c r="BB367" i="27"/>
  <c r="BF367" i="27"/>
  <c r="J368" i="27"/>
  <c r="N368" i="27"/>
  <c r="R368" i="27"/>
  <c r="V368" i="27"/>
  <c r="Z368" i="27"/>
  <c r="AD368" i="27"/>
  <c r="AH368" i="27"/>
  <c r="AL368" i="27"/>
  <c r="AP368" i="27"/>
  <c r="AT368" i="27"/>
  <c r="AX368" i="27"/>
  <c r="BB368" i="27"/>
  <c r="BF368" i="27"/>
  <c r="J369" i="27"/>
  <c r="N369" i="27"/>
  <c r="R369" i="27"/>
  <c r="V369" i="27"/>
  <c r="Z369" i="27"/>
  <c r="AD369" i="27"/>
  <c r="AH369" i="27"/>
  <c r="AL369" i="27"/>
  <c r="AP369" i="27"/>
  <c r="AT369" i="27"/>
  <c r="AX369" i="27"/>
  <c r="BB369" i="27"/>
  <c r="BF369" i="27"/>
  <c r="J370" i="27"/>
  <c r="N370" i="27"/>
  <c r="R370" i="27"/>
  <c r="V370" i="27"/>
  <c r="Z370" i="27"/>
  <c r="AD370" i="27"/>
  <c r="AH370" i="27"/>
  <c r="AL370" i="27"/>
  <c r="AP370" i="27"/>
  <c r="AT370" i="27"/>
  <c r="AX370" i="27"/>
  <c r="BB370" i="27"/>
  <c r="BF370" i="27"/>
  <c r="J371" i="27"/>
  <c r="N371" i="27"/>
  <c r="R371" i="27"/>
  <c r="V371" i="27"/>
  <c r="Z371" i="27"/>
  <c r="AD371" i="27"/>
  <c r="AH371" i="27"/>
  <c r="AL371" i="27"/>
  <c r="AP371" i="27"/>
  <c r="AT371" i="27"/>
  <c r="AX371" i="27"/>
  <c r="BB371" i="27"/>
  <c r="BF371" i="27"/>
  <c r="K372" i="27"/>
  <c r="J372" i="27"/>
  <c r="O372" i="27"/>
  <c r="N372" i="27"/>
  <c r="S372" i="27"/>
  <c r="R372" i="27"/>
  <c r="W372" i="27"/>
  <c r="V372" i="27"/>
  <c r="AA372" i="27"/>
  <c r="Z372" i="27"/>
  <c r="AE372" i="27"/>
  <c r="AD372" i="27"/>
  <c r="AI372" i="27"/>
  <c r="AH372" i="27"/>
  <c r="AM372" i="27"/>
  <c r="AL372" i="27"/>
  <c r="AQ372" i="27"/>
  <c r="AP372" i="27"/>
  <c r="AU372" i="27"/>
  <c r="AT372" i="27"/>
  <c r="AY372" i="27"/>
  <c r="AX372" i="27"/>
  <c r="BC372" i="27"/>
  <c r="BB372" i="27"/>
  <c r="I376" i="27"/>
  <c r="M376" i="27"/>
  <c r="Q376" i="27"/>
  <c r="U376" i="27"/>
  <c r="Y376" i="27"/>
  <c r="AC376" i="27"/>
  <c r="AG376" i="27"/>
  <c r="AK376" i="27"/>
  <c r="AO376" i="27"/>
  <c r="AS376" i="27"/>
  <c r="AW376" i="27"/>
  <c r="BA376" i="27"/>
  <c r="BE376" i="27"/>
  <c r="J379" i="27"/>
  <c r="N379" i="27"/>
  <c r="R379" i="27"/>
  <c r="V379" i="27"/>
  <c r="Z379" i="27"/>
  <c r="AD379" i="27"/>
  <c r="AH379" i="27"/>
  <c r="AL379" i="27"/>
  <c r="AP379" i="27"/>
  <c r="AT379" i="27"/>
  <c r="AX379" i="27"/>
  <c r="BB379" i="27"/>
  <c r="BE379" i="27"/>
  <c r="BE380" i="27"/>
  <c r="BE381" i="27"/>
  <c r="BE382" i="27"/>
  <c r="BE383" i="27"/>
  <c r="BE384" i="27"/>
  <c r="BE385" i="27"/>
  <c r="BE386" i="27"/>
  <c r="BG379" i="27"/>
  <c r="BG380" i="27"/>
  <c r="BG381" i="27"/>
  <c r="BG382" i="27"/>
  <c r="BG383" i="27"/>
  <c r="BG384" i="27"/>
  <c r="BG385" i="27"/>
  <c r="BG386" i="27"/>
  <c r="BF386" i="27"/>
  <c r="BF379" i="27"/>
  <c r="J380" i="27"/>
  <c r="N380" i="27"/>
  <c r="R380" i="27"/>
  <c r="V380" i="27"/>
  <c r="Z380" i="27"/>
  <c r="AD380" i="27"/>
  <c r="AH380" i="27"/>
  <c r="AL380" i="27"/>
  <c r="AP380" i="27"/>
  <c r="AT380" i="27"/>
  <c r="AX380" i="27"/>
  <c r="BB380" i="27"/>
  <c r="BF380" i="27"/>
  <c r="J381" i="27"/>
  <c r="N381" i="27"/>
  <c r="R381" i="27"/>
  <c r="V381" i="27"/>
  <c r="Z381" i="27"/>
  <c r="AD381" i="27"/>
  <c r="AH381" i="27"/>
  <c r="AL381" i="27"/>
  <c r="AP381" i="27"/>
  <c r="AT381" i="27"/>
  <c r="AX381" i="27"/>
  <c r="BB381" i="27"/>
  <c r="BF381" i="27"/>
  <c r="J382" i="27"/>
  <c r="N382" i="27"/>
  <c r="R382" i="27"/>
  <c r="V382" i="27"/>
  <c r="Z382" i="27"/>
  <c r="AD382" i="27"/>
  <c r="AH382" i="27"/>
  <c r="AL382" i="27"/>
  <c r="AP382" i="27"/>
  <c r="AT382" i="27"/>
  <c r="AX382" i="27"/>
  <c r="BB382" i="27"/>
  <c r="BF382" i="27"/>
  <c r="J383" i="27"/>
  <c r="N383" i="27"/>
  <c r="R383" i="27"/>
  <c r="V383" i="27"/>
  <c r="Z383" i="27"/>
  <c r="AD383" i="27"/>
  <c r="AH383" i="27"/>
  <c r="AL383" i="27"/>
  <c r="AP383" i="27"/>
  <c r="AT383" i="27"/>
  <c r="AX383" i="27"/>
  <c r="BB383" i="27"/>
  <c r="BF383" i="27"/>
  <c r="J384" i="27"/>
  <c r="N384" i="27"/>
  <c r="R384" i="27"/>
  <c r="V384" i="27"/>
  <c r="Z384" i="27"/>
  <c r="AD384" i="27"/>
  <c r="AH384" i="27"/>
  <c r="AL384" i="27"/>
  <c r="AP384" i="27"/>
  <c r="AT384" i="27"/>
  <c r="AX384" i="27"/>
  <c r="BB384" i="27"/>
  <c r="BF384" i="27"/>
  <c r="J385" i="27"/>
  <c r="N385" i="27"/>
  <c r="R385" i="27"/>
  <c r="V385" i="27"/>
  <c r="Z385" i="27"/>
  <c r="AD385" i="27"/>
  <c r="AH385" i="27"/>
  <c r="AL385" i="27"/>
  <c r="AP385" i="27"/>
  <c r="AT385" i="27"/>
  <c r="AX385" i="27"/>
  <c r="BB385" i="27"/>
  <c r="BF385" i="27"/>
  <c r="J386" i="27"/>
  <c r="N386" i="27"/>
  <c r="R386" i="27"/>
  <c r="V386" i="27"/>
  <c r="Z386" i="27"/>
  <c r="AD386" i="27"/>
  <c r="AH386" i="27"/>
  <c r="AL386" i="27"/>
  <c r="AP386" i="27"/>
  <c r="AT386" i="27"/>
  <c r="AX386" i="27"/>
  <c r="BB386" i="27"/>
  <c r="I20" i="27"/>
  <c r="M20" i="27"/>
  <c r="Q20" i="27"/>
  <c r="U20" i="27"/>
  <c r="Y20" i="27"/>
  <c r="AC20" i="27"/>
  <c r="AG20" i="27"/>
  <c r="AK20" i="27"/>
  <c r="AO20" i="27"/>
  <c r="AS20" i="27"/>
  <c r="AW20" i="27"/>
  <c r="BA20" i="27"/>
  <c r="BE20" i="27"/>
  <c r="G23" i="27"/>
  <c r="J23" i="27"/>
  <c r="N23" i="27"/>
  <c r="R23" i="27"/>
  <c r="V23" i="27"/>
  <c r="Z23" i="27"/>
  <c r="AD23" i="27"/>
  <c r="AH23" i="27"/>
  <c r="AL23" i="27"/>
  <c r="AP23" i="27"/>
  <c r="AT23" i="27"/>
  <c r="AX23" i="27"/>
  <c r="BB23" i="27"/>
  <c r="BE23" i="27"/>
  <c r="BE24" i="27"/>
  <c r="BE25" i="27"/>
  <c r="BE26" i="27"/>
  <c r="BE27" i="27"/>
  <c r="BE28" i="27"/>
  <c r="BE29" i="27"/>
  <c r="BE30" i="27"/>
  <c r="BG23" i="27"/>
  <c r="BF23" i="27"/>
  <c r="G24" i="27"/>
  <c r="J24" i="27"/>
  <c r="N24" i="27"/>
  <c r="R24" i="27"/>
  <c r="V24" i="27"/>
  <c r="Z24" i="27"/>
  <c r="AD24" i="27"/>
  <c r="AH24" i="27"/>
  <c r="AL24" i="27"/>
  <c r="AP24" i="27"/>
  <c r="AT24" i="27"/>
  <c r="AX24" i="27"/>
  <c r="BB24" i="27"/>
  <c r="BG24" i="27"/>
  <c r="BG25" i="27"/>
  <c r="BG26" i="27"/>
  <c r="BG27" i="27"/>
  <c r="BG28" i="27"/>
  <c r="BG29" i="27"/>
  <c r="BG30" i="27"/>
  <c r="BF30" i="27"/>
  <c r="BF24" i="27"/>
  <c r="G25" i="27"/>
  <c r="J25" i="27"/>
  <c r="N25" i="27"/>
  <c r="R25" i="27"/>
  <c r="V25" i="27"/>
  <c r="Z25" i="27"/>
  <c r="AD25" i="27"/>
  <c r="AH25" i="27"/>
  <c r="AL25" i="27"/>
  <c r="AP25" i="27"/>
  <c r="AT25" i="27"/>
  <c r="AX25" i="27"/>
  <c r="BB25" i="27"/>
  <c r="BF25" i="27"/>
  <c r="G26" i="27"/>
  <c r="J26" i="27"/>
  <c r="N26" i="27"/>
  <c r="R26" i="27"/>
  <c r="V26" i="27"/>
  <c r="Z26" i="27"/>
  <c r="AD26" i="27"/>
  <c r="AH26" i="27"/>
  <c r="AL26" i="27"/>
  <c r="AP26" i="27"/>
  <c r="AT26" i="27"/>
  <c r="AX26" i="27"/>
  <c r="BB26" i="27"/>
  <c r="BF26" i="27"/>
  <c r="G27" i="27"/>
  <c r="J27" i="27"/>
  <c r="N27" i="27"/>
  <c r="R27" i="27"/>
  <c r="V27" i="27"/>
  <c r="Z27" i="27"/>
  <c r="AD27" i="27"/>
  <c r="AH27" i="27"/>
  <c r="AL27" i="27"/>
  <c r="AP27" i="27"/>
  <c r="AT27" i="27"/>
  <c r="AX27" i="27"/>
  <c r="BB27" i="27"/>
  <c r="BF27" i="27"/>
  <c r="G28" i="27"/>
  <c r="J28" i="27"/>
  <c r="N28" i="27"/>
  <c r="R28" i="27"/>
  <c r="V28" i="27"/>
  <c r="Z28" i="27"/>
  <c r="AD28" i="27"/>
  <c r="AH28" i="27"/>
  <c r="AL28" i="27"/>
  <c r="AP28" i="27"/>
  <c r="AT28" i="27"/>
  <c r="AX28" i="27"/>
  <c r="BB28" i="27"/>
  <c r="BF28" i="27"/>
  <c r="G29" i="27"/>
  <c r="J29" i="27"/>
  <c r="N29" i="27"/>
  <c r="R29" i="27"/>
  <c r="V29" i="27"/>
  <c r="Z29" i="27"/>
  <c r="AD29" i="27"/>
  <c r="AH29" i="27"/>
  <c r="AL29" i="27"/>
  <c r="AP29" i="27"/>
  <c r="AT29" i="27"/>
  <c r="AX29" i="27"/>
  <c r="BB29" i="27"/>
  <c r="BF29" i="27"/>
  <c r="J30" i="27"/>
  <c r="N30" i="27"/>
  <c r="R30" i="27"/>
  <c r="V30" i="27"/>
  <c r="Z30" i="27"/>
  <c r="AD30" i="27"/>
  <c r="AH30" i="27"/>
  <c r="AL30" i="27"/>
  <c r="AP30" i="27"/>
  <c r="AT30" i="27"/>
  <c r="AX30" i="27"/>
  <c r="BB30" i="27"/>
  <c r="I34" i="27"/>
  <c r="M34" i="27"/>
  <c r="Q34" i="27"/>
  <c r="U34" i="27"/>
  <c r="Y34" i="27"/>
  <c r="AC34" i="27"/>
  <c r="AG34" i="27"/>
  <c r="AK34" i="27"/>
  <c r="AO34" i="27"/>
  <c r="AS34" i="27"/>
  <c r="AW34" i="27"/>
  <c r="BA34" i="27"/>
  <c r="BE34" i="27"/>
  <c r="J37" i="27"/>
  <c r="N37" i="27"/>
  <c r="R37" i="27"/>
  <c r="V37" i="27"/>
  <c r="Z37" i="27"/>
  <c r="AD37" i="27"/>
  <c r="AH37" i="27"/>
  <c r="AL37" i="27"/>
  <c r="AP37" i="27"/>
  <c r="AT37" i="27"/>
  <c r="AX37" i="27"/>
  <c r="BB37" i="27"/>
  <c r="BE37" i="27"/>
  <c r="BE38" i="27"/>
  <c r="BE39" i="27"/>
  <c r="BE40" i="27"/>
  <c r="BE41" i="27"/>
  <c r="BE42" i="27"/>
  <c r="BE43" i="27"/>
  <c r="BE44" i="27"/>
  <c r="BG37" i="27"/>
  <c r="BG38" i="27"/>
  <c r="BG39" i="27"/>
  <c r="BG40" i="27"/>
  <c r="BG41" i="27"/>
  <c r="BG42" i="27"/>
  <c r="BG43" i="27"/>
  <c r="BG44" i="27"/>
  <c r="BF44" i="27"/>
  <c r="BF37" i="27"/>
  <c r="J38" i="27"/>
  <c r="N38" i="27"/>
  <c r="R38" i="27"/>
  <c r="V38" i="27"/>
  <c r="Z38" i="27"/>
  <c r="AD38" i="27"/>
  <c r="AH38" i="27"/>
  <c r="AL38" i="27"/>
  <c r="AP38" i="27"/>
  <c r="AT38" i="27"/>
  <c r="AX38" i="27"/>
  <c r="BB38" i="27"/>
  <c r="BF38" i="27"/>
  <c r="J39" i="27"/>
  <c r="N39" i="27"/>
  <c r="R39" i="27"/>
  <c r="V39" i="27"/>
  <c r="Z39" i="27"/>
  <c r="AD39" i="27"/>
  <c r="AH39" i="27"/>
  <c r="AL39" i="27"/>
  <c r="AP39" i="27"/>
  <c r="AT39" i="27"/>
  <c r="AX39" i="27"/>
  <c r="BB39" i="27"/>
  <c r="BF39" i="27"/>
  <c r="J40" i="27"/>
  <c r="N40" i="27"/>
  <c r="R40" i="27"/>
  <c r="V40" i="27"/>
  <c r="Z40" i="27"/>
  <c r="AD40" i="27"/>
  <c r="AH40" i="27"/>
  <c r="AL40" i="27"/>
  <c r="AP40" i="27"/>
  <c r="AT40" i="27"/>
  <c r="AX40" i="27"/>
  <c r="BB40" i="27"/>
  <c r="BF40" i="27"/>
  <c r="J41" i="27"/>
  <c r="N41" i="27"/>
  <c r="R41" i="27"/>
  <c r="V41" i="27"/>
  <c r="Z41" i="27"/>
  <c r="AD41" i="27"/>
  <c r="AH41" i="27"/>
  <c r="AL41" i="27"/>
  <c r="AP41" i="27"/>
  <c r="AT41" i="27"/>
  <c r="AX41" i="27"/>
  <c r="BB41" i="27"/>
  <c r="BF41" i="27"/>
  <c r="J42" i="27"/>
  <c r="N42" i="27"/>
  <c r="R42" i="27"/>
  <c r="V42" i="27"/>
  <c r="Z42" i="27"/>
  <c r="AD42" i="27"/>
  <c r="AH42" i="27"/>
  <c r="AL42" i="27"/>
  <c r="AP42" i="27"/>
  <c r="AT42" i="27"/>
  <c r="AX42" i="27"/>
  <c r="BB42" i="27"/>
  <c r="BF42" i="27"/>
  <c r="J43" i="27"/>
  <c r="N43" i="27"/>
  <c r="R43" i="27"/>
  <c r="V43" i="27"/>
  <c r="Z43" i="27"/>
  <c r="AD43" i="27"/>
  <c r="AH43" i="27"/>
  <c r="AL43" i="27"/>
  <c r="AP43" i="27"/>
  <c r="AT43" i="27"/>
  <c r="AX43" i="27"/>
  <c r="BB43" i="27"/>
  <c r="BF43" i="27"/>
  <c r="J44" i="27"/>
  <c r="N44" i="27"/>
  <c r="R44" i="27"/>
  <c r="V44" i="27"/>
  <c r="Z44" i="27"/>
  <c r="AD44" i="27"/>
  <c r="AH44" i="27"/>
  <c r="AL44" i="27"/>
  <c r="AP44" i="27"/>
  <c r="AT44" i="27"/>
  <c r="AX44" i="27"/>
  <c r="BB44" i="27"/>
  <c r="I48" i="27"/>
  <c r="M48" i="27"/>
  <c r="Q48" i="27"/>
  <c r="U48" i="27"/>
  <c r="Y48" i="27"/>
  <c r="AC48" i="27"/>
  <c r="AG48" i="27"/>
  <c r="AK48" i="27"/>
  <c r="AO48" i="27"/>
  <c r="AS48" i="27"/>
  <c r="AW48" i="27"/>
  <c r="BA48" i="27"/>
  <c r="BE48" i="27"/>
  <c r="J51" i="27"/>
  <c r="N51" i="27"/>
  <c r="R51" i="27"/>
  <c r="V51" i="27"/>
  <c r="Z51" i="27"/>
  <c r="AD51" i="27"/>
  <c r="AH51" i="27"/>
  <c r="AL51" i="27"/>
  <c r="AP51" i="27"/>
  <c r="AT51" i="27"/>
  <c r="AX51" i="27"/>
  <c r="BB51" i="27"/>
  <c r="BE51" i="27"/>
  <c r="BE52" i="27"/>
  <c r="BE53" i="27"/>
  <c r="BE54" i="27"/>
  <c r="BE55" i="27"/>
  <c r="BE56" i="27"/>
  <c r="BE57" i="27"/>
  <c r="BE58" i="27"/>
  <c r="BG51" i="27"/>
  <c r="BF51" i="27"/>
  <c r="J52" i="27"/>
  <c r="N52" i="27"/>
  <c r="R52" i="27"/>
  <c r="V52" i="27"/>
  <c r="Z52" i="27"/>
  <c r="AD52" i="27"/>
  <c r="AH52" i="27"/>
  <c r="AL52" i="27"/>
  <c r="AP52" i="27"/>
  <c r="AT52" i="27"/>
  <c r="AX52" i="27"/>
  <c r="BB52" i="27"/>
  <c r="BG52" i="27"/>
  <c r="BF52" i="27"/>
  <c r="J53" i="27"/>
  <c r="N53" i="27"/>
  <c r="R53" i="27"/>
  <c r="V53" i="27"/>
  <c r="Z53" i="27"/>
  <c r="AD53" i="27"/>
  <c r="AH53" i="27"/>
  <c r="AL53" i="27"/>
  <c r="AP53" i="27"/>
  <c r="AT53" i="27"/>
  <c r="AX53" i="27"/>
  <c r="BB53" i="27"/>
  <c r="BG53" i="27"/>
  <c r="BF53" i="27"/>
  <c r="J54" i="27"/>
  <c r="N54" i="27"/>
  <c r="R54" i="27"/>
  <c r="V54" i="27"/>
  <c r="Z54" i="27"/>
  <c r="AD54" i="27"/>
  <c r="AH54" i="27"/>
  <c r="AL54" i="27"/>
  <c r="AP54" i="27"/>
  <c r="AT54" i="27"/>
  <c r="AX54" i="27"/>
  <c r="BB54" i="27"/>
  <c r="BG54" i="27"/>
  <c r="BF54" i="27"/>
  <c r="J55" i="27"/>
  <c r="N55" i="27"/>
  <c r="R55" i="27"/>
  <c r="V55" i="27"/>
  <c r="Z55" i="27"/>
  <c r="AD55" i="27"/>
  <c r="AH55" i="27"/>
  <c r="AL55" i="27"/>
  <c r="AP55" i="27"/>
  <c r="AT55" i="27"/>
  <c r="AX55" i="27"/>
  <c r="BB55" i="27"/>
  <c r="BG55" i="27"/>
  <c r="BF55" i="27"/>
  <c r="J56" i="27"/>
  <c r="N56" i="27"/>
  <c r="R56" i="27"/>
  <c r="V56" i="27"/>
  <c r="Z56" i="27"/>
  <c r="AD56" i="27"/>
  <c r="AH56" i="27"/>
  <c r="AL56" i="27"/>
  <c r="AP56" i="27"/>
  <c r="AT56" i="27"/>
  <c r="AX56" i="27"/>
  <c r="BB56" i="27"/>
  <c r="BG56" i="27"/>
  <c r="BF56" i="27"/>
  <c r="G57" i="27"/>
  <c r="J57" i="27"/>
  <c r="N57" i="27"/>
  <c r="R57" i="27"/>
  <c r="V57" i="27"/>
  <c r="Z57" i="27"/>
  <c r="AD57" i="27"/>
  <c r="AH57" i="27"/>
  <c r="AL57" i="27"/>
  <c r="AP57" i="27"/>
  <c r="AT57" i="27"/>
  <c r="AX57" i="27"/>
  <c r="BB57" i="27"/>
  <c r="BG57" i="27"/>
  <c r="BF57" i="27"/>
  <c r="J58" i="27"/>
  <c r="N58" i="27"/>
  <c r="R58" i="27"/>
  <c r="V58" i="27"/>
  <c r="Z58" i="27"/>
  <c r="AD58" i="27"/>
  <c r="AH58" i="27"/>
  <c r="AL58" i="27"/>
  <c r="AP58" i="27"/>
  <c r="AX58" i="27"/>
  <c r="BB58" i="27"/>
  <c r="I62" i="27"/>
  <c r="M62" i="27"/>
  <c r="Q62" i="27"/>
  <c r="U62" i="27"/>
  <c r="Y62" i="27"/>
  <c r="AC62" i="27"/>
  <c r="AG62" i="27"/>
  <c r="AK62" i="27"/>
  <c r="AO62" i="27"/>
  <c r="AS62" i="27"/>
  <c r="AW62" i="27"/>
  <c r="BA62" i="27"/>
  <c r="BE62" i="27"/>
  <c r="J64" i="27"/>
  <c r="N64" i="27"/>
  <c r="R64" i="27"/>
  <c r="V64" i="27"/>
  <c r="Z64" i="27"/>
  <c r="AD64" i="27"/>
  <c r="AH64" i="27"/>
  <c r="AL64" i="27"/>
  <c r="AP64" i="27"/>
  <c r="AT64" i="27"/>
  <c r="AX64" i="27"/>
  <c r="BB64" i="27"/>
  <c r="BE64" i="27"/>
  <c r="BG64" i="27"/>
  <c r="BF64" i="27"/>
  <c r="J65" i="27"/>
  <c r="N65" i="27"/>
  <c r="R65" i="27"/>
  <c r="V65" i="27"/>
  <c r="Z65" i="27"/>
  <c r="AD65" i="27"/>
  <c r="AH65" i="27"/>
  <c r="AL65" i="27"/>
  <c r="AP65" i="27"/>
  <c r="AT65" i="27"/>
  <c r="AX65" i="27"/>
  <c r="BB65" i="27"/>
  <c r="BE65" i="27"/>
  <c r="BG65" i="27"/>
  <c r="BF65" i="27"/>
  <c r="J66" i="27"/>
  <c r="N66" i="27"/>
  <c r="R66" i="27"/>
  <c r="V66" i="27"/>
  <c r="Z66" i="27"/>
  <c r="AD66" i="27"/>
  <c r="AH66" i="27"/>
  <c r="AL66" i="27"/>
  <c r="AP66" i="27"/>
  <c r="AT66" i="27"/>
  <c r="AX66" i="27"/>
  <c r="BB66" i="27"/>
  <c r="BE66" i="27"/>
  <c r="BG66" i="27"/>
  <c r="BF66" i="27"/>
  <c r="J67" i="27"/>
  <c r="N67" i="27"/>
  <c r="R67" i="27"/>
  <c r="V67" i="27"/>
  <c r="Z67" i="27"/>
  <c r="AD67" i="27"/>
  <c r="AH67" i="27"/>
  <c r="AL67" i="27"/>
  <c r="AP67" i="27"/>
  <c r="AT67" i="27"/>
  <c r="AX67" i="27"/>
  <c r="BB67" i="27"/>
  <c r="BE67" i="27"/>
  <c r="BG67" i="27"/>
  <c r="BF67" i="27"/>
  <c r="J68" i="27"/>
  <c r="N68" i="27"/>
  <c r="R68" i="27"/>
  <c r="V68" i="27"/>
  <c r="Z68" i="27"/>
  <c r="AD68" i="27"/>
  <c r="AH68" i="27"/>
  <c r="AL68" i="27"/>
  <c r="AP68" i="27"/>
  <c r="AT68" i="27"/>
  <c r="AX68" i="27"/>
  <c r="BB68" i="27"/>
  <c r="BE68" i="27"/>
  <c r="BG68" i="27"/>
  <c r="BF68" i="27"/>
  <c r="J69" i="27"/>
  <c r="N69" i="27"/>
  <c r="R69" i="27"/>
  <c r="V69" i="27"/>
  <c r="Z69" i="27"/>
  <c r="AD69" i="27"/>
  <c r="AH69" i="27"/>
  <c r="AL69" i="27"/>
  <c r="AP69" i="27"/>
  <c r="AT69" i="27"/>
  <c r="AX69" i="27"/>
  <c r="BB69" i="27"/>
  <c r="BE69" i="27"/>
  <c r="BG69" i="27"/>
  <c r="BF69" i="27"/>
  <c r="G70" i="27"/>
  <c r="J70" i="27"/>
  <c r="N70" i="27"/>
  <c r="R70" i="27"/>
  <c r="V70" i="27"/>
  <c r="Z70" i="27"/>
  <c r="AD70" i="27"/>
  <c r="AH70" i="27"/>
  <c r="AL70" i="27"/>
  <c r="AP70" i="27"/>
  <c r="AT70" i="27"/>
  <c r="AX70" i="27"/>
  <c r="BB70" i="27"/>
  <c r="BE70" i="27"/>
  <c r="BG70" i="27"/>
  <c r="BF70" i="27"/>
  <c r="K71" i="27"/>
  <c r="J71" i="27"/>
  <c r="O71" i="27"/>
  <c r="N71" i="27"/>
  <c r="S71" i="27"/>
  <c r="R71" i="27"/>
  <c r="W71" i="27"/>
  <c r="V71" i="27"/>
  <c r="AA71" i="27"/>
  <c r="Z71" i="27"/>
  <c r="AE71" i="27"/>
  <c r="AD71" i="27"/>
  <c r="AI71" i="27"/>
  <c r="AH71" i="27"/>
  <c r="AM71" i="27"/>
  <c r="AL71" i="27"/>
  <c r="AQ71" i="27"/>
  <c r="AP71" i="27"/>
  <c r="AU71" i="27"/>
  <c r="AT71" i="27"/>
  <c r="AY71" i="27"/>
  <c r="AX71" i="27"/>
  <c r="BC71" i="27"/>
  <c r="BB71" i="27"/>
  <c r="BE71" i="27"/>
  <c r="BG71" i="27"/>
  <c r="BF71" i="27"/>
  <c r="I75" i="27"/>
  <c r="M75" i="27"/>
  <c r="Q75" i="27"/>
  <c r="U75" i="27"/>
  <c r="Y75" i="27"/>
  <c r="AC75" i="27"/>
  <c r="AG75" i="27"/>
  <c r="AK75" i="27"/>
  <c r="AO75" i="27"/>
  <c r="AS75" i="27"/>
  <c r="AW75" i="27"/>
  <c r="BA75" i="27"/>
  <c r="BE75" i="27"/>
  <c r="J77" i="27"/>
  <c r="N77" i="27"/>
  <c r="R77" i="27"/>
  <c r="V77" i="27"/>
  <c r="Z77" i="27"/>
  <c r="AD77" i="27"/>
  <c r="AH77" i="27"/>
  <c r="AL77" i="27"/>
  <c r="AP77" i="27"/>
  <c r="AT77" i="27"/>
  <c r="AX77" i="27"/>
  <c r="BB77" i="27"/>
  <c r="BE77" i="27"/>
  <c r="BG77" i="27"/>
  <c r="BF77" i="27"/>
  <c r="J78" i="27"/>
  <c r="N78" i="27"/>
  <c r="R78" i="27"/>
  <c r="V78" i="27"/>
  <c r="Z78" i="27"/>
  <c r="AD78" i="27"/>
  <c r="AH78" i="27"/>
  <c r="AL78" i="27"/>
  <c r="AP78" i="27"/>
  <c r="AT78" i="27"/>
  <c r="AX78" i="27"/>
  <c r="BB78" i="27"/>
  <c r="BE78" i="27"/>
  <c r="BG78" i="27"/>
  <c r="BG79" i="27"/>
  <c r="BG80" i="27"/>
  <c r="BG81" i="27"/>
  <c r="BG82" i="27"/>
  <c r="BG83" i="27"/>
  <c r="BG84" i="27"/>
  <c r="BF78" i="27"/>
  <c r="J79" i="27"/>
  <c r="N79" i="27"/>
  <c r="R79" i="27"/>
  <c r="V79" i="27"/>
  <c r="Z79" i="27"/>
  <c r="AD79" i="27"/>
  <c r="AH79" i="27"/>
  <c r="AL79" i="27"/>
  <c r="AP79" i="27"/>
  <c r="AT79" i="27"/>
  <c r="AX79" i="27"/>
  <c r="BB79" i="27"/>
  <c r="BE79" i="27"/>
  <c r="BE80" i="27"/>
  <c r="BE81" i="27"/>
  <c r="BE82" i="27"/>
  <c r="BE83" i="27"/>
  <c r="BE84" i="27"/>
  <c r="BF79" i="27"/>
  <c r="J80" i="27"/>
  <c r="N80" i="27"/>
  <c r="R80" i="27"/>
  <c r="V80" i="27"/>
  <c r="Z80" i="27"/>
  <c r="AD80" i="27"/>
  <c r="AH80" i="27"/>
  <c r="AL80" i="27"/>
  <c r="AP80" i="27"/>
  <c r="AT80" i="27"/>
  <c r="AX80" i="27"/>
  <c r="BB80" i="27"/>
  <c r="BF80" i="27"/>
  <c r="J81" i="27"/>
  <c r="N81" i="27"/>
  <c r="R81" i="27"/>
  <c r="V81" i="27"/>
  <c r="Z81" i="27"/>
  <c r="AD81" i="27"/>
  <c r="AH81" i="27"/>
  <c r="AL81" i="27"/>
  <c r="AP81" i="27"/>
  <c r="AT81" i="27"/>
  <c r="AX81" i="27"/>
  <c r="BB81" i="27"/>
  <c r="BF81" i="27"/>
  <c r="J82" i="27"/>
  <c r="N82" i="27"/>
  <c r="R82" i="27"/>
  <c r="V82" i="27"/>
  <c r="Z82" i="27"/>
  <c r="AD82" i="27"/>
  <c r="AH82" i="27"/>
  <c r="AL82" i="27"/>
  <c r="AP82" i="27"/>
  <c r="AT82" i="27"/>
  <c r="AX82" i="27"/>
  <c r="BB82" i="27"/>
  <c r="BF82" i="27"/>
  <c r="G83" i="27"/>
  <c r="J83" i="27"/>
  <c r="N83" i="27"/>
  <c r="R83" i="27"/>
  <c r="V83" i="27"/>
  <c r="Z83" i="27"/>
  <c r="AD83" i="27"/>
  <c r="AH83" i="27"/>
  <c r="AL83" i="27"/>
  <c r="AP83" i="27"/>
  <c r="AT83" i="27"/>
  <c r="AX83" i="27"/>
  <c r="BB83" i="27"/>
  <c r="BF83" i="27"/>
  <c r="K84" i="27"/>
  <c r="J84" i="27"/>
  <c r="O84" i="27"/>
  <c r="N84" i="27"/>
  <c r="S84" i="27"/>
  <c r="R84" i="27"/>
  <c r="W84" i="27"/>
  <c r="V84" i="27"/>
  <c r="AA84" i="27"/>
  <c r="Z84" i="27"/>
  <c r="AE84" i="27"/>
  <c r="AD84" i="27"/>
  <c r="AI84" i="27"/>
  <c r="AH84" i="27"/>
  <c r="AM84" i="27"/>
  <c r="AL84" i="27"/>
  <c r="AQ84" i="27"/>
  <c r="AP84" i="27"/>
  <c r="AU84" i="27"/>
  <c r="AT84" i="27"/>
  <c r="AY84" i="27"/>
  <c r="AX84" i="27"/>
  <c r="BC84" i="27"/>
  <c r="BB84" i="27"/>
  <c r="I88" i="27"/>
  <c r="M88" i="27"/>
  <c r="Q88" i="27"/>
  <c r="U88" i="27"/>
  <c r="Y88" i="27"/>
  <c r="AC88" i="27"/>
  <c r="AG88" i="27"/>
  <c r="AK88" i="27"/>
  <c r="AO88" i="27"/>
  <c r="AS88" i="27"/>
  <c r="AW88" i="27"/>
  <c r="BA88" i="27"/>
  <c r="BE88" i="27"/>
  <c r="J90" i="27"/>
  <c r="N90" i="27"/>
  <c r="R90" i="27"/>
  <c r="V90" i="27"/>
  <c r="Z90" i="27"/>
  <c r="AD90" i="27"/>
  <c r="AH90" i="27"/>
  <c r="AL90" i="27"/>
  <c r="AP90" i="27"/>
  <c r="AT90" i="27"/>
  <c r="AX90" i="27"/>
  <c r="BB90" i="27"/>
  <c r="BE90" i="27"/>
  <c r="BG90" i="27"/>
  <c r="BG91" i="27"/>
  <c r="BG92" i="27"/>
  <c r="BG93" i="27"/>
  <c r="BG94" i="27"/>
  <c r="BG95" i="27"/>
  <c r="BG96" i="27"/>
  <c r="BG97" i="27"/>
  <c r="BF90" i="27"/>
  <c r="J91" i="27"/>
  <c r="N91" i="27"/>
  <c r="R91" i="27"/>
  <c r="V91" i="27"/>
  <c r="Z91" i="27"/>
  <c r="AD91" i="27"/>
  <c r="AH91" i="27"/>
  <c r="AL91" i="27"/>
  <c r="AP91" i="27"/>
  <c r="AT91" i="27"/>
  <c r="AX91" i="27"/>
  <c r="BB91" i="27"/>
  <c r="BE91" i="27"/>
  <c r="BE92" i="27"/>
  <c r="BE93" i="27"/>
  <c r="BE94" i="27"/>
  <c r="BE95" i="27"/>
  <c r="BE96" i="27"/>
  <c r="BE97" i="27"/>
  <c r="BF91" i="27"/>
  <c r="J92" i="27"/>
  <c r="N92" i="27"/>
  <c r="R92" i="27"/>
  <c r="V92" i="27"/>
  <c r="Z92" i="27"/>
  <c r="AD92" i="27"/>
  <c r="AH92" i="27"/>
  <c r="AL92" i="27"/>
  <c r="AP92" i="27"/>
  <c r="AT92" i="27"/>
  <c r="AX92" i="27"/>
  <c r="BB92" i="27"/>
  <c r="BF92" i="27"/>
  <c r="J93" i="27"/>
  <c r="N93" i="27"/>
  <c r="R93" i="27"/>
  <c r="V93" i="27"/>
  <c r="Z93" i="27"/>
  <c r="AD93" i="27"/>
  <c r="AH93" i="27"/>
  <c r="AL93" i="27"/>
  <c r="AP93" i="27"/>
  <c r="AT93" i="27"/>
  <c r="AX93" i="27"/>
  <c r="BB93" i="27"/>
  <c r="BF93" i="27"/>
  <c r="J94" i="27"/>
  <c r="N94" i="27"/>
  <c r="R94" i="27"/>
  <c r="V94" i="27"/>
  <c r="Z94" i="27"/>
  <c r="AD94" i="27"/>
  <c r="AH94" i="27"/>
  <c r="AL94" i="27"/>
  <c r="AP94" i="27"/>
  <c r="AT94" i="27"/>
  <c r="AX94" i="27"/>
  <c r="BB94" i="27"/>
  <c r="BF94" i="27"/>
  <c r="J95" i="27"/>
  <c r="N95" i="27"/>
  <c r="R95" i="27"/>
  <c r="V95" i="27"/>
  <c r="Z95" i="27"/>
  <c r="AD95" i="27"/>
  <c r="AH95" i="27"/>
  <c r="AL95" i="27"/>
  <c r="AP95" i="27"/>
  <c r="AT95" i="27"/>
  <c r="AX95" i="27"/>
  <c r="BB95" i="27"/>
  <c r="BF95" i="27"/>
  <c r="G96" i="27"/>
  <c r="J96" i="27"/>
  <c r="N96" i="27"/>
  <c r="R96" i="27"/>
  <c r="V96" i="27"/>
  <c r="Z96" i="27"/>
  <c r="AD96" i="27"/>
  <c r="AH96" i="27"/>
  <c r="AL96" i="27"/>
  <c r="AP96" i="27"/>
  <c r="AT96" i="27"/>
  <c r="AX96" i="27"/>
  <c r="BB96" i="27"/>
  <c r="BF96" i="27"/>
  <c r="K97" i="27"/>
  <c r="J97" i="27"/>
  <c r="O97" i="27"/>
  <c r="N97" i="27"/>
  <c r="S97" i="27"/>
  <c r="R97" i="27"/>
  <c r="W97" i="27"/>
  <c r="V97" i="27"/>
  <c r="AA97" i="27"/>
  <c r="Z97" i="27"/>
  <c r="AE97" i="27"/>
  <c r="AD97" i="27"/>
  <c r="AI97" i="27"/>
  <c r="AH97" i="27"/>
  <c r="AM97" i="27"/>
  <c r="AL97" i="27"/>
  <c r="AQ97" i="27"/>
  <c r="AP97" i="27"/>
  <c r="AU97" i="27"/>
  <c r="AT97" i="27"/>
  <c r="AY97" i="27"/>
  <c r="AX97" i="27"/>
  <c r="BC97" i="27"/>
  <c r="BB97" i="27"/>
  <c r="I101" i="27"/>
  <c r="M101" i="27"/>
  <c r="Q101" i="27"/>
  <c r="U101" i="27"/>
  <c r="Y101" i="27"/>
  <c r="AC101" i="27"/>
  <c r="AG101" i="27"/>
  <c r="AK101" i="27"/>
  <c r="AO101" i="27"/>
  <c r="AS101" i="27"/>
  <c r="AW101" i="27"/>
  <c r="BA101" i="27"/>
  <c r="BE101" i="27"/>
  <c r="J103" i="27"/>
  <c r="N103" i="27"/>
  <c r="R103" i="27"/>
  <c r="V103" i="27"/>
  <c r="Z103" i="27"/>
  <c r="AD103" i="27"/>
  <c r="AH103" i="27"/>
  <c r="AL103" i="27"/>
  <c r="AP103" i="27"/>
  <c r="AT103" i="27"/>
  <c r="AX103" i="27"/>
  <c r="BB103" i="27"/>
  <c r="BE103" i="27"/>
  <c r="BE104" i="27"/>
  <c r="BE105" i="27"/>
  <c r="BE106" i="27"/>
  <c r="BE107" i="27"/>
  <c r="BE108" i="27"/>
  <c r="BE109" i="27"/>
  <c r="BE110" i="27"/>
  <c r="BG103" i="27"/>
  <c r="BG104" i="27"/>
  <c r="BG105" i="27"/>
  <c r="BG106" i="27"/>
  <c r="BG107" i="27"/>
  <c r="BG108" i="27"/>
  <c r="BG109" i="27"/>
  <c r="BG110" i="27"/>
  <c r="BF110" i="27"/>
  <c r="BF103" i="27"/>
  <c r="J104" i="27"/>
  <c r="N104" i="27"/>
  <c r="R104" i="27"/>
  <c r="V104" i="27"/>
  <c r="Z104" i="27"/>
  <c r="AD104" i="27"/>
  <c r="AH104" i="27"/>
  <c r="AL104" i="27"/>
  <c r="AP104" i="27"/>
  <c r="AT104" i="27"/>
  <c r="AX104" i="27"/>
  <c r="BB104" i="27"/>
  <c r="BF104" i="27"/>
  <c r="J105" i="27"/>
  <c r="N105" i="27"/>
  <c r="R105" i="27"/>
  <c r="V105" i="27"/>
  <c r="Z105" i="27"/>
  <c r="AD105" i="27"/>
  <c r="AH105" i="27"/>
  <c r="AL105" i="27"/>
  <c r="AP105" i="27"/>
  <c r="AT105" i="27"/>
  <c r="AX105" i="27"/>
  <c r="BB105" i="27"/>
  <c r="BF105" i="27"/>
  <c r="J106" i="27"/>
  <c r="N106" i="27"/>
  <c r="R106" i="27"/>
  <c r="V106" i="27"/>
  <c r="Z106" i="27"/>
  <c r="AD106" i="27"/>
  <c r="AH106" i="27"/>
  <c r="AL106" i="27"/>
  <c r="AP106" i="27"/>
  <c r="AT106" i="27"/>
  <c r="AX106" i="27"/>
  <c r="BB106" i="27"/>
  <c r="BF106" i="27"/>
  <c r="J107" i="27"/>
  <c r="N107" i="27"/>
  <c r="R107" i="27"/>
  <c r="V107" i="27"/>
  <c r="Z107" i="27"/>
  <c r="AD107" i="27"/>
  <c r="AH107" i="27"/>
  <c r="AL107" i="27"/>
  <c r="AP107" i="27"/>
  <c r="AT107" i="27"/>
  <c r="AX107" i="27"/>
  <c r="BB107" i="27"/>
  <c r="BF107" i="27"/>
  <c r="J108" i="27"/>
  <c r="N108" i="27"/>
  <c r="R108" i="27"/>
  <c r="V108" i="27"/>
  <c r="Z108" i="27"/>
  <c r="AD108" i="27"/>
  <c r="AH108" i="27"/>
  <c r="AL108" i="27"/>
  <c r="AP108" i="27"/>
  <c r="AT108" i="27"/>
  <c r="AX108" i="27"/>
  <c r="BB108" i="27"/>
  <c r="BF108" i="27"/>
  <c r="G109" i="27"/>
  <c r="J109" i="27"/>
  <c r="N109" i="27"/>
  <c r="R109" i="27"/>
  <c r="V109" i="27"/>
  <c r="Z109" i="27"/>
  <c r="AD109" i="27"/>
  <c r="AH109" i="27"/>
  <c r="AL109" i="27"/>
  <c r="AP109" i="27"/>
  <c r="AT109" i="27"/>
  <c r="AX109" i="27"/>
  <c r="BB109" i="27"/>
  <c r="BF109" i="27"/>
  <c r="K110" i="27"/>
  <c r="J110" i="27"/>
  <c r="O110" i="27"/>
  <c r="N110" i="27"/>
  <c r="S110" i="27"/>
  <c r="R110" i="27"/>
  <c r="W110" i="27"/>
  <c r="V110" i="27"/>
  <c r="AA110" i="27"/>
  <c r="Z110" i="27"/>
  <c r="AE110" i="27"/>
  <c r="AD110" i="27"/>
  <c r="AI110" i="27"/>
  <c r="AH110" i="27"/>
  <c r="AM110" i="27"/>
  <c r="AL110" i="27"/>
  <c r="AQ110" i="27"/>
  <c r="AP110" i="27"/>
  <c r="AU110" i="27"/>
  <c r="AT110" i="27"/>
  <c r="AY110" i="27"/>
  <c r="AX110" i="27"/>
  <c r="BC110" i="27"/>
  <c r="BB110" i="27"/>
  <c r="I114" i="27"/>
  <c r="M114" i="27"/>
  <c r="Q114" i="27"/>
  <c r="U114" i="27"/>
  <c r="Y114" i="27"/>
  <c r="AC114" i="27"/>
  <c r="AG114" i="27"/>
  <c r="AK114" i="27"/>
  <c r="AO114" i="27"/>
  <c r="AS114" i="27"/>
  <c r="AW114" i="27"/>
  <c r="BA114" i="27"/>
  <c r="BE114" i="27"/>
  <c r="J117" i="27"/>
  <c r="N117" i="27"/>
  <c r="R117" i="27"/>
  <c r="V117" i="27"/>
  <c r="Z117" i="27"/>
  <c r="AD117" i="27"/>
  <c r="AH117" i="27"/>
  <c r="AL117" i="27"/>
  <c r="AP117" i="27"/>
  <c r="AT117" i="27"/>
  <c r="AX117" i="27"/>
  <c r="BB117" i="27"/>
  <c r="BE117" i="27"/>
  <c r="BE118" i="27"/>
  <c r="BE119" i="27"/>
  <c r="BE120" i="27"/>
  <c r="BE121" i="27"/>
  <c r="BE122" i="27"/>
  <c r="BE123" i="27"/>
  <c r="BE124" i="27"/>
  <c r="BG117" i="27"/>
  <c r="BG118" i="27"/>
  <c r="BG119" i="27"/>
  <c r="BG120" i="27"/>
  <c r="BG121" i="27"/>
  <c r="BG122" i="27"/>
  <c r="BG123" i="27"/>
  <c r="BG124" i="27"/>
  <c r="BF117" i="27"/>
  <c r="J118" i="27"/>
  <c r="N118" i="27"/>
  <c r="R118" i="27"/>
  <c r="V118" i="27"/>
  <c r="Z118" i="27"/>
  <c r="AD118" i="27"/>
  <c r="AH118" i="27"/>
  <c r="AL118" i="27"/>
  <c r="AP118" i="27"/>
  <c r="AT118" i="27"/>
  <c r="AX118" i="27"/>
  <c r="BB118" i="27"/>
  <c r="BF118" i="27"/>
  <c r="J119" i="27"/>
  <c r="N119" i="27"/>
  <c r="R119" i="27"/>
  <c r="V119" i="27"/>
  <c r="Z119" i="27"/>
  <c r="AD119" i="27"/>
  <c r="AH119" i="27"/>
  <c r="AL119" i="27"/>
  <c r="AP119" i="27"/>
  <c r="AT119" i="27"/>
  <c r="AX119" i="27"/>
  <c r="BB119" i="27"/>
  <c r="BF119" i="27"/>
  <c r="J120" i="27"/>
  <c r="N120" i="27"/>
  <c r="R120" i="27"/>
  <c r="V120" i="27"/>
  <c r="Z120" i="27"/>
  <c r="AD120" i="27"/>
  <c r="AH120" i="27"/>
  <c r="AL120" i="27"/>
  <c r="AP120" i="27"/>
  <c r="AT120" i="27"/>
  <c r="AX120" i="27"/>
  <c r="BB120" i="27"/>
  <c r="BF120" i="27"/>
  <c r="J121" i="27"/>
  <c r="N121" i="27"/>
  <c r="R121" i="27"/>
  <c r="V121" i="27"/>
  <c r="Z121" i="27"/>
  <c r="AD121" i="27"/>
  <c r="AH121" i="27"/>
  <c r="AL121" i="27"/>
  <c r="AP121" i="27"/>
  <c r="AT121" i="27"/>
  <c r="AX121" i="27"/>
  <c r="BB121" i="27"/>
  <c r="BF121" i="27"/>
  <c r="J122" i="27"/>
  <c r="N122" i="27"/>
  <c r="R122" i="27"/>
  <c r="V122" i="27"/>
  <c r="Z122" i="27"/>
  <c r="AD122" i="27"/>
  <c r="AH122" i="27"/>
  <c r="AL122" i="27"/>
  <c r="AP122" i="27"/>
  <c r="AT122" i="27"/>
  <c r="AX122" i="27"/>
  <c r="BB122" i="27"/>
  <c r="BF122" i="27"/>
  <c r="G123" i="27"/>
  <c r="J123" i="27"/>
  <c r="N123" i="27"/>
  <c r="R123" i="27"/>
  <c r="V123" i="27"/>
  <c r="Z123" i="27"/>
  <c r="AD123" i="27"/>
  <c r="AH123" i="27"/>
  <c r="AL123" i="27"/>
  <c r="AP123" i="27"/>
  <c r="AT123" i="27"/>
  <c r="AX123" i="27"/>
  <c r="BB123" i="27"/>
  <c r="BF123" i="27"/>
  <c r="J124" i="27"/>
  <c r="N124" i="27"/>
  <c r="R124" i="27"/>
  <c r="V124" i="27"/>
  <c r="Z124" i="27"/>
  <c r="AD124" i="27"/>
  <c r="AH124" i="27"/>
  <c r="AL124" i="27"/>
  <c r="AP124" i="27"/>
  <c r="AT124" i="27"/>
  <c r="AX124" i="27"/>
  <c r="BB124" i="27"/>
  <c r="I128" i="27"/>
  <c r="M128" i="27"/>
  <c r="Q128" i="27"/>
  <c r="U128" i="27"/>
  <c r="Y128" i="27"/>
  <c r="AC128" i="27"/>
  <c r="AG128" i="27"/>
  <c r="AK128" i="27"/>
  <c r="AO128" i="27"/>
  <c r="AS128" i="27"/>
  <c r="AW128" i="27"/>
  <c r="BA128" i="27"/>
  <c r="BE128" i="27"/>
  <c r="G130" i="27"/>
  <c r="J130" i="27"/>
  <c r="N130" i="27"/>
  <c r="R130" i="27"/>
  <c r="V130" i="27"/>
  <c r="Z130" i="27"/>
  <c r="AD130" i="27"/>
  <c r="AH130" i="27"/>
  <c r="AL130" i="27"/>
  <c r="AP130" i="27"/>
  <c r="AT130" i="27"/>
  <c r="AX130" i="27"/>
  <c r="BB130" i="27"/>
  <c r="BE130" i="27"/>
  <c r="BG130" i="27"/>
  <c r="BF130" i="27"/>
  <c r="BG131" i="27"/>
  <c r="BG132" i="27"/>
  <c r="BG133" i="27"/>
  <c r="BG134" i="27"/>
  <c r="BG135" i="27"/>
  <c r="BG136" i="27"/>
  <c r="BG137" i="27"/>
  <c r="G131" i="27"/>
  <c r="J131" i="27"/>
  <c r="N131" i="27"/>
  <c r="R131" i="27"/>
  <c r="V131" i="27"/>
  <c r="Z131" i="27"/>
  <c r="AD131" i="27"/>
  <c r="AH131" i="27"/>
  <c r="AL131" i="27"/>
  <c r="AP131" i="27"/>
  <c r="AT131" i="27"/>
  <c r="AX131" i="27"/>
  <c r="BB131" i="27"/>
  <c r="BE131" i="27"/>
  <c r="BF131" i="27"/>
  <c r="G132" i="27"/>
  <c r="J132" i="27"/>
  <c r="N132" i="27"/>
  <c r="R132" i="27"/>
  <c r="V132" i="27"/>
  <c r="Z132" i="27"/>
  <c r="AD132" i="27"/>
  <c r="AH132" i="27"/>
  <c r="AL132" i="27"/>
  <c r="AP132" i="27"/>
  <c r="AT132" i="27"/>
  <c r="AX132" i="27"/>
  <c r="BB132" i="27"/>
  <c r="BE132" i="27"/>
  <c r="BF132" i="27"/>
  <c r="G133" i="27"/>
  <c r="J133" i="27"/>
  <c r="N133" i="27"/>
  <c r="R133" i="27"/>
  <c r="V133" i="27"/>
  <c r="Z133" i="27"/>
  <c r="AD133" i="27"/>
  <c r="AH133" i="27"/>
  <c r="AL133" i="27"/>
  <c r="AP133" i="27"/>
  <c r="AT133" i="27"/>
  <c r="AX133" i="27"/>
  <c r="BB133" i="27"/>
  <c r="BE133" i="27"/>
  <c r="BF133" i="27"/>
  <c r="G134" i="27"/>
  <c r="J134" i="27"/>
  <c r="N134" i="27"/>
  <c r="R134" i="27"/>
  <c r="V134" i="27"/>
  <c r="Z134" i="27"/>
  <c r="AD134" i="27"/>
  <c r="AH134" i="27"/>
  <c r="AL134" i="27"/>
  <c r="AP134" i="27"/>
  <c r="AT134" i="27"/>
  <c r="AX134" i="27"/>
  <c r="BB134" i="27"/>
  <c r="BE134" i="27"/>
  <c r="BF134" i="27"/>
  <c r="G135" i="27"/>
  <c r="J135" i="27"/>
  <c r="N135" i="27"/>
  <c r="R135" i="27"/>
  <c r="V135" i="27"/>
  <c r="Z135" i="27"/>
  <c r="AD135" i="27"/>
  <c r="AH135" i="27"/>
  <c r="AL135" i="27"/>
  <c r="AP135" i="27"/>
  <c r="AT135" i="27"/>
  <c r="AX135" i="27"/>
  <c r="BB135" i="27"/>
  <c r="BE135" i="27"/>
  <c r="BF135" i="27"/>
  <c r="G136" i="27"/>
  <c r="J136" i="27"/>
  <c r="N136" i="27"/>
  <c r="R136" i="27"/>
  <c r="V136" i="27"/>
  <c r="Z136" i="27"/>
  <c r="AD136" i="27"/>
  <c r="AH136" i="27"/>
  <c r="AL136" i="27"/>
  <c r="AP136" i="27"/>
  <c r="AT136" i="27"/>
  <c r="AX136" i="27"/>
  <c r="BB136" i="27"/>
  <c r="BE136" i="27"/>
  <c r="BF136" i="27"/>
  <c r="K137" i="27"/>
  <c r="J137" i="27"/>
  <c r="O137" i="27"/>
  <c r="N137" i="27"/>
  <c r="S137" i="27"/>
  <c r="R137" i="27"/>
  <c r="W137" i="27"/>
  <c r="V137" i="27"/>
  <c r="AA137" i="27"/>
  <c r="Z137" i="27"/>
  <c r="AE137" i="27"/>
  <c r="AD137" i="27"/>
  <c r="AI137" i="27"/>
  <c r="AH137" i="27"/>
  <c r="AM137" i="27"/>
  <c r="AL137" i="27"/>
  <c r="AQ137" i="27"/>
  <c r="AP137" i="27"/>
  <c r="AU137" i="27"/>
  <c r="AT137" i="27"/>
  <c r="AY137" i="27"/>
  <c r="AX137" i="27"/>
  <c r="BC137" i="27"/>
  <c r="BB137" i="27"/>
  <c r="I141" i="27"/>
  <c r="M141" i="27"/>
  <c r="Q141" i="27"/>
  <c r="U141" i="27"/>
  <c r="Y141" i="27"/>
  <c r="AC141" i="27"/>
  <c r="AG141" i="27"/>
  <c r="AK141" i="27"/>
  <c r="AO141" i="27"/>
  <c r="AS141" i="27"/>
  <c r="AW141" i="27"/>
  <c r="BA141" i="27"/>
  <c r="BE141" i="27"/>
  <c r="J144" i="27"/>
  <c r="N144" i="27"/>
  <c r="R144" i="27"/>
  <c r="V144" i="27"/>
  <c r="Z144" i="27"/>
  <c r="AD144" i="27"/>
  <c r="AH144" i="27"/>
  <c r="AL144" i="27"/>
  <c r="AP144" i="27"/>
  <c r="AT144" i="27"/>
  <c r="AX144" i="27"/>
  <c r="BB144" i="27"/>
  <c r="BE144" i="27"/>
  <c r="BE145" i="27"/>
  <c r="BE146" i="27"/>
  <c r="BE147" i="27"/>
  <c r="BE148" i="27"/>
  <c r="BE149" i="27"/>
  <c r="BE150" i="27"/>
  <c r="BE151" i="27"/>
  <c r="BG144" i="27"/>
  <c r="BG145" i="27"/>
  <c r="BG146" i="27"/>
  <c r="BG147" i="27"/>
  <c r="BG148" i="27"/>
  <c r="BG149" i="27"/>
  <c r="BG150" i="27"/>
  <c r="BG151" i="27"/>
  <c r="BF151" i="27"/>
  <c r="BF144" i="27"/>
  <c r="J145" i="27"/>
  <c r="N145" i="27"/>
  <c r="R145" i="27"/>
  <c r="V145" i="27"/>
  <c r="Z145" i="27"/>
  <c r="AD145" i="27"/>
  <c r="AH145" i="27"/>
  <c r="AL145" i="27"/>
  <c r="AP145" i="27"/>
  <c r="AT145" i="27"/>
  <c r="AX145" i="27"/>
  <c r="BB145" i="27"/>
  <c r="BF145" i="27"/>
  <c r="J146" i="27"/>
  <c r="N146" i="27"/>
  <c r="R146" i="27"/>
  <c r="V146" i="27"/>
  <c r="Z146" i="27"/>
  <c r="AD146" i="27"/>
  <c r="AH146" i="27"/>
  <c r="AL146" i="27"/>
  <c r="AP146" i="27"/>
  <c r="AT146" i="27"/>
  <c r="AX146" i="27"/>
  <c r="BB146" i="27"/>
  <c r="BF146" i="27"/>
  <c r="J147" i="27"/>
  <c r="N147" i="27"/>
  <c r="R147" i="27"/>
  <c r="V147" i="27"/>
  <c r="Z147" i="27"/>
  <c r="AD147" i="27"/>
  <c r="AH147" i="27"/>
  <c r="AL147" i="27"/>
  <c r="AP147" i="27"/>
  <c r="AT147" i="27"/>
  <c r="AX147" i="27"/>
  <c r="BB147" i="27"/>
  <c r="BF147" i="27"/>
  <c r="J148" i="27"/>
  <c r="N148" i="27"/>
  <c r="R148" i="27"/>
  <c r="V148" i="27"/>
  <c r="Z148" i="27"/>
  <c r="AD148" i="27"/>
  <c r="AH148" i="27"/>
  <c r="AL148" i="27"/>
  <c r="AP148" i="27"/>
  <c r="AT148" i="27"/>
  <c r="AX148" i="27"/>
  <c r="BB148" i="27"/>
  <c r="BF148" i="27"/>
  <c r="J149" i="27"/>
  <c r="N149" i="27"/>
  <c r="R149" i="27"/>
  <c r="V149" i="27"/>
  <c r="Z149" i="27"/>
  <c r="AD149" i="27"/>
  <c r="AH149" i="27"/>
  <c r="AL149" i="27"/>
  <c r="AP149" i="27"/>
  <c r="AT149" i="27"/>
  <c r="AX149" i="27"/>
  <c r="BB149" i="27"/>
  <c r="BF149" i="27"/>
  <c r="G150" i="27"/>
  <c r="J150" i="27"/>
  <c r="N150" i="27"/>
  <c r="R150" i="27"/>
  <c r="V150" i="27"/>
  <c r="Z150" i="27"/>
  <c r="AD150" i="27"/>
  <c r="AH150" i="27"/>
  <c r="AL150" i="27"/>
  <c r="AP150" i="27"/>
  <c r="AT150" i="27"/>
  <c r="AX150" i="27"/>
  <c r="BB150" i="27"/>
  <c r="BF150" i="27"/>
  <c r="J151" i="27"/>
  <c r="N151" i="27"/>
  <c r="R151" i="27"/>
  <c r="V151" i="27"/>
  <c r="Z151" i="27"/>
  <c r="AD151" i="27"/>
  <c r="AH151" i="27"/>
  <c r="AL151" i="27"/>
  <c r="AP151" i="27"/>
  <c r="AT151" i="27"/>
  <c r="AX151" i="27"/>
  <c r="BB151" i="27"/>
  <c r="I155" i="27"/>
  <c r="M155" i="27"/>
  <c r="Q155" i="27"/>
  <c r="U155" i="27"/>
  <c r="Y155" i="27"/>
  <c r="AC155" i="27"/>
  <c r="AG155" i="27"/>
  <c r="AK155" i="27"/>
  <c r="AO155" i="27"/>
  <c r="AS155" i="27"/>
  <c r="AW155" i="27"/>
  <c r="BA155" i="27"/>
  <c r="BE155" i="27"/>
  <c r="J158" i="27"/>
  <c r="N158" i="27"/>
  <c r="R158" i="27"/>
  <c r="V158" i="27"/>
  <c r="Z158" i="27"/>
  <c r="AD158" i="27"/>
  <c r="AH158" i="27"/>
  <c r="AL158" i="27"/>
  <c r="AP158" i="27"/>
  <c r="AT158" i="27"/>
  <c r="AX158" i="27"/>
  <c r="BB158" i="27"/>
  <c r="BE158" i="27"/>
  <c r="BE159" i="27"/>
  <c r="BE160" i="27"/>
  <c r="BE161" i="27"/>
  <c r="BE162" i="27"/>
  <c r="BE163" i="27"/>
  <c r="BE164" i="27"/>
  <c r="BE165" i="27"/>
  <c r="BG158" i="27"/>
  <c r="BG159" i="27"/>
  <c r="BG160" i="27"/>
  <c r="BG161" i="27"/>
  <c r="BG162" i="27"/>
  <c r="BG163" i="27"/>
  <c r="BG164" i="27"/>
  <c r="BG165" i="27"/>
  <c r="BF165" i="27"/>
  <c r="BF158" i="27"/>
  <c r="J159" i="27"/>
  <c r="N159" i="27"/>
  <c r="R159" i="27"/>
  <c r="V159" i="27"/>
  <c r="Z159" i="27"/>
  <c r="AD159" i="27"/>
  <c r="AH159" i="27"/>
  <c r="AL159" i="27"/>
  <c r="AP159" i="27"/>
  <c r="AT159" i="27"/>
  <c r="AX159" i="27"/>
  <c r="BB159" i="27"/>
  <c r="BF159" i="27"/>
  <c r="J160" i="27"/>
  <c r="N160" i="27"/>
  <c r="R160" i="27"/>
  <c r="V160" i="27"/>
  <c r="Z160" i="27"/>
  <c r="AD160" i="27"/>
  <c r="AH160" i="27"/>
  <c r="AL160" i="27"/>
  <c r="AP160" i="27"/>
  <c r="AT160" i="27"/>
  <c r="AX160" i="27"/>
  <c r="BB160" i="27"/>
  <c r="BF160" i="27"/>
  <c r="J161" i="27"/>
  <c r="N161" i="27"/>
  <c r="R161" i="27"/>
  <c r="V161" i="27"/>
  <c r="Z161" i="27"/>
  <c r="AD161" i="27"/>
  <c r="AH161" i="27"/>
  <c r="AL161" i="27"/>
  <c r="AP161" i="27"/>
  <c r="AT161" i="27"/>
  <c r="AX161" i="27"/>
  <c r="BB161" i="27"/>
  <c r="BF161" i="27"/>
  <c r="J162" i="27"/>
  <c r="N162" i="27"/>
  <c r="R162" i="27"/>
  <c r="V162" i="27"/>
  <c r="Z162" i="27"/>
  <c r="AD162" i="27"/>
  <c r="AH162" i="27"/>
  <c r="AL162" i="27"/>
  <c r="AP162" i="27"/>
  <c r="AT162" i="27"/>
  <c r="AX162" i="27"/>
  <c r="BB162" i="27"/>
  <c r="BF162" i="27"/>
  <c r="J163" i="27"/>
  <c r="N163" i="27"/>
  <c r="R163" i="27"/>
  <c r="V163" i="27"/>
  <c r="Z163" i="27"/>
  <c r="AD163" i="27"/>
  <c r="AH163" i="27"/>
  <c r="AL163" i="27"/>
  <c r="AP163" i="27"/>
  <c r="AT163" i="27"/>
  <c r="AX163" i="27"/>
  <c r="BB163" i="27"/>
  <c r="BF163" i="27"/>
  <c r="G164" i="27"/>
  <c r="J164" i="27"/>
  <c r="N164" i="27"/>
  <c r="R164" i="27"/>
  <c r="V164" i="27"/>
  <c r="Z164" i="27"/>
  <c r="AD164" i="27"/>
  <c r="AH164" i="27"/>
  <c r="AL164" i="27"/>
  <c r="AP164" i="27"/>
  <c r="AT164" i="27"/>
  <c r="AX164" i="27"/>
  <c r="BB164" i="27"/>
  <c r="BF164" i="27"/>
  <c r="J165" i="27"/>
  <c r="N165" i="27"/>
  <c r="R165" i="27"/>
  <c r="V165" i="27"/>
  <c r="Z165" i="27"/>
  <c r="AD165" i="27"/>
  <c r="AH165" i="27"/>
  <c r="AL165" i="27"/>
  <c r="AP165" i="27"/>
  <c r="AT165" i="27"/>
  <c r="AX165" i="27"/>
  <c r="BB165" i="27"/>
  <c r="I169" i="27"/>
  <c r="M169" i="27"/>
  <c r="Q169" i="27"/>
  <c r="U169" i="27"/>
  <c r="Y169" i="27"/>
  <c r="AC169" i="27"/>
  <c r="AG169" i="27"/>
  <c r="AK169" i="27"/>
  <c r="AO169" i="27"/>
  <c r="AS169" i="27"/>
  <c r="AW169" i="27"/>
  <c r="BA169" i="27"/>
  <c r="BE169" i="27"/>
  <c r="J172" i="27"/>
  <c r="N172" i="27"/>
  <c r="R172" i="27"/>
  <c r="V172" i="27"/>
  <c r="Z172" i="27"/>
  <c r="AD172" i="27"/>
  <c r="AH172" i="27"/>
  <c r="AL172" i="27"/>
  <c r="AP172" i="27"/>
  <c r="AT172" i="27"/>
  <c r="AX172" i="27"/>
  <c r="BB172" i="27"/>
  <c r="BE172" i="27"/>
  <c r="BE173" i="27"/>
  <c r="BE174" i="27"/>
  <c r="BE175" i="27"/>
  <c r="BE176" i="27"/>
  <c r="BE177" i="27"/>
  <c r="BE178" i="27"/>
  <c r="BE179" i="27"/>
  <c r="BG172" i="27"/>
  <c r="BF172" i="27"/>
  <c r="J173" i="27"/>
  <c r="N173" i="27"/>
  <c r="R173" i="27"/>
  <c r="V173" i="27"/>
  <c r="Z173" i="27"/>
  <c r="AD173" i="27"/>
  <c r="AH173" i="27"/>
  <c r="AL173" i="27"/>
  <c r="AP173" i="27"/>
  <c r="AT173" i="27"/>
  <c r="AX173" i="27"/>
  <c r="BB173" i="27"/>
  <c r="BG173" i="27"/>
  <c r="BF173" i="27"/>
  <c r="J174" i="27"/>
  <c r="N174" i="27"/>
  <c r="R174" i="27"/>
  <c r="V174" i="27"/>
  <c r="Z174" i="27"/>
  <c r="AD174" i="27"/>
  <c r="AH174" i="27"/>
  <c r="AL174" i="27"/>
  <c r="AP174" i="27"/>
  <c r="AT174" i="27"/>
  <c r="AX174" i="27"/>
  <c r="BB174" i="27"/>
  <c r="BG174" i="27"/>
  <c r="BF174" i="27"/>
  <c r="J175" i="27"/>
  <c r="N175" i="27"/>
  <c r="R175" i="27"/>
  <c r="V175" i="27"/>
  <c r="Z175" i="27"/>
  <c r="AD175" i="27"/>
  <c r="AH175" i="27"/>
  <c r="AL175" i="27"/>
  <c r="AP175" i="27"/>
  <c r="AT175" i="27"/>
  <c r="AX175" i="27"/>
  <c r="BB175" i="27"/>
  <c r="BG175" i="27"/>
  <c r="BF175" i="27"/>
  <c r="J176" i="27"/>
  <c r="N176" i="27"/>
  <c r="R176" i="27"/>
  <c r="V176" i="27"/>
  <c r="Z176" i="27"/>
  <c r="AD176" i="27"/>
  <c r="AH176" i="27"/>
  <c r="AL176" i="27"/>
  <c r="AP176" i="27"/>
  <c r="AT176" i="27"/>
  <c r="AX176" i="27"/>
  <c r="BB176" i="27"/>
  <c r="BG176" i="27"/>
  <c r="BF176" i="27"/>
  <c r="J177" i="27"/>
  <c r="N177" i="27"/>
  <c r="R177" i="27"/>
  <c r="V177" i="27"/>
  <c r="Z177" i="27"/>
  <c r="AD177" i="27"/>
  <c r="AH177" i="27"/>
  <c r="AL177" i="27"/>
  <c r="AP177" i="27"/>
  <c r="AT177" i="27"/>
  <c r="AX177" i="27"/>
  <c r="BB177" i="27"/>
  <c r="BG177" i="27"/>
  <c r="BF177" i="27"/>
  <c r="G178" i="27"/>
  <c r="J178" i="27"/>
  <c r="N178" i="27"/>
  <c r="R178" i="27"/>
  <c r="V178" i="27"/>
  <c r="Z178" i="27"/>
  <c r="AD178" i="27"/>
  <c r="AH178" i="27"/>
  <c r="AL178" i="27"/>
  <c r="AP178" i="27"/>
  <c r="AT178" i="27"/>
  <c r="AX178" i="27"/>
  <c r="BB178" i="27"/>
  <c r="BG178" i="27"/>
  <c r="BF178" i="27"/>
  <c r="J179" i="27"/>
  <c r="R179" i="27"/>
  <c r="V179" i="27"/>
  <c r="Z179" i="27"/>
  <c r="AD179" i="27"/>
  <c r="AL179" i="27"/>
  <c r="AP179" i="27"/>
  <c r="AT179" i="27"/>
  <c r="AX179" i="27"/>
  <c r="BB179" i="27"/>
  <c r="I183" i="27"/>
  <c r="M183" i="27"/>
  <c r="Q183" i="27"/>
  <c r="U183" i="27"/>
  <c r="Y183" i="27"/>
  <c r="AC183" i="27"/>
  <c r="AG183" i="27"/>
  <c r="AK183" i="27"/>
  <c r="AO183" i="27"/>
  <c r="AS183" i="27"/>
  <c r="AW183" i="27"/>
  <c r="BA183" i="27"/>
  <c r="BE183" i="27"/>
  <c r="G185" i="27"/>
  <c r="J185" i="27"/>
  <c r="N185" i="27"/>
  <c r="R185" i="27"/>
  <c r="V185" i="27"/>
  <c r="Z185" i="27"/>
  <c r="AD185" i="27"/>
  <c r="AH185" i="27"/>
  <c r="AL185" i="27"/>
  <c r="AP185" i="27"/>
  <c r="AT185" i="27"/>
  <c r="AX185" i="27"/>
  <c r="BB185" i="27"/>
  <c r="BE185" i="27"/>
  <c r="BE186" i="27"/>
  <c r="BE187" i="27"/>
  <c r="BE188" i="27"/>
  <c r="BE189" i="27"/>
  <c r="BE190" i="27"/>
  <c r="BE191" i="27"/>
  <c r="BE192" i="27"/>
  <c r="BG185" i="27"/>
  <c r="BF185" i="27"/>
  <c r="G186" i="27"/>
  <c r="J186" i="27"/>
  <c r="N186" i="27"/>
  <c r="R186" i="27"/>
  <c r="V186" i="27"/>
  <c r="Z186" i="27"/>
  <c r="AD186" i="27"/>
  <c r="AH186" i="27"/>
  <c r="AL186" i="27"/>
  <c r="AP186" i="27"/>
  <c r="AT186" i="27"/>
  <c r="AX186" i="27"/>
  <c r="BB186" i="27"/>
  <c r="BG186" i="27"/>
  <c r="BF186" i="27"/>
  <c r="G187" i="27"/>
  <c r="J187" i="27"/>
  <c r="N187" i="27"/>
  <c r="R187" i="27"/>
  <c r="V187" i="27"/>
  <c r="Z187" i="27"/>
  <c r="AD187" i="27"/>
  <c r="AH187" i="27"/>
  <c r="AL187" i="27"/>
  <c r="AP187" i="27"/>
  <c r="AT187" i="27"/>
  <c r="AX187" i="27"/>
  <c r="BB187" i="27"/>
  <c r="BG187" i="27"/>
  <c r="BF187" i="27"/>
  <c r="G188" i="27"/>
  <c r="J188" i="27"/>
  <c r="N188" i="27"/>
  <c r="R188" i="27"/>
  <c r="V188" i="27"/>
  <c r="Z188" i="27"/>
  <c r="AD188" i="27"/>
  <c r="AH188" i="27"/>
  <c r="AL188" i="27"/>
  <c r="AP188" i="27"/>
  <c r="AT188" i="27"/>
  <c r="AX188" i="27"/>
  <c r="BB188" i="27"/>
  <c r="BG188" i="27"/>
  <c r="BF188" i="27"/>
  <c r="G189" i="27"/>
  <c r="J189" i="27"/>
  <c r="N189" i="27"/>
  <c r="R189" i="27"/>
  <c r="V189" i="27"/>
  <c r="Z189" i="27"/>
  <c r="AD189" i="27"/>
  <c r="AH189" i="27"/>
  <c r="AL189" i="27"/>
  <c r="AP189" i="27"/>
  <c r="AT189" i="27"/>
  <c r="AX189" i="27"/>
  <c r="BB189" i="27"/>
  <c r="BG189" i="27"/>
  <c r="BF189" i="27"/>
  <c r="G190" i="27"/>
  <c r="J190" i="27"/>
  <c r="N190" i="27"/>
  <c r="R190" i="27"/>
  <c r="V190" i="27"/>
  <c r="Z190" i="27"/>
  <c r="AD190" i="27"/>
  <c r="AH190" i="27"/>
  <c r="AL190" i="27"/>
  <c r="AP190" i="27"/>
  <c r="AT190" i="27"/>
  <c r="AX190" i="27"/>
  <c r="BB190" i="27"/>
  <c r="BG190" i="27"/>
  <c r="BF190" i="27"/>
  <c r="G191" i="27"/>
  <c r="J191" i="27"/>
  <c r="N191" i="27"/>
  <c r="R191" i="27"/>
  <c r="V191" i="27"/>
  <c r="Z191" i="27"/>
  <c r="AD191" i="27"/>
  <c r="AH191" i="27"/>
  <c r="AL191" i="27"/>
  <c r="AP191" i="27"/>
  <c r="AT191" i="27"/>
  <c r="AX191" i="27"/>
  <c r="BB191" i="27"/>
  <c r="BG191" i="27"/>
  <c r="BF191" i="27"/>
  <c r="K192" i="27"/>
  <c r="J192" i="27"/>
  <c r="O192" i="27"/>
  <c r="N192" i="27"/>
  <c r="S192" i="27"/>
  <c r="R192" i="27"/>
  <c r="W192" i="27"/>
  <c r="V192" i="27"/>
  <c r="AA192" i="27"/>
  <c r="Z192" i="27"/>
  <c r="AE192" i="27"/>
  <c r="AD192" i="27"/>
  <c r="AI192" i="27"/>
  <c r="AH192" i="27"/>
  <c r="AM192" i="27"/>
  <c r="AL192" i="27"/>
  <c r="AQ192" i="27"/>
  <c r="AP192" i="27"/>
  <c r="AU192" i="27"/>
  <c r="AT192" i="27"/>
  <c r="AY192" i="27"/>
  <c r="AX192" i="27"/>
  <c r="BC192" i="27"/>
  <c r="BB192" i="27"/>
  <c r="I196" i="27"/>
  <c r="M196" i="27"/>
  <c r="Q196" i="27"/>
  <c r="U196" i="27"/>
  <c r="Y196" i="27"/>
  <c r="AC196" i="27"/>
  <c r="AG196" i="27"/>
  <c r="AK196" i="27"/>
  <c r="AO196" i="27"/>
  <c r="AS196" i="27"/>
  <c r="AW196" i="27"/>
  <c r="BA196" i="27"/>
  <c r="BE196" i="27"/>
  <c r="G198" i="27"/>
  <c r="J198" i="27"/>
  <c r="N198" i="27"/>
  <c r="R198" i="27"/>
  <c r="V198" i="27"/>
  <c r="Z198" i="27"/>
  <c r="AD198" i="27"/>
  <c r="AH198" i="27"/>
  <c r="AL198" i="27"/>
  <c r="AP198" i="27"/>
  <c r="AT198" i="27"/>
  <c r="AX198" i="27"/>
  <c r="BB198" i="27"/>
  <c r="BE198" i="27"/>
  <c r="BE199" i="27"/>
  <c r="BE200" i="27"/>
  <c r="BE201" i="27"/>
  <c r="BE202" i="27"/>
  <c r="BE203" i="27"/>
  <c r="BE204" i="27"/>
  <c r="BE205" i="27"/>
  <c r="BG198" i="27"/>
  <c r="BG199" i="27"/>
  <c r="BG200" i="27"/>
  <c r="BG201" i="27"/>
  <c r="BG202" i="27"/>
  <c r="BG203" i="27"/>
  <c r="BG204" i="27"/>
  <c r="BG205" i="27"/>
  <c r="BF198" i="27"/>
  <c r="G199" i="27"/>
  <c r="J199" i="27"/>
  <c r="N199" i="27"/>
  <c r="R199" i="27"/>
  <c r="V199" i="27"/>
  <c r="Z199" i="27"/>
  <c r="AD199" i="27"/>
  <c r="AH199" i="27"/>
  <c r="AL199" i="27"/>
  <c r="AP199" i="27"/>
  <c r="AT199" i="27"/>
  <c r="AX199" i="27"/>
  <c r="BB199" i="27"/>
  <c r="BF199" i="27"/>
  <c r="G200" i="27"/>
  <c r="J200" i="27"/>
  <c r="N200" i="27"/>
  <c r="R200" i="27"/>
  <c r="V200" i="27"/>
  <c r="Z200" i="27"/>
  <c r="AD200" i="27"/>
  <c r="AH200" i="27"/>
  <c r="AL200" i="27"/>
  <c r="AP200" i="27"/>
  <c r="AT200" i="27"/>
  <c r="AX200" i="27"/>
  <c r="BB200" i="27"/>
  <c r="BF200" i="27"/>
  <c r="G201" i="27"/>
  <c r="J201" i="27"/>
  <c r="N201" i="27"/>
  <c r="R201" i="27"/>
  <c r="V201" i="27"/>
  <c r="Z201" i="27"/>
  <c r="AD201" i="27"/>
  <c r="AH201" i="27"/>
  <c r="AL201" i="27"/>
  <c r="AP201" i="27"/>
  <c r="AT201" i="27"/>
  <c r="AX201" i="27"/>
  <c r="BB201" i="27"/>
  <c r="BF201" i="27"/>
  <c r="G202" i="27"/>
  <c r="J202" i="27"/>
  <c r="N202" i="27"/>
  <c r="R202" i="27"/>
  <c r="V202" i="27"/>
  <c r="Z202" i="27"/>
  <c r="AD202" i="27"/>
  <c r="AH202" i="27"/>
  <c r="AL202" i="27"/>
  <c r="AP202" i="27"/>
  <c r="AT202" i="27"/>
  <c r="AX202" i="27"/>
  <c r="BB202" i="27"/>
  <c r="BF202" i="27"/>
  <c r="G203" i="27"/>
  <c r="J203" i="27"/>
  <c r="N203" i="27"/>
  <c r="R203" i="27"/>
  <c r="V203" i="27"/>
  <c r="Z203" i="27"/>
  <c r="AD203" i="27"/>
  <c r="AH203" i="27"/>
  <c r="AL203" i="27"/>
  <c r="AP203" i="27"/>
  <c r="AT203" i="27"/>
  <c r="AX203" i="27"/>
  <c r="BB203" i="27"/>
  <c r="BF203" i="27"/>
  <c r="G204" i="27"/>
  <c r="J204" i="27"/>
  <c r="N204" i="27"/>
  <c r="R204" i="27"/>
  <c r="V204" i="27"/>
  <c r="Z204" i="27"/>
  <c r="AD204" i="27"/>
  <c r="AH204" i="27"/>
  <c r="AL204" i="27"/>
  <c r="AP204" i="27"/>
  <c r="AT204" i="27"/>
  <c r="AX204" i="27"/>
  <c r="BB204" i="27"/>
  <c r="BF204" i="27"/>
  <c r="K205" i="27"/>
  <c r="O205" i="27"/>
  <c r="N205" i="27"/>
  <c r="S205" i="27"/>
  <c r="R205" i="27"/>
  <c r="W205" i="27"/>
  <c r="V205" i="27"/>
  <c r="AA205" i="27"/>
  <c r="Z205" i="27"/>
  <c r="AE205" i="27"/>
  <c r="AD205" i="27"/>
  <c r="AI205" i="27"/>
  <c r="AH205" i="27"/>
  <c r="AM205" i="27"/>
  <c r="AL205" i="27"/>
  <c r="AQ205" i="27"/>
  <c r="AP205" i="27"/>
  <c r="AU205" i="27"/>
  <c r="AT205" i="27"/>
  <c r="AY205" i="27"/>
  <c r="AX205" i="27"/>
  <c r="BC205" i="27"/>
  <c r="BB205" i="27"/>
  <c r="I209" i="27"/>
  <c r="M209" i="27"/>
  <c r="Q209" i="27"/>
  <c r="U209" i="27"/>
  <c r="Y209" i="27"/>
  <c r="AC209" i="27"/>
  <c r="AG209" i="27"/>
  <c r="AK209" i="27"/>
  <c r="AO209" i="27"/>
  <c r="AS209" i="27"/>
  <c r="AW209" i="27"/>
  <c r="BA209" i="27"/>
  <c r="BE209" i="27"/>
  <c r="O426" i="28"/>
  <c r="O430" i="28"/>
  <c r="O432" i="28"/>
  <c r="O382" i="28"/>
  <c r="O386" i="28"/>
  <c r="O388" i="28"/>
  <c r="O294" i="28"/>
  <c r="O298" i="28"/>
  <c r="O300" i="28"/>
  <c r="O338" i="28"/>
  <c r="O342" i="28"/>
  <c r="O344" i="28"/>
  <c r="O204" i="28"/>
  <c r="O208" i="28"/>
  <c r="O210" i="28"/>
  <c r="O72" i="28"/>
  <c r="O76" i="28"/>
  <c r="O77" i="28"/>
  <c r="O248" i="28"/>
  <c r="O252" i="28"/>
  <c r="O254" i="28"/>
  <c r="O160" i="28"/>
  <c r="O164" i="28"/>
  <c r="O166" i="28"/>
  <c r="O28" i="28"/>
  <c r="O32" i="28"/>
  <c r="O33" i="28"/>
  <c r="O116" i="28"/>
  <c r="O120" i="28"/>
  <c r="O122" i="28"/>
  <c r="G645" i="27"/>
  <c r="G527" i="27"/>
  <c r="G616" i="27"/>
  <c r="G532" i="27"/>
  <c r="G818" i="27"/>
  <c r="G650" i="27"/>
  <c r="G766" i="27"/>
  <c r="G528" i="27"/>
  <c r="E758" i="27"/>
  <c r="F711" i="27"/>
  <c r="G711" i="27"/>
  <c r="F671" i="27"/>
  <c r="G671" i="27"/>
  <c r="F670" i="27"/>
  <c r="G670" i="27"/>
  <c r="F675" i="27"/>
  <c r="G675" i="27"/>
  <c r="F667" i="27"/>
  <c r="G667" i="27"/>
  <c r="F674" i="27"/>
  <c r="G674" i="27"/>
  <c r="G715" i="27"/>
  <c r="E864" i="27"/>
  <c r="F864" i="27"/>
  <c r="G774" i="27"/>
  <c r="G649" i="27"/>
  <c r="G644" i="27"/>
  <c r="G654" i="27"/>
  <c r="G777" i="27"/>
  <c r="E783" i="27"/>
  <c r="F783" i="27"/>
  <c r="F797" i="27"/>
  <c r="G797" i="27"/>
  <c r="G772" i="27"/>
  <c r="G612" i="27"/>
  <c r="E622" i="27"/>
  <c r="F622" i="27"/>
  <c r="G571" i="27"/>
  <c r="G846" i="27"/>
  <c r="E862" i="27"/>
  <c r="G690" i="27"/>
  <c r="E742" i="27"/>
  <c r="F742" i="27"/>
  <c r="F497" i="27"/>
  <c r="G524" i="27"/>
  <c r="G810" i="27"/>
  <c r="E824" i="27"/>
  <c r="F824" i="27"/>
  <c r="F697" i="27"/>
  <c r="E556" i="27"/>
  <c r="G768" i="27"/>
  <c r="F739" i="27"/>
  <c r="G739" i="27"/>
  <c r="G835" i="27"/>
  <c r="G568" i="27"/>
  <c r="E500" i="27"/>
  <c r="G604" i="27"/>
  <c r="G536" i="27"/>
  <c r="G778" i="27"/>
  <c r="G773" i="27"/>
  <c r="G572" i="27"/>
  <c r="G567" i="27"/>
  <c r="G686" i="27"/>
  <c r="F657" i="27"/>
  <c r="G576" i="27"/>
  <c r="G806" i="27"/>
  <c r="F708" i="27"/>
  <c r="G708" i="27"/>
  <c r="G694" i="27"/>
  <c r="G689" i="27"/>
  <c r="F819" i="27"/>
  <c r="G770" i="27"/>
  <c r="F707" i="27"/>
  <c r="G707" i="27"/>
  <c r="G693" i="27"/>
  <c r="G646" i="27"/>
  <c r="G814" i="27"/>
  <c r="E596" i="27"/>
  <c r="G564" i="27"/>
  <c r="F751" i="27"/>
  <c r="G751" i="27"/>
  <c r="F755" i="27"/>
  <c r="G755" i="27"/>
  <c r="F752" i="27"/>
  <c r="G752" i="27"/>
  <c r="F756" i="27"/>
  <c r="G756" i="27"/>
  <c r="F753" i="27"/>
  <c r="G753" i="27"/>
  <c r="F750" i="27"/>
  <c r="G750" i="27"/>
  <c r="F757" i="27"/>
  <c r="G757" i="27"/>
  <c r="F749" i="27"/>
  <c r="G749" i="27"/>
  <c r="F754" i="27"/>
  <c r="G754" i="27"/>
  <c r="F509" i="27"/>
  <c r="G509" i="27"/>
  <c r="F513" i="27"/>
  <c r="G513" i="27"/>
  <c r="F507" i="27"/>
  <c r="G507" i="27"/>
  <c r="F511" i="27"/>
  <c r="G511" i="27"/>
  <c r="F515" i="27"/>
  <c r="G515" i="27"/>
  <c r="F510" i="27"/>
  <c r="G510" i="27"/>
  <c r="F514" i="27"/>
  <c r="G514" i="27"/>
  <c r="F512" i="27"/>
  <c r="G512" i="27"/>
  <c r="F508" i="27"/>
  <c r="G508" i="27"/>
  <c r="F588" i="27"/>
  <c r="G588" i="27"/>
  <c r="F592" i="27"/>
  <c r="G592" i="27"/>
  <c r="F587" i="27"/>
  <c r="G587" i="27"/>
  <c r="F591" i="27"/>
  <c r="G591" i="27"/>
  <c r="F595" i="27"/>
  <c r="G595" i="27"/>
  <c r="F590" i="27"/>
  <c r="G590" i="27"/>
  <c r="F594" i="27"/>
  <c r="G594" i="27"/>
  <c r="F589" i="27"/>
  <c r="G589" i="27"/>
  <c r="F593" i="27"/>
  <c r="G593" i="27"/>
  <c r="F869" i="27"/>
  <c r="G869" i="27"/>
  <c r="F873" i="27"/>
  <c r="G873" i="27"/>
  <c r="F877" i="27"/>
  <c r="G877" i="27"/>
  <c r="F870" i="27"/>
  <c r="G870" i="27"/>
  <c r="F874" i="27"/>
  <c r="G874" i="27"/>
  <c r="G531" i="27"/>
  <c r="E502" i="27"/>
  <c r="F502" i="27"/>
  <c r="F872" i="27"/>
  <c r="G872" i="27"/>
  <c r="F832" i="27"/>
  <c r="G832" i="27"/>
  <c r="G653" i="27"/>
  <c r="F627" i="27"/>
  <c r="G627" i="27"/>
  <c r="F631" i="27"/>
  <c r="G631" i="27"/>
  <c r="F635" i="27"/>
  <c r="G635" i="27"/>
  <c r="F628" i="27"/>
  <c r="G628" i="27"/>
  <c r="F632" i="27"/>
  <c r="G632" i="27"/>
  <c r="F629" i="27"/>
  <c r="G629" i="27"/>
  <c r="F633" i="27"/>
  <c r="G633" i="27"/>
  <c r="F859" i="27"/>
  <c r="G426" i="28"/>
  <c r="G427" i="28"/>
  <c r="F779" i="27"/>
  <c r="E657" i="27"/>
  <c r="G657" i="27"/>
  <c r="E636" i="27"/>
  <c r="E838" i="27"/>
  <c r="F709" i="27"/>
  <c r="G709" i="27"/>
  <c r="F713" i="27"/>
  <c r="G713" i="27"/>
  <c r="F710" i="27"/>
  <c r="G710" i="27"/>
  <c r="F714" i="27"/>
  <c r="G714" i="27"/>
  <c r="F634" i="27"/>
  <c r="G634" i="27"/>
  <c r="E497" i="27"/>
  <c r="F617" i="27"/>
  <c r="E744" i="27"/>
  <c r="F744" i="27"/>
  <c r="E716" i="27"/>
  <c r="E697" i="27"/>
  <c r="F876" i="27"/>
  <c r="G876" i="27"/>
  <c r="E878" i="27"/>
  <c r="F836" i="27"/>
  <c r="G836" i="27"/>
  <c r="E798" i="27"/>
  <c r="G769" i="27"/>
  <c r="E676" i="27"/>
  <c r="F712" i="27"/>
  <c r="G712" i="27"/>
  <c r="F668" i="27"/>
  <c r="G668" i="27"/>
  <c r="F672" i="27"/>
  <c r="G672" i="27"/>
  <c r="F669" i="27"/>
  <c r="G669" i="27"/>
  <c r="F673" i="27"/>
  <c r="G673" i="27"/>
  <c r="F537" i="27"/>
  <c r="F871" i="27"/>
  <c r="G871" i="27"/>
  <c r="F831" i="27"/>
  <c r="G831" i="27"/>
  <c r="F875" i="27"/>
  <c r="G875" i="27"/>
  <c r="G523" i="27"/>
  <c r="E537" i="27"/>
  <c r="E617" i="27"/>
  <c r="G535" i="27"/>
  <c r="E541" i="27"/>
  <c r="F541" i="27"/>
  <c r="F577" i="27"/>
  <c r="F829" i="27"/>
  <c r="G829" i="27"/>
  <c r="F833" i="27"/>
  <c r="G833" i="27"/>
  <c r="F837" i="27"/>
  <c r="G837" i="27"/>
  <c r="F830" i="27"/>
  <c r="G830" i="27"/>
  <c r="F834" i="27"/>
  <c r="G834" i="27"/>
  <c r="E859" i="27"/>
  <c r="E819" i="27"/>
  <c r="G765" i="27"/>
  <c r="E779" i="27"/>
  <c r="G603" i="27"/>
  <c r="E577" i="27"/>
  <c r="E516" i="27"/>
  <c r="BF430" i="27"/>
  <c r="BF372" i="27"/>
  <c r="BF235" i="27"/>
  <c r="BG263" i="27"/>
  <c r="BF263" i="27"/>
  <c r="AX263" i="27"/>
  <c r="BE345" i="27"/>
  <c r="BF345" i="27"/>
  <c r="BG289" i="27"/>
  <c r="BF289" i="27"/>
  <c r="BG249" i="27"/>
  <c r="BF249" i="27"/>
  <c r="BG303" i="27"/>
  <c r="BF303" i="27"/>
  <c r="BF84" i="27"/>
  <c r="BF124" i="27"/>
  <c r="BF205" i="27"/>
  <c r="BF97" i="27"/>
  <c r="BG192" i="27"/>
  <c r="BF192" i="27"/>
  <c r="AH179" i="27"/>
  <c r="BG58" i="27"/>
  <c r="BF58" i="27"/>
  <c r="J205" i="27"/>
  <c r="BE137" i="27"/>
  <c r="BF137" i="27"/>
  <c r="N179" i="27"/>
  <c r="AT58" i="27"/>
  <c r="BG179" i="27"/>
  <c r="BF179" i="27"/>
  <c r="O121" i="28"/>
  <c r="O209" i="28"/>
  <c r="O299" i="28"/>
  <c r="O305" i="28"/>
  <c r="O34" i="28"/>
  <c r="O387" i="28"/>
  <c r="O165" i="28"/>
  <c r="O431" i="28"/>
  <c r="O435" i="28"/>
  <c r="O438" i="28"/>
  <c r="O37" i="28"/>
  <c r="O39" i="28"/>
  <c r="O78" i="28"/>
  <c r="O343" i="28"/>
  <c r="O253" i="28"/>
  <c r="G577" i="27"/>
  <c r="E702" i="27"/>
  <c r="F702" i="27"/>
  <c r="E582" i="27"/>
  <c r="F582" i="27"/>
  <c r="E700" i="27"/>
  <c r="F700" i="27"/>
  <c r="E822" i="27"/>
  <c r="E826" i="27"/>
  <c r="E542" i="27"/>
  <c r="F542" i="27"/>
  <c r="G779" i="27"/>
  <c r="E620" i="27"/>
  <c r="F620" i="27"/>
  <c r="E580" i="27"/>
  <c r="F789" i="27"/>
  <c r="G789" i="27"/>
  <c r="E504" i="27"/>
  <c r="E660" i="27"/>
  <c r="F660" i="27"/>
  <c r="E662" i="27"/>
  <c r="F662" i="27"/>
  <c r="G697" i="27"/>
  <c r="G859" i="27"/>
  <c r="E784" i="27"/>
  <c r="F784" i="27"/>
  <c r="F796" i="27"/>
  <c r="G796" i="27"/>
  <c r="F792" i="27"/>
  <c r="G792" i="27"/>
  <c r="E782" i="27"/>
  <c r="F782" i="27"/>
  <c r="G819" i="27"/>
  <c r="F500" i="27"/>
  <c r="E540" i="27"/>
  <c r="F791" i="27"/>
  <c r="G791" i="27"/>
  <c r="G497" i="27"/>
  <c r="F790" i="27"/>
  <c r="G790" i="27"/>
  <c r="F794" i="27"/>
  <c r="G794" i="27"/>
  <c r="F795" i="27"/>
  <c r="G795" i="27"/>
  <c r="F793" i="27"/>
  <c r="G793" i="27"/>
  <c r="G617" i="27"/>
  <c r="G758" i="27"/>
  <c r="G516" i="27"/>
  <c r="G878" i="27"/>
  <c r="G537" i="27"/>
  <c r="G596" i="27"/>
  <c r="G716" i="27"/>
  <c r="F550" i="27"/>
  <c r="G550" i="27"/>
  <c r="F554" i="27"/>
  <c r="G554" i="27"/>
  <c r="F547" i="27"/>
  <c r="G547" i="27"/>
  <c r="F551" i="27"/>
  <c r="G551" i="27"/>
  <c r="F555" i="27"/>
  <c r="G555" i="27"/>
  <c r="F553" i="27"/>
  <c r="G553" i="27"/>
  <c r="F552" i="27"/>
  <c r="G552" i="27"/>
  <c r="F549" i="27"/>
  <c r="G549" i="27"/>
  <c r="F548" i="27"/>
  <c r="G548" i="27"/>
  <c r="G636" i="27"/>
  <c r="G838" i="27"/>
  <c r="G676" i="27"/>
  <c r="F862" i="27"/>
  <c r="E866" i="27"/>
  <c r="E746" i="27"/>
  <c r="O437" i="28"/>
  <c r="O303" i="28"/>
  <c r="O306" i="28"/>
  <c r="O40" i="28"/>
  <c r="E624" i="27"/>
  <c r="F822" i="27"/>
  <c r="E704" i="27"/>
  <c r="E584" i="27"/>
  <c r="E544" i="27"/>
  <c r="E786" i="27"/>
  <c r="E664" i="27"/>
  <c r="F580" i="27"/>
  <c r="G798" i="27"/>
  <c r="F540" i="27"/>
  <c r="G556" i="27"/>
  <c r="M2" i="28"/>
  <c r="G952" i="27"/>
  <c r="G956" i="27"/>
  <c r="G954" i="27"/>
  <c r="O42" i="28"/>
  <c r="O79" i="28"/>
  <c r="O44" i="28"/>
  <c r="G958" i="27"/>
  <c r="G959" i="27"/>
  <c r="O81" i="28"/>
  <c r="O84" i="28"/>
  <c r="O83" i="28"/>
  <c r="I884" i="27"/>
  <c r="J887" i="27"/>
  <c r="J888" i="27"/>
  <c r="E889" i="27"/>
  <c r="E890" i="27"/>
  <c r="B899" i="27"/>
  <c r="E902" i="27"/>
  <c r="G902" i="27"/>
  <c r="E903" i="27"/>
  <c r="E906" i="27"/>
  <c r="E907" i="27"/>
  <c r="E908" i="27"/>
  <c r="E911" i="27"/>
  <c r="E912" i="27"/>
  <c r="E914" i="27"/>
  <c r="E915" i="27"/>
  <c r="I919" i="27"/>
  <c r="J923" i="27"/>
  <c r="G924" i="27"/>
  <c r="I924" i="27"/>
  <c r="J924" i="27"/>
  <c r="E925" i="27"/>
  <c r="E926" i="27"/>
  <c r="G927" i="27"/>
  <c r="G928" i="27"/>
  <c r="I928" i="27"/>
  <c r="G929" i="27"/>
  <c r="I929" i="27"/>
  <c r="G932" i="27"/>
  <c r="E934" i="27"/>
  <c r="E935" i="27"/>
  <c r="E936" i="27"/>
  <c r="E937" i="27"/>
  <c r="E944" i="27"/>
  <c r="B945" i="27"/>
  <c r="G1006" i="27"/>
  <c r="G972" i="27"/>
  <c r="G989" i="27"/>
  <c r="I930" i="27"/>
  <c r="E941" i="27"/>
  <c r="G930" i="27"/>
  <c r="G931" i="27"/>
  <c r="B940" i="27"/>
  <c r="E913" i="27"/>
  <c r="G1008" i="27"/>
  <c r="E945" i="27"/>
  <c r="G991" i="27"/>
  <c r="O440" i="28"/>
  <c r="G993" i="27"/>
  <c r="O442" i="28"/>
  <c r="G974" i="27"/>
  <c r="O308" i="28"/>
  <c r="G976" i="27"/>
  <c r="E940" i="27"/>
  <c r="E942" i="27"/>
  <c r="E943" i="27"/>
  <c r="K1004" i="27"/>
  <c r="I1004" i="27"/>
  <c r="M1004" i="27"/>
  <c r="O1005" i="27"/>
  <c r="O345" i="28"/>
  <c r="O310" i="28"/>
  <c r="G996" i="27"/>
  <c r="G978" i="27"/>
  <c r="G979" i="27"/>
  <c r="G995" i="27"/>
  <c r="K1005" i="27"/>
  <c r="G1005" i="27"/>
  <c r="I1005" i="27"/>
  <c r="O1004" i="27"/>
  <c r="G1004" i="27"/>
  <c r="M1005" i="27"/>
  <c r="Q1004" i="27"/>
  <c r="Q1005" i="27"/>
  <c r="G3" i="27"/>
  <c r="O347" i="28"/>
  <c r="O350" i="28"/>
  <c r="O349" i="28"/>
  <c r="G1013" i="27"/>
  <c r="I1007" i="27"/>
  <c r="I1009" i="27"/>
  <c r="G1009" i="27"/>
  <c r="G1012" i="27"/>
  <c r="L443" i="28"/>
  <c r="I1013" i="27"/>
  <c r="K1007" i="27"/>
  <c r="K1009" i="27"/>
  <c r="I1012" i="27"/>
  <c r="L444" i="28"/>
  <c r="I952" i="27"/>
  <c r="K1013" i="27"/>
  <c r="M1007" i="27"/>
  <c r="M1013" i="27"/>
  <c r="O1007" i="27"/>
  <c r="O1009" i="27"/>
  <c r="K1012" i="27"/>
  <c r="L445" i="28"/>
  <c r="I956" i="27"/>
  <c r="I954" i="27"/>
  <c r="O86" i="28"/>
  <c r="M1009" i="27"/>
  <c r="O1012" i="27"/>
  <c r="O444" i="28"/>
  <c r="O1013" i="27"/>
  <c r="Q1007" i="27"/>
  <c r="Q1013" i="27"/>
  <c r="M1012" i="27"/>
  <c r="O443" i="28"/>
  <c r="O88" i="28"/>
  <c r="O123" i="28"/>
  <c r="I958" i="27"/>
  <c r="I959" i="27"/>
  <c r="Q1012" i="27"/>
  <c r="O445" i="28"/>
  <c r="O446" i="28"/>
  <c r="Q1009" i="27"/>
  <c r="O127" i="28"/>
  <c r="O125" i="28"/>
  <c r="O128" i="28"/>
  <c r="I972" i="27"/>
  <c r="I976" i="27"/>
  <c r="I974" i="27"/>
  <c r="O352" i="28"/>
  <c r="B1" i="28"/>
  <c r="O389" i="28"/>
  <c r="O354" i="28"/>
  <c r="I978" i="27"/>
  <c r="I979" i="27"/>
  <c r="K952" i="27"/>
  <c r="B9" i="27"/>
  <c r="C19" i="26"/>
  <c r="C12" i="26"/>
  <c r="B11" i="27"/>
  <c r="B10" i="27"/>
  <c r="B14" i="27"/>
  <c r="B13" i="27"/>
  <c r="B12" i="27"/>
  <c r="O393" i="28"/>
  <c r="O391" i="28"/>
  <c r="O394" i="28"/>
  <c r="K954" i="27"/>
  <c r="O130" i="28"/>
  <c r="K956" i="27"/>
  <c r="C2" i="26"/>
  <c r="O167" i="28"/>
  <c r="O132" i="28"/>
  <c r="K972" i="27"/>
  <c r="K958" i="27"/>
  <c r="K959" i="27"/>
  <c r="D10" i="27"/>
  <c r="D11" i="27"/>
  <c r="D9" i="27"/>
  <c r="D13" i="27"/>
  <c r="D12" i="27"/>
  <c r="D14" i="27"/>
  <c r="B1" i="2"/>
  <c r="B1" i="27"/>
  <c r="O169" i="28"/>
  <c r="O172" i="28"/>
  <c r="M952" i="27"/>
  <c r="O171" i="28"/>
  <c r="K976" i="27"/>
  <c r="O398" i="28"/>
  <c r="K974" i="27"/>
  <c r="O396" i="28"/>
  <c r="M956" i="27"/>
  <c r="M954" i="27"/>
  <c r="O174" i="28"/>
  <c r="K979" i="27"/>
  <c r="K978" i="27"/>
  <c r="O211" i="28"/>
  <c r="O176" i="28"/>
  <c r="M958" i="27"/>
  <c r="M959" i="27"/>
  <c r="O215" i="28"/>
  <c r="O213" i="28"/>
  <c r="O216" i="28"/>
  <c r="O952" i="27"/>
  <c r="O956" i="27"/>
  <c r="O954" i="27"/>
  <c r="O218" i="28"/>
  <c r="O255" i="28"/>
  <c r="O220" i="28"/>
  <c r="O958" i="27"/>
  <c r="O959" i="27"/>
  <c r="O257" i="28"/>
  <c r="O260" i="28"/>
  <c r="O259" i="28"/>
  <c r="Q952" i="27"/>
  <c r="Q954" i="27"/>
  <c r="O262" i="28"/>
  <c r="Q956" i="27"/>
  <c r="O264" i="28"/>
  <c r="Q958" i="27"/>
  <c r="Q959" i="27"/>
</calcChain>
</file>

<file path=xl/sharedStrings.xml><?xml version="1.0" encoding="utf-8"?>
<sst xmlns="http://schemas.openxmlformats.org/spreadsheetml/2006/main" count="4418" uniqueCount="1036">
  <si>
    <t>Versión:</t>
  </si>
  <si>
    <t>Año</t>
  </si>
  <si>
    <t>HOJA DE TRABAJO 1 PARA EL USUARIO</t>
  </si>
  <si>
    <r>
      <t xml:space="preserve"> </t>
    </r>
    <r>
      <rPr>
        <b/>
        <sz val="12"/>
        <color rgb="FFFF0000"/>
        <rFont val="Candara"/>
        <family val="2"/>
      </rPr>
      <t>Nota:</t>
    </r>
    <r>
      <rPr>
        <b/>
        <sz val="12"/>
        <color theme="0"/>
        <rFont val="Candara"/>
        <family val="2"/>
      </rPr>
      <t xml:space="preserve"> En esta hoja se puede realizar cálculos deseados o incorporar información adicional</t>
    </r>
  </si>
  <si>
    <t>HOJA DE TRABAJO 2 PARA EL USUARIO</t>
  </si>
  <si>
    <r>
      <t xml:space="preserve">El presente LIQUIDADOR fue elaborado por </t>
    </r>
    <r>
      <rPr>
        <b/>
        <i/>
        <sz val="12"/>
        <color theme="0"/>
        <rFont val="Candara"/>
        <family val="2"/>
      </rPr>
      <t xml:space="preserve">Esteban Trejo Castaño </t>
    </r>
    <r>
      <rPr>
        <i/>
        <sz val="12"/>
        <color theme="0"/>
        <rFont val="Candara"/>
        <family val="2"/>
      </rPr>
      <t xml:space="preserve">y aprobado por </t>
    </r>
    <r>
      <rPr>
        <b/>
        <i/>
        <sz val="12"/>
        <color theme="0"/>
        <rFont val="Candara"/>
        <family val="2"/>
      </rPr>
      <t>Guillermo León Trejo Pérez</t>
    </r>
    <r>
      <rPr>
        <i/>
        <sz val="12"/>
        <color theme="0"/>
        <rFont val="Candara"/>
        <family val="2"/>
      </rPr>
      <t>. DR210 (C). Todos los derechos reservados. En caso de dudas o comentarios lo invitamos a contactarnos a nuestro teléfono 323 474 35 06</t>
    </r>
  </si>
  <si>
    <t>NIT</t>
  </si>
  <si>
    <t>Digite información únicamente en celdas de color BLANCO</t>
  </si>
  <si>
    <r>
      <rPr>
        <b/>
        <sz val="11"/>
        <color rgb="FFFF0000"/>
        <rFont val="Candara"/>
        <family val="2"/>
      </rPr>
      <t>Nota:</t>
    </r>
    <r>
      <rPr>
        <b/>
        <sz val="11"/>
        <color theme="1"/>
        <rFont val="Candara"/>
        <family val="2"/>
      </rPr>
      <t xml:space="preserve"> DECLARANDO RENTA 210</t>
    </r>
    <r>
      <rPr>
        <sz val="11"/>
        <color theme="1"/>
        <rFont val="Candara"/>
        <family val="2"/>
      </rPr>
      <t xml:space="preserve"> no se hace responsable por posibles errores, interpretaciones, omisiones y desactualizaciones por cambios normativos. Cada usuario es el único responsable de la verificación y utilización de la información ya que este liquidador es de medio y no de resultado.</t>
    </r>
  </si>
  <si>
    <t>LIQUIDADOR - IMPUESTO SOBRE LAS VENTAS IVA</t>
  </si>
  <si>
    <t>NOMBRE O RAZÓN SOCIAL</t>
  </si>
  <si>
    <t>Periodicidad</t>
  </si>
  <si>
    <t>Bimestral</t>
  </si>
  <si>
    <t>Cuatrimestral</t>
  </si>
  <si>
    <t>Anual</t>
  </si>
  <si>
    <t>Periodo</t>
  </si>
  <si>
    <t>Enero - Febrero</t>
  </si>
  <si>
    <t>Marzo - Abril</t>
  </si>
  <si>
    <t>Mayo - Junio</t>
  </si>
  <si>
    <t>Julio - Agosto</t>
  </si>
  <si>
    <t>Septiembre - Octubre</t>
  </si>
  <si>
    <t>Noviembre - Diciembre</t>
  </si>
  <si>
    <t>Último Dígito &gt;&gt;&gt;</t>
  </si>
  <si>
    <t>Fecha vencimiento - Bimestral</t>
  </si>
  <si>
    <t>Fecha vencimiento - Cuatrimestral</t>
  </si>
  <si>
    <t>Enero - Abril</t>
  </si>
  <si>
    <t>Mayo - Agosto</t>
  </si>
  <si>
    <t>Septiembre - Diciembre</t>
  </si>
  <si>
    <t>Fecha vencimiento - Anual</t>
  </si>
  <si>
    <t>Febrero</t>
  </si>
  <si>
    <t>SECCIÓN 1: INGRESOS</t>
  </si>
  <si>
    <t>Privada</t>
  </si>
  <si>
    <t>1.Año</t>
  </si>
  <si>
    <t>3. Periodo</t>
  </si>
  <si>
    <t xml:space="preserve">  4. Número de formulario</t>
  </si>
  <si>
    <t>5. Número de Identificación Tributaria (NIT)</t>
  </si>
  <si>
    <t>6.DV</t>
  </si>
  <si>
    <t>12. Cod. Dirección Seccional</t>
  </si>
  <si>
    <t/>
  </si>
  <si>
    <t>Liquidación privada (continuación)</t>
  </si>
  <si>
    <t>Impuesto generado</t>
  </si>
  <si>
    <t>En venta de cerveza de producción nacional o importada</t>
  </si>
  <si>
    <t>En venta de gaseosas y similares</t>
  </si>
  <si>
    <t>En venta de licores, aperitivos, vinos y similares 5 %</t>
  </si>
  <si>
    <t>Impuesto descontable</t>
  </si>
  <si>
    <t>Por licores, aperitivos, vinos y similares</t>
  </si>
  <si>
    <t>IVA retenido por servicios prestados en Colombia por no domiciliados o no residentes</t>
  </si>
  <si>
    <t>Importaciones</t>
  </si>
  <si>
    <t xml:space="preserve">Ajuste de impuestos descontables (pérdidas, hurto o castigo de inventarios) </t>
  </si>
  <si>
    <t>Saldo a favor del período fiscal anterior</t>
  </si>
  <si>
    <t xml:space="preserve">Nacionales </t>
  </si>
  <si>
    <t>Retenciones por IVA que le practicaron</t>
  </si>
  <si>
    <t>Sanciones</t>
  </si>
  <si>
    <t>Control de saldos</t>
  </si>
  <si>
    <t>Saldo a favor susceptible de devolución y/o compensacion por el presente período</t>
  </si>
  <si>
    <t>Saldo a favor susceptible de ser devuelto y/o compensado a imputar en el período siguiente</t>
  </si>
  <si>
    <t>Saldo a favor sin derecho a devolución y/o compensación susceptible de ser imputado en el siguiente período</t>
  </si>
  <si>
    <t>Liquidación
privada</t>
  </si>
  <si>
    <t>Bimestre</t>
  </si>
  <si>
    <t>101. Nro. de identificación signatario</t>
  </si>
  <si>
    <t>Base</t>
  </si>
  <si>
    <t>%</t>
  </si>
  <si>
    <t>IVA</t>
  </si>
  <si>
    <t>Ingresos - Bienes al 5% (Art 468-1)</t>
  </si>
  <si>
    <t>Café, incluso tostado o descafeinado, cáscara y cascarilla de café, sucedáneos del café que contengan café en cualquier proporción, excepto el de la subpartida 09.01.11</t>
  </si>
  <si>
    <t>09.01</t>
  </si>
  <si>
    <t>Trigo y morcajo (tranquillón), excepto el utilizado para la siembra.</t>
  </si>
  <si>
    <t>10.01</t>
  </si>
  <si>
    <t>Centeno.</t>
  </si>
  <si>
    <t>10.02.90.00.00</t>
  </si>
  <si>
    <t>Avena.</t>
  </si>
  <si>
    <t>10.04.90.00.00</t>
  </si>
  <si>
    <t>Maíz para uso industrial.</t>
  </si>
  <si>
    <t>10.05.90</t>
  </si>
  <si>
    <t>Arroz para uso industrial.</t>
  </si>
  <si>
    <t>10.06</t>
  </si>
  <si>
    <t>Sorgo de grano.</t>
  </si>
  <si>
    <t>10.07.90.00.00</t>
  </si>
  <si>
    <t>Alforfón, mijo y alpiste, los demás cereales.</t>
  </si>
  <si>
    <t>10.08</t>
  </si>
  <si>
    <t>Harina de trigo o de morcajo (tranquillón)</t>
  </si>
  <si>
    <t>11.01.00.00.00</t>
  </si>
  <si>
    <t>Harina de cereales, excepto de trigo o de morcajo (tranquillón)</t>
  </si>
  <si>
    <t>11.02</t>
  </si>
  <si>
    <t>Granos aplastados o en copos de avena</t>
  </si>
  <si>
    <t>11.04.12.00.00</t>
  </si>
  <si>
    <t>Habas de soya.</t>
  </si>
  <si>
    <t>12.01.90.00.00</t>
  </si>
  <si>
    <t>Nuez y almendra de palma.</t>
  </si>
  <si>
    <t>12.07.10.90.00</t>
  </si>
  <si>
    <t>Semillas de algodón.</t>
  </si>
  <si>
    <t>12.07.29.00.00</t>
  </si>
  <si>
    <t>Fruto de palma de aceite</t>
  </si>
  <si>
    <t>12.07.99.99.00</t>
  </si>
  <si>
    <t>Harina de semillas o de frutos oleaginosos, excepto la harina de mostaza.</t>
  </si>
  <si>
    <t>12.08</t>
  </si>
  <si>
    <t>Aceite en bruto de soya</t>
  </si>
  <si>
    <t>15.07.10.00.00</t>
  </si>
  <si>
    <t>Aceite en bruto de palma</t>
  </si>
  <si>
    <t>15.11.10.00.00</t>
  </si>
  <si>
    <t>Aceite en bruto de girasol</t>
  </si>
  <si>
    <t>15.12.11.10.00</t>
  </si>
  <si>
    <t>Aceite en bruto de algodón</t>
  </si>
  <si>
    <t>15.12.21.00.00</t>
  </si>
  <si>
    <t>Aceite en bruto de almendra de palma</t>
  </si>
  <si>
    <t>15.13.21.10.00</t>
  </si>
  <si>
    <t>Aceite en bruto de colza</t>
  </si>
  <si>
    <t>15.14.11.00.00</t>
  </si>
  <si>
    <t>Aceite en bruto de maíz</t>
  </si>
  <si>
    <t>15.15.21.00.00</t>
  </si>
  <si>
    <t>Únicamente el salchichón y la butifarra</t>
  </si>
  <si>
    <t>16.01</t>
  </si>
  <si>
    <t>Únicamente la mortadela</t>
  </si>
  <si>
    <t>16.02</t>
  </si>
  <si>
    <t>Azúcar de caña o de remolacha y sacarosa químicamente pura, en estado sólido, excepto la de la subpartida 17.01.13.00.00</t>
  </si>
  <si>
    <t>17.01</t>
  </si>
  <si>
    <t>Melaza procedente de la extracción o del refinado de la azúcar.</t>
  </si>
  <si>
    <t>17.03</t>
  </si>
  <si>
    <t>Chocolate de mesa.</t>
  </si>
  <si>
    <t>18.06.32.00.90</t>
  </si>
  <si>
    <t>Pastas alimenticias sin cocer, rellenar ni preparar de otra forma que contengan huevo.</t>
  </si>
  <si>
    <t>19.02.11.00.00</t>
  </si>
  <si>
    <t>Las demás pastas alimenticias sin cocer, rellenar, ni preparar de otra forma.</t>
  </si>
  <si>
    <t>19.02.19.00.00</t>
  </si>
  <si>
    <t>Únicamente los productos de panadería a base de sagú, yuca y achira.</t>
  </si>
  <si>
    <t>19.05</t>
  </si>
  <si>
    <t>Extractos, esencias y concentrados de café.</t>
  </si>
  <si>
    <t>21.01.11.00</t>
  </si>
  <si>
    <t>Preparaciones edulcorantes a base de estevia y otros de origen natural.</t>
  </si>
  <si>
    <t>21.06.90.61.00</t>
  </si>
  <si>
    <t>Preparaciones edulcorantes a base de sustancias sintéticas o artificiales.</t>
  </si>
  <si>
    <t>21.06.90.69.00</t>
  </si>
  <si>
    <t>Harina, polvo y pellets, de carne, despojos, pescados o de crustáceos, moluscos o demás invertebrados acuáticos, impropios para la alimentación humana, chicharrones.</t>
  </si>
  <si>
    <t>23.01</t>
  </si>
  <si>
    <t>Salvados, moyuelos y demás residuos del cernido, de la molienda o de otros tratamientos de los cereales o de las leguminosas incluso en pellets.</t>
  </si>
  <si>
    <t>23.02</t>
  </si>
  <si>
    <t>Residuos de la industria del almidón y residuos similares, pulpa de remolacha, bagazo de caña de azúcar y demás desperdicios de la industria azucarera, heces y desperdicios de cervecería o de destilería, incluso en pellets.</t>
  </si>
  <si>
    <t>23.03</t>
  </si>
  <si>
    <t>Tortas y demás residuos sólidos de la extracción del aceite desoja (soya), incluso molidos o en pellets.</t>
  </si>
  <si>
    <t>23.04</t>
  </si>
  <si>
    <t>Tortas y demás residuos sólidos de la extracción del aceite de maní cacahuete, cacahuate), incluso molidos o en pellets.</t>
  </si>
  <si>
    <t>23.05</t>
  </si>
  <si>
    <t>Tortas y demás residuos sólidos de la extracción de grasas o aceites vegetales, incluso molidos o en pellets, excepto los de las partidas 23.04 o 23.05.</t>
  </si>
  <si>
    <t>23.06</t>
  </si>
  <si>
    <t>Materias vegetales y desperdicios vegetales, residuos y subproductos vegetales, incluso en pellets, de los tipos utilizados para la alimentación de los animales, no expresados ni comprendidos en otra parte.</t>
  </si>
  <si>
    <t>23.08</t>
  </si>
  <si>
    <t>Preparaciones de los tipos utilizados para la alimentación de los animales.</t>
  </si>
  <si>
    <t>23.09</t>
  </si>
  <si>
    <t>Madera en bruto, incluso descortezada, desalburada o escuadrada.</t>
  </si>
  <si>
    <t>44.03</t>
  </si>
  <si>
    <t>Algodón sin cardar ni peinar.</t>
  </si>
  <si>
    <t>52.01</t>
  </si>
  <si>
    <t>Recipientes para gas comprimido o licuado, de fundición, hierro o acero, sin soldadura, componentes del plan de gas vehicular.</t>
  </si>
  <si>
    <t>73.11.00.10.00</t>
  </si>
  <si>
    <t>Layas, palas, azadas, picos, binaderas, horcas de labranza, rastrillos y raederas, hachas, hocinos y herramientas similares con filo, tijeras de podar de cualquier tipo, hoces y guadañas, cuchillos para heno o para paja, cizallas para setos, cuñas y demás.</t>
  </si>
  <si>
    <t>82.01</t>
  </si>
  <si>
    <t>Cuchillas y hojas cortantes para máquinas agrícolas, hortícolas o forestales.</t>
  </si>
  <si>
    <t>82.08.40.00.00</t>
  </si>
  <si>
    <t>Carburadores y sus partes (repuestos) componentes del plan de gas vehicular.</t>
  </si>
  <si>
    <t>84.09.91.60.00</t>
  </si>
  <si>
    <t>Equipo para la conversión del sistema de alimentación de combustible para vehículos automóviles a uso dual (gas/gasolina) componentes del plan de gas vehicular.</t>
  </si>
  <si>
    <t>84.09.91.91.00</t>
  </si>
  <si>
    <t>Repuestos para kits del plan de gas vehicular.</t>
  </si>
  <si>
    <t>84.09.91.99.00</t>
  </si>
  <si>
    <t>Compresores componentes del plan de gas vehicular.</t>
  </si>
  <si>
    <t>84.14.80.22.00</t>
  </si>
  <si>
    <t>Partes de compresores (repuestos) componentes del plan de gas vehicular.</t>
  </si>
  <si>
    <t>84.14.90.10.00</t>
  </si>
  <si>
    <t>Secadores para productos agrícolas</t>
  </si>
  <si>
    <t>84.19.31.00.00</t>
  </si>
  <si>
    <t>Intercambiadores de calor; pasterizadores</t>
  </si>
  <si>
    <t>84.19.50.10.00</t>
  </si>
  <si>
    <t>Fumigadoras para uso agrícola</t>
  </si>
  <si>
    <t>84.24.82.90.00</t>
  </si>
  <si>
    <t>Cargador frontal</t>
  </si>
  <si>
    <t>84.29.51.00.00</t>
  </si>
  <si>
    <t>Máquinas, aparatos y artefactos agrícolas, hortícolas o silvícolas, para la preparación o el trabajo del suelo o para el cultivo.</t>
  </si>
  <si>
    <t>84.32</t>
  </si>
  <si>
    <t>Únicamente máquinas de ordeñar y sus partes.</t>
  </si>
  <si>
    <t>84.34</t>
  </si>
  <si>
    <t>Incubadoras y criadoras.</t>
  </si>
  <si>
    <t>84.36.21.00.00</t>
  </si>
  <si>
    <t>Las demás máquinas y aparatos para la avicultura.</t>
  </si>
  <si>
    <t>84.36.29</t>
  </si>
  <si>
    <t>Partes de máquinas o aparatos para la avicultura.</t>
  </si>
  <si>
    <t>84.36.91.00.00</t>
  </si>
  <si>
    <t>Descascarilladoras y despulpadoras de café</t>
  </si>
  <si>
    <t>84.38.80.10.00</t>
  </si>
  <si>
    <t>Motores y generadores eléctricos para uso en vehículos eléctricos, híbridos e híbridos enchufables, motocicletas eléctricas y bicicletas eléctricas.</t>
  </si>
  <si>
    <t>85.01</t>
  </si>
  <si>
    <t>Acumuladores eléctricos, incluidos sus separadores, aunque sean cuadrados o rectangulares para uso en vehículos eléctricos, híbridos e híbridos enchufables, motocicletas eléctricas y bicicletas eléctricas.</t>
  </si>
  <si>
    <t>85.07</t>
  </si>
  <si>
    <t>Cargadores de baterías de vehículos eléctricos, híbridos e híbridos enchufables, motocicletas eléctricas y bicicletas eléctricas incluso aquéllos que vienen incluidos en los vehículos, los de carga rápida (electrolineras) y los de recarga domiciliaria.</t>
  </si>
  <si>
    <t>85.04</t>
  </si>
  <si>
    <t>Inversores de carga eléctrica para uso en vehículos eléctricos, híbridos e híbridos enchufables.</t>
  </si>
  <si>
    <t>Vehículos eléctricos, híbridos e híbridos enchufables para el transporte de 10 o más personas, incluido el conductor.</t>
  </si>
  <si>
    <t>87.02</t>
  </si>
  <si>
    <t>Vehículos eléctricos, híbridos e híbridos enchufables concebidos principalmente para el transporte de personas (excepto la partida 87.02), incluidos los vehículos de tipo familiar ("break" o station wagon) y los de carreras.</t>
  </si>
  <si>
    <t>87.03</t>
  </si>
  <si>
    <t>Vehículos automóviles eléctricos, híbridos e híbridos enchufables para el transporte de mercancías.</t>
  </si>
  <si>
    <t>87.04</t>
  </si>
  <si>
    <t>Vehículos automóviles eléctricos, híbridos e híbridos enchufables para usos especiales excepto los concebidos principalmente para el transporte de personas o mercancías.</t>
  </si>
  <si>
    <t>87.05</t>
  </si>
  <si>
    <t>Chasis de vehículos automotores eléctricos de las partidas 87.02 y 87.03, únicamente para los de transporte público.</t>
  </si>
  <si>
    <t>87.06</t>
  </si>
  <si>
    <t>Carrocerías de vehículos automotores eléctricos de las partidas 87.02 y 87.03, incluidas las cabinas, únicamente para los de transporte público.</t>
  </si>
  <si>
    <t>87.07</t>
  </si>
  <si>
    <t>Modificado. Ley 2010/2019, Art. 9. Motocicletas eléctricas (incluidos los ciclomotores) cuyo valor exceda de 50 UVT*.</t>
  </si>
  <si>
    <t>87.11</t>
  </si>
  <si>
    <t>Modificado. Ley 2010/2019, Art. 9. Bicicletas y Bicicletas eléctricas (incluidos los triciclos de reparto) cuyo valor exceda de 50 UVT*.</t>
  </si>
  <si>
    <t>87.12</t>
  </si>
  <si>
    <t>Transbordadores, cargueros, gabarras (barcazas) y barcos similares para transporte de personas o mercancías.</t>
  </si>
  <si>
    <t>89.01</t>
  </si>
  <si>
    <t>Remolcadores y barcos empujadores.</t>
  </si>
  <si>
    <t>89.04</t>
  </si>
  <si>
    <t>Los demás barcos y barcos de salvamento excepto los de remo y los de guerra.</t>
  </si>
  <si>
    <t>89.06.90</t>
  </si>
  <si>
    <t>Partes y accesorios surtidores (repuestos), componentes del plan de gas vehicular.</t>
  </si>
  <si>
    <t>90.25.90.00.00</t>
  </si>
  <si>
    <t>Unidades de control para motores eléctricos de uso en vehículos eléctricos, híbridos e híbridos enchufables.</t>
  </si>
  <si>
    <t>90.31</t>
  </si>
  <si>
    <t>Unidades de control de las baterías y del sistema de enfriamiento de las baterías para uso en vehículos eléctricos, híbridos e híbridos enchufables.</t>
  </si>
  <si>
    <t>90.32</t>
  </si>
  <si>
    <t>bienes sujetos a participación o impuesto al consumo de licores, vinos, aperitivos y similares (Ley 223/1995, Art. 202)</t>
  </si>
  <si>
    <t>neveras nuevas para sustitución, sujetas al Reglamento Técnico de Etiquetado - RETIQ, clasificadas en los rangos de energía A, B o C. (Resolución 41012/2015 del Ministerio de Minas y Energía)</t>
  </si>
  <si>
    <t>El ingreso al productor en la venta de Gasolina y ACPM. (Ley 1607/2012, Art. 167, par. 1)</t>
  </si>
  <si>
    <t>Partida</t>
  </si>
  <si>
    <t>TOTAL</t>
  </si>
  <si>
    <t>SECCIÓN 1.1: Operaciones gravadas al 5%</t>
  </si>
  <si>
    <t>Fecha de vencimiento</t>
  </si>
  <si>
    <t>Fecha de presentación</t>
  </si>
  <si>
    <t>SECCIÓN 1.2: Operaciones gravadas a la tarifa general 19%</t>
  </si>
  <si>
    <t>C.C/NIT</t>
  </si>
  <si>
    <t>Concepto/Producto</t>
  </si>
  <si>
    <t>Norma y/o
Partida arancelaria</t>
  </si>
  <si>
    <t>Nombre o Razón social</t>
  </si>
  <si>
    <t>SECCIÓN 1.4: Exportación de bienes</t>
  </si>
  <si>
    <t>SECCIÓN 1.3: A.I.U. por operaciones gravadas (base gravable especial)</t>
  </si>
  <si>
    <t>SECCIÓN 1.5: Exportación de servicios</t>
  </si>
  <si>
    <t>SECCIÓN 1.6: Ventas a sociedades de comercialización internacional</t>
  </si>
  <si>
    <t>SECCIÓN 1.7: Ventas a Zonas Francas</t>
  </si>
  <si>
    <t>SECCIÓN 1.8: Juegos de suerte y azar</t>
  </si>
  <si>
    <t>SECCIÓN 1.9: Operaciones exentas</t>
  </si>
  <si>
    <t>SECCIÓN 1.10: Venta de cerveza de producción nacional o importada</t>
  </si>
  <si>
    <t>Ingresos - Operaciones exentas</t>
  </si>
  <si>
    <t>Animales vivos de la especie bovina, excepto los de lidia.</t>
  </si>
  <si>
    <t>01.02</t>
  </si>
  <si>
    <t>Pollitos de un día de nacidos.</t>
  </si>
  <si>
    <t>01.05.11.00.00</t>
  </si>
  <si>
    <t>Carne de animales de la especie bovina, fresca o refrigerada.</t>
  </si>
  <si>
    <t>02.01</t>
  </si>
  <si>
    <t>Carne de animales de la especie bovina, congelada.</t>
  </si>
  <si>
    <t>02.02</t>
  </si>
  <si>
    <t>Carne de animales de la especie porcina, fresca, refrigerada o congelada.</t>
  </si>
  <si>
    <t>02.03</t>
  </si>
  <si>
    <t>Carne de animales de las especies ovina o caprina, fresca, refrigerada o congelada.</t>
  </si>
  <si>
    <t>02.04</t>
  </si>
  <si>
    <t>Despojos comestibles de animales de las especies bovina, porcina, ovina, caprina, caballar, asnal o mular, frescos, refrigerados o congelados.</t>
  </si>
  <si>
    <t>02.06</t>
  </si>
  <si>
    <t>Carne y despojos comestibles, de aves de la partida 01.05, frescos, refrigerados o congelados.</t>
  </si>
  <si>
    <t>02.07</t>
  </si>
  <si>
    <t>Carnes y despojos comestibles de conejo o liebre, frescos, refrigerados o congelados.</t>
  </si>
  <si>
    <t>02.08.10.00.00</t>
  </si>
  <si>
    <t>Únicamente carnes y despojos comestibles frescos, refrigerados o congelados de cuyes.</t>
  </si>
  <si>
    <t>02.08.90.00.00</t>
  </si>
  <si>
    <t>Pescado fresco o refrigerado, excepto los filetes y demás carne de pescado de la partida 03.04.</t>
  </si>
  <si>
    <t>03.02</t>
  </si>
  <si>
    <t>Pescado congelado, excepto los filetes y demás carne de pescado de la partida 03.04. Excepto los atunes de las partidas 03.03.41.00.00, 03.03.42.00.00 y 03.03.45.00.00.</t>
  </si>
  <si>
    <t>03.03</t>
  </si>
  <si>
    <t>Filetes y demás carne de pescado (incluso picada), frescos, refrigerados o congelados.</t>
  </si>
  <si>
    <t>03.04</t>
  </si>
  <si>
    <t>Únicamente camarones de cultivo.</t>
  </si>
  <si>
    <t>03.06</t>
  </si>
  <si>
    <t>Leche y nata (crema), sin concentrar, sin adición de azúcar ni otro edulcorante.</t>
  </si>
  <si>
    <t>04.01</t>
  </si>
  <si>
    <t>Leche y nata (crema), concentradas o con adición de azúcar u otro edulcorante.</t>
  </si>
  <si>
    <t>04.02</t>
  </si>
  <si>
    <t>Queso fresco (sin madurar), incluido el lactosuero, y requesón</t>
  </si>
  <si>
    <t>04.06.10.00.00</t>
  </si>
  <si>
    <t>Huevos de gallina de la especie Gallus domesticus, fecundados para incubación.</t>
  </si>
  <si>
    <t>04.07.11.00.00</t>
  </si>
  <si>
    <t>Huevos fecundados para incubación de las demás aves</t>
  </si>
  <si>
    <t>04.07.19.00.00</t>
  </si>
  <si>
    <t>Huevos frescos de gallina</t>
  </si>
  <si>
    <t>04.07.21.90.00</t>
  </si>
  <si>
    <t>Huevos frescos de las demás aves</t>
  </si>
  <si>
    <t>04.07.29.90.00</t>
  </si>
  <si>
    <t>Adicionado. Ley 1955/2019, Art. 230. Arroz para consumo humano (excepto el arroz con cáscara o "Arroz Paddy" de la partida 10.06.10.90.00 y el arroz para la siembra de la partida 10.06.10.10.00, los cuales conservan la calidad de bienes excluidos del IVA).</t>
  </si>
  <si>
    <t>Fórmulas lácteas para niños de hasta 12 meses de edad, únicamente la leche maternizada o humanizada.</t>
  </si>
  <si>
    <t>19.01.10.10.00</t>
  </si>
  <si>
    <t>Únicamente preparaciones infantiles a base de leche.</t>
  </si>
  <si>
    <t>19.01.10.99.00</t>
  </si>
  <si>
    <t>Provitaminas y vitaminas, naturales o reproducidas por síntesis (incluidos los concentrados naturales) y sus derivados utilizados principalmente como vitaminas, mezclados o no entre sí o en disoluciones de cualquier clase.</t>
  </si>
  <si>
    <t>29.36</t>
  </si>
  <si>
    <t>Antibióticos.</t>
  </si>
  <si>
    <t>29.41</t>
  </si>
  <si>
    <t>Glándulas y demás órganos para usos opoterápicos, desecados, incluso pulverizados, extracto de glándulas o de otros órganos o de sus secreciones, para usos opoterápicos, heparina y sus sales, las demás sustancias humanas o animales preparadas para usos terapéuticos o profilácticos, no expresadas ni comprendidas en otra parte.</t>
  </si>
  <si>
    <t>30.01</t>
  </si>
  <si>
    <t>Sangre humana, sangre animal preparada para usos terapéuticos, profilácticos o de diagnóstico, antisueros (sueros con anticuerpos), demás fracciones de la sangre y productos inmunológicos modificados, incluso obtenidos por proceso biotecnológico, vacunas, toxinas, cultivos de microrganismos (excepto las levaduras) y productos similares.</t>
  </si>
  <si>
    <t>30.02</t>
  </si>
  <si>
    <t>Medicamentos (excepto los productos de las partidas 30.02, 30.05 o 30.06) constituidos por productos mezclados entre sí, preparados para usos terapéuticos o profilácticos, sin dosificar ni acondicionar para la venta al por menor.</t>
  </si>
  <si>
    <t>30.03</t>
  </si>
  <si>
    <t xml:space="preserve"> Medicamentos (excepto los productos de las partidas 30.02, 30.05 o 30.06) constituidos por productos mezclados o sin mezclar preparados para usos terapéuticos o profilácticos, dosificados o acondicionados para la venta al por menor.</t>
  </si>
  <si>
    <t>30.04</t>
  </si>
  <si>
    <t>Preparaciones y artículos farmacéuticos a que se refiere la nota 4 de este capítulo.</t>
  </si>
  <si>
    <t>30.06</t>
  </si>
  <si>
    <t>Inversor de energía para sistema de energía solar con paneles.</t>
  </si>
  <si>
    <t>85.04.40.90.90</t>
  </si>
  <si>
    <t>Paneles solares.</t>
  </si>
  <si>
    <t>85.41.40.10.00</t>
  </si>
  <si>
    <t>Controlador de carga para sistema de energía solar con paneles.</t>
  </si>
  <si>
    <t>90.32.89.90.00</t>
  </si>
  <si>
    <t>Armas de guerra, excepto los revólveres, pistolas y armas blancas, de uso privativo de las fuerzas Militares y la Policía Nacional</t>
  </si>
  <si>
    <t>93.01</t>
  </si>
  <si>
    <t>Compresas y tampones higiénicos (Incluidos mediante Sentencia C-117/2018. Corte Constitucional).</t>
  </si>
  <si>
    <t>96.19</t>
  </si>
  <si>
    <t>Copas menstruales y productos similares (Incluidos mediante Sentencia C-102/2021. Corte Constitucional).</t>
  </si>
  <si>
    <t>Alcohol carburante con destino a la mezcla con gasolina para los vehículos automotores; y el biocombustible de origen vegetal o animal para uso en motores diésel de producción nacional con destino a la mezcla con ACPM.</t>
  </si>
  <si>
    <t>Art. 477 Num. 1</t>
  </si>
  <si>
    <t>Las municiones y material de guerra o reservado y por consiguiente de uso privativo</t>
  </si>
  <si>
    <t>Art. 477 Num. 3</t>
  </si>
  <si>
    <t>Sistemas de armas y armamento mayor y menor de todos los tipos, modelos y calibres con sus accesorios repuestos y los elementos necesarios para la instrucción de tiro, operación, manejo y mantenimiento de los mismos;</t>
  </si>
  <si>
    <t>Art. 477 Num. 3, a)</t>
  </si>
  <si>
    <t>Todo tipo de naves, artefactos navales y aeronaves destinadas al servicio del Ramo de Defensa Nacional, con sus accesorios, repuestos y demás elementos necesarios para su operabilidad y funcionamiento;</t>
  </si>
  <si>
    <t>Art. 477 Num. 3, b)</t>
  </si>
  <si>
    <t>Municiones, torpedos y minas de todos los tipos, clases y calibres para los sistemas de armas y el armamento mayor y menor que usan las Fuerzas Militares y la Policía Nacional;</t>
  </si>
  <si>
    <t>Art. 477 Num. 3, c)</t>
  </si>
  <si>
    <t>Material blindado;</t>
  </si>
  <si>
    <t>Art. 477 Num. 3, d)</t>
  </si>
  <si>
    <t>Semovientes de todas las clases y razas destinadas al mantenimiento del orden público, interno o externo;</t>
  </si>
  <si>
    <t>Art. 477 Num. 3, e)</t>
  </si>
  <si>
    <t>Materiales explosivos y pirotécnicos, materias primas para su fabricación y accesorios para su empleo;</t>
  </si>
  <si>
    <t>Art. 477 Num. 3, f)</t>
  </si>
  <si>
    <t>Paracaídas y equipos de salto para Unidades Aerotransportadas, incluidos los necesarios para su mantenimiento;</t>
  </si>
  <si>
    <t>Art. 477 Num. 3, g)</t>
  </si>
  <si>
    <t>Elementos, equipos y accesorios contra motines;</t>
  </si>
  <si>
    <t>Art. 477 Num. 3, h)</t>
  </si>
  <si>
    <t>Los equipos de ingenieros de combate con sus accesorios y repuestos;</t>
  </si>
  <si>
    <t>Art. 477 Num. 3, i)</t>
  </si>
  <si>
    <t>Equipos de buceo y de voladuras submarinas, sus repuestos y accesorios;</t>
  </si>
  <si>
    <t>Art. 477 Num. 3, j)</t>
  </si>
  <si>
    <t>Equipos de detección aérea, de superficie y submarina sus accesorios, repuestos, equipos de sintonía y calibración;</t>
  </si>
  <si>
    <t>Art. 477 Num. 3, k)</t>
  </si>
  <si>
    <t>Elementos para control de incendios y de averías, sus accesorios y repuestos;</t>
  </si>
  <si>
    <t>Art. 477 Num. 3, l)</t>
  </si>
  <si>
    <t>Herramientas y equipos para pruebas y mantenimiento del material de guerra o reservado;</t>
  </si>
  <si>
    <t>Art. 477 Num. 3, m)</t>
  </si>
  <si>
    <t>Equipos, software y demás implementos de sistemas y comunicaciones para uso de las Fuerzas Militares y la Policía Nacional;</t>
  </si>
  <si>
    <t>Art. 477 Num. 3, n)</t>
  </si>
  <si>
    <t>Otros elementos aplicables al servicio y fabricación del material de guerra o reservado;</t>
  </si>
  <si>
    <t>Art. 477 Num. 3, o)</t>
  </si>
  <si>
    <t>Los servicios de diseño, construcción y mantenimiento de armas, municiones y material de guerra, con destino a la fuerza pública, así como la capacitación de tripulaciones de las Fuerza Pública, prestados por las entidades descentralizadas del orden nacional de sector defensa.</t>
  </si>
  <si>
    <t>Art. 477 Num. 3, p)</t>
  </si>
  <si>
    <t>Los vehículos automotores de transporte público de pasajeros completos y el chasis con motor y la carrocería adquiridos individualmente para conformar un vehículo automotor completo nuevo, de transporte público de pasajeros (Con limitación)</t>
  </si>
  <si>
    <t>Art. 477 Num. 4</t>
  </si>
  <si>
    <t>Los vehículos automotores de servicio público o particular, de transporte de carga completos y el chasis con motor y la carrocería adquiridos individualmente para conformar un vehículo automotor completo nuevo de transporte de carga de más de 10.5 toneladas de peso bruto vehicular. (Con limitación)</t>
  </si>
  <si>
    <t>Art. 477 Num. 5</t>
  </si>
  <si>
    <t>Las bicicletas y sus partes; motocicletas y sus partes y motocarros y sus partes, que se introduzcan y comercialicen en los departamentos de Amazonas, Guainía, Guaviare, Vaupés y Vichada, siempre y cuando se destinen exclusivamente al consumo dentro del mismo departamento y las motocicletas y motocarros sean registrados en el departamento</t>
  </si>
  <si>
    <t>Art. 477 Num. 6</t>
  </si>
  <si>
    <t>El consumo humano y animal, vestuario, elementos de aseo y medicamentos para uso humano o veterinario, materiales de construcción que se introduzcan y comercialicen al departamento de Amazonas, siempre y cuando se destinen exclusivamente al consumo dentro del mismo departamento. (Con requisitos)</t>
  </si>
  <si>
    <t>Art. 477 Num. 7</t>
  </si>
  <si>
    <t>SECCIÓN 1.11: Venta de gaseosas y similares</t>
  </si>
  <si>
    <t>SECCIÓN 1.12: Venta de licores, aperitivos, vinos y similares</t>
  </si>
  <si>
    <t>SECCIÓN 1.13: Operaciones excluidas</t>
  </si>
  <si>
    <t>Ingresos - Operaciones excluidas</t>
  </si>
  <si>
    <t>1. Los servicios médicos, odontológicos, hospitalarios, clínicos y de laboratorio, para la salud humana.</t>
  </si>
  <si>
    <t>2. Los servicios de administración de fondos del Estado y los servicios vinculados con la seguridad social de acuerdo con lo previsto en la Ley 100/1993.</t>
  </si>
  <si>
    <t>3. Los planes obligatorios de salud del sistema de seguridad social en salud expedidos por entidades autorizadas por la Superintendencia Nacional de Salud, los servicios prestados por las administradoras dentro del régimen de ahorro individual con solidaridad y de prima media con prestación definida, los servicios prestados por administradoras de riesgos laborales y los servicios de seguros y reaseguros para invalidez y sobrevivientes, contemplados dentro del régimen de ahorro individual con solidaridad (Art. 135 Ley 100/1993)</t>
  </si>
  <si>
    <t>4. Las comisiones por intermediación por la colocación de los planes de salud del sistema general de seguridad social en salud expedidos por las entidades autorizadas legalmente por la Superintendencia Nacional de Salud, que no estén sometidos al impuesto sobre las ventas - IVA.</t>
  </si>
  <si>
    <t>5. Los servicios de educación prestados por establecimientos de educación preescolar, primaria, media e intermedia, superior y especial o no formal, reconocidos como tales por el Gobierno nacional, y los servicios de educación prestados por personas naturales a dichos establecimientos. Están excluidos igualmente los servicios prestados por los establecimientos de educación relativos a restaurantes, cafeterías y transporte, así como los que se presten en desarrollo de las Leyes 30/1992 y 115/1994, o las disposiciones que las modifiquen o sustituyan. Igualmente están excluidos los servicios de evaluación de la educación y de elaboración y aplicación de exámenes para la selección y promoción de personal, prestados por organismos o entidades de la administración pública.</t>
  </si>
  <si>
    <t>6. Los servicios de educación virtual para el desarrollo de contenidos digitales, de acuerdo con la reglamentación expedida por el Ministerio de Tecnologías de la Información y las Comunicaciones, prestados en Colombia o en el exterior.</t>
  </si>
  <si>
    <t>7. Los servicios de conexión y acceso a internet de los usuarios residenciales del estrato 3.</t>
  </si>
  <si>
    <t>8. En el caso del servicio telefónico local, se excluyen del impuesto los primeros 325 minutos mensuales del servicio telefónico local facturado a los usuarios de los estratos 1, 2 y 3 y el servicio telefónico prestado desde teléfonos públicos.</t>
  </si>
  <si>
    <t>9. El servicio de transporte público, terrestre, fluvial y marítimo de personas en el territorio nacional, y el de transporte público o privado nacional e internacional de carga marítimo, fluvial, terrestre y aéreo. Igualmente, se excluye el transporte de gas e hidrocarburos.</t>
  </si>
  <si>
    <t>10. El transporte aéreo nacional de pasajeros con destino o procedencia de rutas nacionales donde no exista transporte terrestre organizado. Esta exclusión también aplica para el transporte aéreo turístico con destino o procedencia al departamento de La Guajira y los municipios de Nuquí, en el departamento de Chocó, Mompox en el departamento de Bolívar, Tolú, en el departamento de Sucre, Miraflores en el departamento del Guaviare y Puerto Carreño en el departamento del Vichada.</t>
  </si>
  <si>
    <t>11. Los servicios públicos de energía. La energía y los servicios públicos de energía a base de gas u otros insumos.</t>
  </si>
  <si>
    <t>12. El agua para la prestación del servicio público de acueducto y alcantarillado, los servicios públicos de acueducto y alcantarillado, los servicios de aseo público y los servicios públicos de recolección de basuras.</t>
  </si>
  <si>
    <t>13. El gas para la prestación del servicio público de gas domiciliario y el servicio de gas domiciliario, ya sea conducido por tubería o distribuido en cilindros.</t>
  </si>
  <si>
    <t>14. Los servicios de alimentación, contratados con recursos públicos, destinados al sistema penitenciario, de asistencia social, de escuelas de educación pública, a las Fuerzas Militares, Policía Nacional, Centro de Desarrollo Infantil, centros geriátricos públicos, hospitales públicos, comedores comunitarios.</t>
  </si>
  <si>
    <t>15. El servicio de arrendamiento de inmuebles para vivienda y el arrendamiento de espacios para exposiciones y muestras artesanales nacionales, incluidos los eventos artísticos y culturales.</t>
  </si>
  <si>
    <t>16. Los intereses y rendimientos financieros por operaciones de crédito, siempre que no formen parte de la base gravable señalada en el artículo 447, y el arrendamiento financiero (leasing).</t>
  </si>
  <si>
    <t>17. Los servicios de intermediación para el pago de incentivos o transferencias monetarias condicionadas en el marco de los programas sociales del Gobierno nacional.</t>
  </si>
  <si>
    <t>18. Las boletas de entrada a cine, a los eventos deportivos, culturales, incluidos los musicales y de recreación familiar. También se encuentran excluidos los servicios de que trata el artículo 6 de la Ley 1493/2011.</t>
  </si>
  <si>
    <t>19. Los servicios funerarios, los de cremación, inhumación y exhumación de cadáveres, alquiler y mantenimiento de tumbas y mausoleos.</t>
  </si>
  <si>
    <t>20. Adquisición de licencias de software para el desarrollo comercial de contenidos digitales, de acuerdo con la reglamentación expedida por el Ministerio de Tecnologías de la Información y Comunicaciones.</t>
  </si>
  <si>
    <t>21. Suministro de páginas web, servidores (hosting), computación en la nube (cloud computing).</t>
  </si>
  <si>
    <t>22. Las comisiones pagadas por los servicios que se presten para el desarrollo de procesos de titularización de activos a través de universalidades y patrimonios autónomos cuyo pago se realice exclusivamente con cargo a los recursos de tales universalidades o patrimonios autónomos.</t>
  </si>
  <si>
    <t>23. Las comisiones percibidas por las sociedades fiduciarias, sociedades administradoras de inversión y comisionistas de bolsa por la administración de fondos de inversión colectiva.</t>
  </si>
  <si>
    <t>24. Los siguientes servicios, siempre que se destinen a la adecuación de tierras, a la producción agropecuaria y pesquera y a la comercialización de los respectivos productos: (Con requisitos)</t>
  </si>
  <si>
    <t>a) El riego de terrenos dedicados a la explotación agropecuaria;</t>
  </si>
  <si>
    <t>b) El diseño de sistemas de riego, su instalación, construcción, operación, administración y conservación;</t>
  </si>
  <si>
    <t>c) La construcción de reservorios para la actividad agropecuaria;</t>
  </si>
  <si>
    <t>d) La preparación y limpieza de terrenos de siembra;</t>
  </si>
  <si>
    <t>e) El control de plagas, enfermedades y malezas, incluida la fumigación aérea y terrestre de sembradíos;</t>
  </si>
  <si>
    <t>f) El corte y recolección manual y mecanizada de productos agropecuarios;</t>
  </si>
  <si>
    <t>g) Aplicación de fertilizantes y elementos de nutrición edáfica y foliar de los cultivos;</t>
  </si>
  <si>
    <t>h) Aplicación de sales mineralizadas;</t>
  </si>
  <si>
    <t>i) Aplicación de enmiendas agrícolas;</t>
  </si>
  <si>
    <t>j) Aplicación de insumos como vacunas y productos veterinarios;</t>
  </si>
  <si>
    <t>k) El pesaje y el alquiler de corrales en ferias de ganado mayor y menor;</t>
  </si>
  <si>
    <t>l) La siembra;</t>
  </si>
  <si>
    <t>m) La construcción de drenajes para la agricultura;</t>
  </si>
  <si>
    <t>n) La construcción de estanques para la piscicultura;</t>
  </si>
  <si>
    <t>o) Los programas de sanidad animal;</t>
  </si>
  <si>
    <t>p) La perforación de pozos profundos para la extracción de agua;</t>
  </si>
  <si>
    <t>q) El desmonte de algodón, la trilla y el secamiento de productos agrícolas;</t>
  </si>
  <si>
    <t>r) La selección, clasificación y el empaque de productos agropecuarios sin procesamiento industrial;</t>
  </si>
  <si>
    <t>s) La asistencia técnica en el sector agropecuario;</t>
  </si>
  <si>
    <t>t) La captura, procesamiento y comercialización de productos pesqueros;</t>
  </si>
  <si>
    <t>u) Adicionado. Ley 2277/2022, Art. 76. El servicio de recaudo de derechos de acceso vehicular a las centrales mayoristas de abasto.</t>
  </si>
  <si>
    <t>25. La comercialización de animales vivos, excepto los animales domésticos de compañía.</t>
  </si>
  <si>
    <t>25A. El servicio de faenamiento.</t>
  </si>
  <si>
    <t>26. Están excluidos de IVA los servicios de hotelería y turismo que sean prestados en los municipios y zonas de régimen aduanero especial (Con limitación):</t>
  </si>
  <si>
    <t>27. Las operaciones cambiarias de compra y venta de divisas, así como las operaciones cambiarias sobre instrumentos derivados financieros.</t>
  </si>
  <si>
    <t>28. Las comisiones percibidas por la utilización de tarjetas crédito y débito.</t>
  </si>
  <si>
    <t>29. Los servicios de promoción y fomento deportivo prestados por los clubes deportivos definidos en el artículo 2 del Decreto Ley 1228/1995.</t>
  </si>
  <si>
    <t>30. Los servicios de reparación y mantenimiento de naves y artefactos navales tanto marítimos como fluviales de bandera colombiana, excepto los servicios que se encuentran en el literal P) del numeral 3 del artículo 477.</t>
  </si>
  <si>
    <t>31. Los servicios de publicidad en periódicos que registren ventas en publicidad a 31 de diciembre del año inmediatamente anterior inferiores a 180.000 UVT.</t>
  </si>
  <si>
    <t xml:space="preserve">La publicidad en las emisoras de radio cuyas ventas sean inferiores a 30.000 UVT al 31 de diciembre del año inmediatamente anterior y programadoras de canales regionales de televisión cuyas ventas sean inferiores a 60.000 UVT al 31 de diciembre del año inmediatamente anterior. </t>
  </si>
  <si>
    <t>32. Los servicios de corretaje de contratos de reaseguros.</t>
  </si>
  <si>
    <t>SECCIÓN 1.14: Operaciones no gravadas</t>
  </si>
  <si>
    <t>Animales vivos de la especie porcina.</t>
  </si>
  <si>
    <t>01.03</t>
  </si>
  <si>
    <t>Animales vivos de las especies ovina o caprina.</t>
  </si>
  <si>
    <t>01.04</t>
  </si>
  <si>
    <t>Gallos, gallinas, patos, gansos, pavos (gallipavos) y pintadas, de las especies domésticas, vivos.</t>
  </si>
  <si>
    <t>01.05</t>
  </si>
  <si>
    <t>Modificado. Ley 2277/2022, Art. 72. Los demás animales vivos, excepto los animales domésticos de compañía.</t>
  </si>
  <si>
    <t>01.06</t>
  </si>
  <si>
    <t>Peces vivos, excepto los peces ornamentales de las posiciones 03.01.11.00.00 y 03.01.19.00.00</t>
  </si>
  <si>
    <t>03.01</t>
  </si>
  <si>
    <t>Albacoras o atunes blancos</t>
  </si>
  <si>
    <t>03.03.41.00.00</t>
  </si>
  <si>
    <t>Atunes de aleta amarilla (rabiles)</t>
  </si>
  <si>
    <t>03.03.42.00.00</t>
  </si>
  <si>
    <t>Atunes comunes o de aleta azul, del Atlántico y del Pacífico</t>
  </si>
  <si>
    <t>03.03.45.00.00</t>
  </si>
  <si>
    <t>Pescado seco, salado o en salmuera, pescado ahumado, incluso cocido antes o durante el ahumado, harina, polvo y "pellets" de pescado, aptos para la alimentación humana.</t>
  </si>
  <si>
    <t>03.05</t>
  </si>
  <si>
    <t>Productos constituidos por los componentes naturales de la leche</t>
  </si>
  <si>
    <t>04.04.90.00.00</t>
  </si>
  <si>
    <t>Miel natural</t>
  </si>
  <si>
    <t>04.09</t>
  </si>
  <si>
    <t>Semen de Bovino</t>
  </si>
  <si>
    <t>05.11.10.00.00</t>
  </si>
  <si>
    <t>Bulbos, cebollas, tubérculos, raíces y bulbos tuberosos, turiones y rizomas, en reposo vegetativo, en vegetación o en flor, plantas y raíces de achicoria, excepto las raíces de la partida 12.12.</t>
  </si>
  <si>
    <t>06.01</t>
  </si>
  <si>
    <t>Las demás plantas vivas (incluidas sus raíces), esquejes e injertos; micelios.</t>
  </si>
  <si>
    <t>06.02.90.90.00</t>
  </si>
  <si>
    <t>Plántulas para la siembra, incluso de especies forestales maderables.</t>
  </si>
  <si>
    <t>06.02.20.00.00</t>
  </si>
  <si>
    <t>Papas (patatas) frescas o refrigeradas.</t>
  </si>
  <si>
    <t>07.01</t>
  </si>
  <si>
    <t>Tomates frescos o refrigerados.</t>
  </si>
  <si>
    <t>07.02</t>
  </si>
  <si>
    <t>Cebollas, chalotes, ajos, puerros y demás hortalizas aliáceas, frescos o refrigerados.</t>
  </si>
  <si>
    <t>07.03</t>
  </si>
  <si>
    <t>Coles, incluidos los repollos, coliflores, coles rizadas, colinabos y productos comestibles similares del género Brassica, frescos o refrigerados.</t>
  </si>
  <si>
    <t>07.04</t>
  </si>
  <si>
    <t>Lechugas (Lactuca sativa) y achicorias, comprendidas la escarola y la endibia (Cichoriumspp.), frescas o refrigeradas.</t>
  </si>
  <si>
    <t>07.05</t>
  </si>
  <si>
    <t>Zanahorias, nabos, remolachas para ensalada, salsifíes, apionabos, rábanos y raíces comestibles similares, frescos o refrigerados.</t>
  </si>
  <si>
    <t>07.06</t>
  </si>
  <si>
    <t>Pepinos y pepinillos, frescos o refrigerados.</t>
  </si>
  <si>
    <t>07.07</t>
  </si>
  <si>
    <t>Hortalizas de vaina, aunque estén desvainadas, frescas o refrigeradas.</t>
  </si>
  <si>
    <t>07.08</t>
  </si>
  <si>
    <t>Las demás hortalizas, frescas o refrigeradas.</t>
  </si>
  <si>
    <t>07.09</t>
  </si>
  <si>
    <t>Hortalizas secas, incluidas las cortadas en trozos o en rodajas o las trituradas o pulverizadas, pero sin otra preparación.</t>
  </si>
  <si>
    <t>07.12</t>
  </si>
  <si>
    <t>Hortalizas de vaina secas desvainadas, aunque estén mondadas o partidas.</t>
  </si>
  <si>
    <t>07.13</t>
  </si>
  <si>
    <t>Raíces de yuca (mandioca), arrurruz o salep, aguaturmas (patacas), camotes (batatas, boniatos) y raíces y tubérculos similares ricos en fécula o inulina, frescos, refrigerados, congelados o secos, incluso troceados o en "pellets", médula de sagú.</t>
  </si>
  <si>
    <t>07.14</t>
  </si>
  <si>
    <t>Cocos con la cáscara interna (endocarpio)</t>
  </si>
  <si>
    <t>08.01.12.00.00</t>
  </si>
  <si>
    <t>Los demás cocos frescos</t>
  </si>
  <si>
    <t>08.01.19.00.00</t>
  </si>
  <si>
    <t>Bananas, incluidos los plátanos "plantains", frescos o secos.</t>
  </si>
  <si>
    <t>08.03</t>
  </si>
  <si>
    <t>Dátiles, higos, piñas (ananás), aguacates (paltas), guayabas, mangos y mangostanes, frescos o secos.</t>
  </si>
  <si>
    <t>08.04</t>
  </si>
  <si>
    <t>Agrios (cítricos) frescos o secos.</t>
  </si>
  <si>
    <t>08.05</t>
  </si>
  <si>
    <t>Uvas, frescas o secas, incluidas las pasas.</t>
  </si>
  <si>
    <t>08.06</t>
  </si>
  <si>
    <t>Melones, sandías y papayas, frescos.</t>
  </si>
  <si>
    <t>08.07</t>
  </si>
  <si>
    <t>Manzanas, peras y membrillos, frescos.</t>
  </si>
  <si>
    <t>08.08</t>
  </si>
  <si>
    <t>Damascos (albaricoques, chabacanos), cerezas, duraznos (melocotones) (incluidos los griñones nectarines), ciruelas y endrinas, frescos.</t>
  </si>
  <si>
    <t>08.09</t>
  </si>
  <si>
    <t>Las demás frutas u otros frutos, frescos.</t>
  </si>
  <si>
    <t>08.10</t>
  </si>
  <si>
    <t>Café en grano sin tostar, cáscara y cascarilla de café.</t>
  </si>
  <si>
    <t>09.01.11</t>
  </si>
  <si>
    <t>Semillas de cilantro para la siembra.</t>
  </si>
  <si>
    <t>09.09.21.10.00</t>
  </si>
  <si>
    <t>Trigo duro para la siembra.</t>
  </si>
  <si>
    <t>10.01.11.00.00</t>
  </si>
  <si>
    <t>Las demás semillas de trigo para la siembra.</t>
  </si>
  <si>
    <t>10.01.91.00.00</t>
  </si>
  <si>
    <t>Centeno para la siembra.</t>
  </si>
  <si>
    <t>10.02.10.00.00</t>
  </si>
  <si>
    <t>Cebada.</t>
  </si>
  <si>
    <t>10.03</t>
  </si>
  <si>
    <t>Avena para la siembra.</t>
  </si>
  <si>
    <t>10.04.10.00.00</t>
  </si>
  <si>
    <t>Maíz para la siembra.</t>
  </si>
  <si>
    <t>10.05.10.00.00</t>
  </si>
  <si>
    <t>Maíz para consumo humano.</t>
  </si>
  <si>
    <t>Arroz para consumo humano. ***</t>
  </si>
  <si>
    <t>Arroz para la siembra.</t>
  </si>
  <si>
    <t>10.06.10.10.00</t>
  </si>
  <si>
    <t>Arroz con cáscara (Arroz Paddy).</t>
  </si>
  <si>
    <t>10.06.10.90.00</t>
  </si>
  <si>
    <t>Sorgo de grano para la siembra.</t>
  </si>
  <si>
    <t>10.07.10.00.00</t>
  </si>
  <si>
    <t>Maíz trillado para consumo humano.</t>
  </si>
  <si>
    <t>11.04.23.00.00</t>
  </si>
  <si>
    <t>Habas de soya para la siembra.</t>
  </si>
  <si>
    <t>12.01.10.00.00</t>
  </si>
  <si>
    <t>Maníes (cacahuetes, cacahuates) para la siembra.</t>
  </si>
  <si>
    <t>12.02.30.00.00</t>
  </si>
  <si>
    <t>Copra para la siembra.</t>
  </si>
  <si>
    <t>12.03</t>
  </si>
  <si>
    <t>Semillas de lino para la siembra.</t>
  </si>
  <si>
    <t>12.04.00.10.00</t>
  </si>
  <si>
    <t>Semillas de nabo (nabina) o de colza para siembra.</t>
  </si>
  <si>
    <t>12.05</t>
  </si>
  <si>
    <t>Semillas de girasol para la siembra.</t>
  </si>
  <si>
    <t>12.06.00.10.00</t>
  </si>
  <si>
    <t>Semillas de nueces y almendras de palma para la siembra.</t>
  </si>
  <si>
    <t>12.07.10.10.00</t>
  </si>
  <si>
    <t>Semillas de algodón para la siembra.</t>
  </si>
  <si>
    <t>12.07.21.00.00</t>
  </si>
  <si>
    <t>Semillas de ricino para la siembra.</t>
  </si>
  <si>
    <t>12.07.30.10.00</t>
  </si>
  <si>
    <t>Semillas de sésamo (ajonjolí) para la siembra.</t>
  </si>
  <si>
    <t>12.07.40.10.00</t>
  </si>
  <si>
    <t>Semillas de mostaza para la siembra.</t>
  </si>
  <si>
    <t>12.07.50.10.00</t>
  </si>
  <si>
    <t>Semillas de cártamo para la siembra.</t>
  </si>
  <si>
    <t>12.07.60.10.00</t>
  </si>
  <si>
    <t>Semillas de melón para la siembra.</t>
  </si>
  <si>
    <t>12.07.70.10.00</t>
  </si>
  <si>
    <t>Las demás semillas y frutos oleaginosos para la siembra.</t>
  </si>
  <si>
    <t>12.07.99.10.00</t>
  </si>
  <si>
    <t>Semillas, frutos y esporas, para siembra.</t>
  </si>
  <si>
    <t>12.09</t>
  </si>
  <si>
    <t>Caña de azúcar.</t>
  </si>
  <si>
    <t>12.12.93.00.00</t>
  </si>
  <si>
    <t>Chancaca (panela, raspadura) Obtenida de la extracción y evaporación en forma artesanal de los jugos de caña de azúcar en trapiches paneleros.</t>
  </si>
  <si>
    <t>17.01.13.00.00</t>
  </si>
  <si>
    <t>Cacao en grano para la siembra.</t>
  </si>
  <si>
    <t>18.01.00.11.00</t>
  </si>
  <si>
    <t>Cacao en grano crudo.</t>
  </si>
  <si>
    <t>18.01.00.19.00</t>
  </si>
  <si>
    <t>Únicamente la Bienestarina.</t>
  </si>
  <si>
    <t>19.01.10.91.00</t>
  </si>
  <si>
    <t>Productos alimenticios elaborados de manera artesanal a base de leche.</t>
  </si>
  <si>
    <t>19.01.90.20.00</t>
  </si>
  <si>
    <t>Pan horneado o cocido y producido a base principalmente de harinas de cereales, con o sin levadura, sal o dulce, sea integral o no, sin que para el efecto importe la forma dada al pan, ni la proporción de las harinas de cereales utilizadas en su preparación, ni el grado de cocción, incluida la arepa de maíz.</t>
  </si>
  <si>
    <t>Productos alimenticios elaborados de manera artesanal a base de guayaba.</t>
  </si>
  <si>
    <t>20.07</t>
  </si>
  <si>
    <t>Agua, incluidas el agua mineral natural o artificial y la gaseada, sin adición de azúcar u otro edulcorante ni aromatizada, hielo y nieve.</t>
  </si>
  <si>
    <t>22.01</t>
  </si>
  <si>
    <t>Sal (incluidas la de mesa y la desnaturalizada) y cloruro de sodio puro, incluso en disolución acuosa o con adición de antiaglomerantes o de agentes que garanticen una buena fluidez, agua de mar.</t>
  </si>
  <si>
    <t>25.01</t>
  </si>
  <si>
    <t>Azufre de cualquier clase, excepto el sublimado, el precipitado y el coloidal.</t>
  </si>
  <si>
    <t>25.03</t>
  </si>
  <si>
    <t>Fosfatos de calcio naturales, fosfatos aluminocálcicos naturales y cretas fosfatadas.</t>
  </si>
  <si>
    <t>25.10</t>
  </si>
  <si>
    <t>Dolomita sin calcinar ni sintetizar, llamada "cruda". Cal dolomita inorgánica para uso agrícola como fertilizante.</t>
  </si>
  <si>
    <t>25.18.10.00.00</t>
  </si>
  <si>
    <t>Hullas, briquetas, ovoides y combustibles sólidos similares, obtenidos de la hulla.</t>
  </si>
  <si>
    <t>27.01</t>
  </si>
  <si>
    <t>Coques y semicoques de hulla.</t>
  </si>
  <si>
    <t>27.04.00.10.00</t>
  </si>
  <si>
    <t>Coques y semicoques de lignito o turba.</t>
  </si>
  <si>
    <t>27.04.00.20.00</t>
  </si>
  <si>
    <t>Gas natural licuado.</t>
  </si>
  <si>
    <t>27.11.11.00.00</t>
  </si>
  <si>
    <t>Gas propano, incluido el autogás.</t>
  </si>
  <si>
    <t>27.11.12.00.00</t>
  </si>
  <si>
    <t>Butanos licuados.</t>
  </si>
  <si>
    <t>27.11.13.00.00</t>
  </si>
  <si>
    <t>Gas natural en estado gaseoso, incluido el biogás.</t>
  </si>
  <si>
    <t>27.11.21.00.00</t>
  </si>
  <si>
    <t>Gas propano en estado gaseoso y gas butano en estado gaseoso, incluido el autogás.</t>
  </si>
  <si>
    <t>27.11.29</t>
  </si>
  <si>
    <t>Energía eléctrica.</t>
  </si>
  <si>
    <t>27.16</t>
  </si>
  <si>
    <t>Material radiactivo para uso médico.</t>
  </si>
  <si>
    <t>28.44.40</t>
  </si>
  <si>
    <t>Guatas, gasas, vendas y artículos análogos (por ejemplo: apósitos, esparadrapos, sinapismos), impregnados o recubiertos de sustancias farmacéuticas o acondicionados para la venta al por menor con fines médicos, quirúrgicos, odontológicos o veterinarios.</t>
  </si>
  <si>
    <t>30.05</t>
  </si>
  <si>
    <t>Abonos de origen animal o vegetal, incluso mezclados entre sí o tratados químicamente, abonos procedentes de la mezcla o del tratamiento químico de productos de origen animal o vegetal.</t>
  </si>
  <si>
    <t>31.01</t>
  </si>
  <si>
    <t>Abonos minerales o químicos nitrogenados.</t>
  </si>
  <si>
    <t>31.02</t>
  </si>
  <si>
    <t>Abonos minerales o químicos fosfatados.</t>
  </si>
  <si>
    <t>31.03</t>
  </si>
  <si>
    <t>Abonos minerales o químicos potásicos.</t>
  </si>
  <si>
    <t>31.04</t>
  </si>
  <si>
    <t>Abonos minerales o químicos, con dos o tres de los elementos fertilizantes: nitrógeno, fósforo y potasio, los demás abonos, productos de este capítulo en tabletas o formas similares o en envases de un peso bruto inferior o igual a 10 kg.</t>
  </si>
  <si>
    <t>31.05</t>
  </si>
  <si>
    <t>Insecticidas, raticidas y demás antirroedores, fungicidas, herbicidas, inhibidores de germinación y reguladores del crecimiento de las plantas, desinfectantes y productos similares, presentados en formas o en envases para la venta al por menor, o como preparaciones o artículos, tales como cintas, mechas y velas azufradas y papeles matamoscas.</t>
  </si>
  <si>
    <t>38.08</t>
  </si>
  <si>
    <t>Reactivos de diagnóstico sobre cualquier soporte y reactivos de diagnóstico preparados, incluso sobre soporte.</t>
  </si>
  <si>
    <t>38.22.00.90.00</t>
  </si>
  <si>
    <t>Caucho natural.</t>
  </si>
  <si>
    <t>40.01</t>
  </si>
  <si>
    <t>Neumáticos de los tipos utilizados en vehículos y máquinas agrícolas o forestales.</t>
  </si>
  <si>
    <t>40.11.70.00.00</t>
  </si>
  <si>
    <t>Preservativos.</t>
  </si>
  <si>
    <t>40.14.10.00.00</t>
  </si>
  <si>
    <t>Papel prensa en bobinas (rollos) o en hojas.</t>
  </si>
  <si>
    <t>48.01.00.00.00</t>
  </si>
  <si>
    <t>Los demás papeles prensa en bobinas (rollos)</t>
  </si>
  <si>
    <t>48.02.61.90.00</t>
  </si>
  <si>
    <t>Pita (Cabuya, fique).</t>
  </si>
  <si>
    <t>53.05.00.90.00</t>
  </si>
  <si>
    <t>Tejidos de las demás fibras textiles vegetales.</t>
  </si>
  <si>
    <t>53.11.00.00.00</t>
  </si>
  <si>
    <t>Redes confeccionadas para la pesca.</t>
  </si>
  <si>
    <t>56.08.11.00.00</t>
  </si>
  <si>
    <t>Empaques de yute, cáñamo y fique.</t>
  </si>
  <si>
    <t>59.11.90.90.00</t>
  </si>
  <si>
    <t>Sacos (bolsas) y talegas, para envasar de yute.</t>
  </si>
  <si>
    <t>63.05.10.10.00</t>
  </si>
  <si>
    <t>Sacos (bolsas) y talegas, para envasar de pita (cabuya, fique).</t>
  </si>
  <si>
    <t>63.05.90.10.00</t>
  </si>
  <si>
    <t>Sacos (bolsas) y talegas, para envasar de cáñamo.</t>
  </si>
  <si>
    <t>63.05.90.90.00</t>
  </si>
  <si>
    <t>Ladrillos de construcción y bloques de calicanto, de arcilla, y con base en cemento, bloques de arcilla silvocalcarea.</t>
  </si>
  <si>
    <t>69.04.10.00.00</t>
  </si>
  <si>
    <t>Monedas de curso legal.</t>
  </si>
  <si>
    <t>71.18.90.00.00</t>
  </si>
  <si>
    <t>Motores fuera de borda, hasta 115HP.</t>
  </si>
  <si>
    <t>84.07.21.00.00</t>
  </si>
  <si>
    <t>Motores Diésel hasta 150HP.</t>
  </si>
  <si>
    <t>84.08.10.00.00</t>
  </si>
  <si>
    <t>Sistemas de riego por goteo o aspersión.</t>
  </si>
  <si>
    <t>84.24.82.21.00</t>
  </si>
  <si>
    <t>Los demás sistemas de riego.</t>
  </si>
  <si>
    <t>84.24.82.29.00</t>
  </si>
  <si>
    <t>Aspersores y goteros, para sistemas de riego.</t>
  </si>
  <si>
    <t>84.24.90.10.00</t>
  </si>
  <si>
    <t>Guadañadoras, incluidas las barras de corte para montar sobre un tractor.</t>
  </si>
  <si>
    <t>84.33.20.00.00</t>
  </si>
  <si>
    <t>Las demás máquinas y aparatos de henificar.</t>
  </si>
  <si>
    <t>84.33.30.00.00</t>
  </si>
  <si>
    <t>Prensas para paja o forraje, incluidas las prensas recogedoras.</t>
  </si>
  <si>
    <t>84.33.40.00.00</t>
  </si>
  <si>
    <t>Cosechadoras-trilladoras.</t>
  </si>
  <si>
    <t>84.33.51.00.00</t>
  </si>
  <si>
    <t>Las demás máquinas y aparatos de trillar.</t>
  </si>
  <si>
    <t>84.33.52.00.00</t>
  </si>
  <si>
    <t>Máquinas de cosechar raíces o tubérculos.</t>
  </si>
  <si>
    <t>84.33.53.00.00</t>
  </si>
  <si>
    <t>Las demás máquinas y aparatos de cosechar, máquinas y aparatos de trillar.</t>
  </si>
  <si>
    <t>84.33.59</t>
  </si>
  <si>
    <t>Máquinas para limpieza o clasificación de huevos, frutos o demás productos agrícolas.</t>
  </si>
  <si>
    <t>84.33.60</t>
  </si>
  <si>
    <t>Partes de máquinas, aparatos y artefactos de cosechar o trillar, incluidas las prensas para paja o forraje, cortadoras de césped y guadañadoras, máquinas para limpieza o clasificación de huevos, frutos o demás productos agrícolas, excepto las de la partida 84.37.</t>
  </si>
  <si>
    <t>84.33.90</t>
  </si>
  <si>
    <t>Máquinas y aparatos para preparar alimentos o piensos para animales.</t>
  </si>
  <si>
    <t>84.36.10.00.00</t>
  </si>
  <si>
    <t>Las demás máquinas y aparatos para uso agropecuario.</t>
  </si>
  <si>
    <t>84.36.80</t>
  </si>
  <si>
    <t>Partes de las demás máquinas y aparatos para uso agropecuario.</t>
  </si>
  <si>
    <t>84.36.99.00.00</t>
  </si>
  <si>
    <t>Máquinas para limpieza, clasificación o cribado de semillas, granos u hortalizas de vaina secas.</t>
  </si>
  <si>
    <t>84.37.10</t>
  </si>
  <si>
    <t>Tractores para uso agropecuario de las partidas 87.01.91.00.00, 87.01.92.00.00, 87.01.93.00.00, 87.01.94.00.00, 87.01.95.00.00.</t>
  </si>
  <si>
    <t>87.01</t>
  </si>
  <si>
    <t>Sillones de ruedas y demás vehículos para inválidos, incluso con motor u otro mecanismo de propulsión.</t>
  </si>
  <si>
    <t>87.13</t>
  </si>
  <si>
    <t>Partes y accesorios de sillones de ruedas y demás vehículos para inválidos de la partida 87.13.</t>
  </si>
  <si>
    <t>87.14.20.00.00</t>
  </si>
  <si>
    <t>Remolques y semirremolques, autocargadores o autodescargadores, para uso agrícola.</t>
  </si>
  <si>
    <t>87.16.20.00.00</t>
  </si>
  <si>
    <t>Lentes de contacto.</t>
  </si>
  <si>
    <t>90.01.30.00.00</t>
  </si>
  <si>
    <t>Lentes de vidrio para gafas.</t>
  </si>
  <si>
    <t>90.01.40.00.00</t>
  </si>
  <si>
    <t>Lentes de otras materias para gafas.</t>
  </si>
  <si>
    <t>90.01.50.00.00</t>
  </si>
  <si>
    <t>Catéteres y catéteres peritoneales y equipos para la infusión de líquidos y filtros para diálisis renal de esta subpartida.</t>
  </si>
  <si>
    <t>90.18.39.00.00</t>
  </si>
  <si>
    <t>Equipos para la infusión de sangre.</t>
  </si>
  <si>
    <t>90.18.90.90.00</t>
  </si>
  <si>
    <t>Artículos y aparatos de ortopedia, incluidas las fajas y vendajes médico-quirúrgicos y las muletas tablillas, férulas u otros artículos y aparatos para fracturas, artículos y aparatos de prótesis, audífonos y demás aparatos que lleve la propia persona o se le implanten para compensar un defecto o incapacidad. Las impresoras braille, máquinas inteligentes de lectura para ciegos, software lector de pantalla para ciegos, estereotipadoras braille, líneas braille, regletas braille, cajas aritméticas y de dibujo braille, elementos manuales o mecánicos de escritura del sistema braille, así como los bastones para ciegos aunque estén dotados de tecnología, contenidos en esta partida arancelaria.</t>
  </si>
  <si>
    <t>90.21</t>
  </si>
  <si>
    <t>Lápices de escribir y colorear.</t>
  </si>
  <si>
    <t>96.09.10.00.00</t>
  </si>
  <si>
    <t>Materias primas químicas con destino a la producción de plaguicidas e insecticidas de la partida 38.08 y de los fertilizantes de las partidas 31.01 a 31.05 y con destino a la producción de medicamentos de las posiciones 29.36, 29.41, 30.01, 30.03, 30.04 y 30.06.</t>
  </si>
  <si>
    <t xml:space="preserve"> Art. 424, Num. 1</t>
  </si>
  <si>
    <t>Materias primas destinadas a la producción de vacunas (Con cumplimiento de requisitos)</t>
  </si>
  <si>
    <t xml:space="preserve"> Art. 424, Num. 2</t>
  </si>
  <si>
    <t>Productos de soporte nutricional (incluidos los suplementos dietarios y los complementos nutricionales en presentaciones líquidas, sólidas, granuladas, gaseosas, en polvo) del régimen especial destinados a ser administrados por vía enteral, para pacientes con patologías específicas o con condiciones especiales; y los alimentos para propósitos médicos especiales para pacientes que requieren nutrición enteral por sonda a corto o largo plazo. Clasificados por las subpartidas 21.06.90.79.00, 21.06.90.90.00 y 22.02.90.99.00.</t>
  </si>
  <si>
    <t xml:space="preserve"> Art. 424, Num. 3</t>
  </si>
  <si>
    <t>Dispositivos anticonceptivos para uso femenino.</t>
  </si>
  <si>
    <t xml:space="preserve"> Art. 424, Num. 4</t>
  </si>
  <si>
    <t>Computadores personales de escritorio o portátiles, cuyo valor no exceda de 50 UVT</t>
  </si>
  <si>
    <t xml:space="preserve"> Art. 424, Num. 5</t>
  </si>
  <si>
    <t>Dispositivos móviles inteligentes (tabletas y celulares) cuyo valor no exceda de 22 UVT.</t>
  </si>
  <si>
    <t xml:space="preserve"> Art. 424, Num. 6</t>
  </si>
  <si>
    <t>Equipos y elementos nacionales o importados que se destinen a la construcción, instalación, montaje y operación de sistemas de control y monitoreo, necesarios para el cumplimiento de las disposiciones, regulaciones y estándares ambientales vigentes, para lo cual deberá acreditarse tal condición ante el Ministerio de Ambiente y Desarrollo Sostenible.</t>
  </si>
  <si>
    <t xml:space="preserve"> Art. 424, Num. 7</t>
  </si>
  <si>
    <t>Alimentos de consumo humano y animal que se importen de los países colindantes a los departamentos de Vichada, Guajira, Guainía y Vaupés, siempre y cuando se destinen exclusivamente al consumo local en esos departamentos.</t>
  </si>
  <si>
    <t xml:space="preserve"> Art. 424, Num. 8</t>
  </si>
  <si>
    <t>Alimentos de consumo humano donados a favor de los bancos de alimentos (De acuerdo al reglamento)</t>
  </si>
  <si>
    <t xml:space="preserve"> Art. 424, Num. 9</t>
  </si>
  <si>
    <t>Objetos con interés artístico, cultural e histórico comprados por parte de los museos que integren la Red Nacional de Museos y las entidades públicas que posean o administren estos bienes</t>
  </si>
  <si>
    <t xml:space="preserve"> Art. 424, Num. 11</t>
  </si>
  <si>
    <t>Venta de bienes inmuebles.</t>
  </si>
  <si>
    <t xml:space="preserve"> Art. 424, Num. 12</t>
  </si>
  <si>
    <t xml:space="preserve">Consumo humano y animal, vestuario, elementos de aseo y medicamentos para uso humano o veterinario, materiales de construcción que se introduzcan y comercialicen a los departamentos de Guainía, Guaviare, Vaupés y Vichada, siempre y cuando se destinen exclusivamente al consumo dentro del mismo departamento. </t>
  </si>
  <si>
    <t xml:space="preserve"> Art. 424, Num. 13</t>
  </si>
  <si>
    <t>Combustible para aviación que se suministre para el servicio de transporte aéreo nacional de pasajeros y de carga con origen y destino a los departamentos de Guainía, Amazonas, Vaupés, San Andrés Islas y Providencia, Arauca y Vichada.</t>
  </si>
  <si>
    <t xml:space="preserve"> Art. 424, Num. 14</t>
  </si>
  <si>
    <t>Productos que se compren o introduzcan al departamento del Amazonas en el marco del convenio Colombo-Peruano y el convenio con la República Federativa del Brasil.</t>
  </si>
  <si>
    <t xml:space="preserve"> Art. 424, Num. 15</t>
  </si>
  <si>
    <t>Compraventa de maquinaria y equipos destinados al desarrollo de proyectos o actividades que se encuentren registrados en el Registro Nacional de Reducción de Emisiones de Gases Efecto Invernadero definido en el artículo 155 de la Ley 1753/2015, que generen y certifiquen reducciones de Gases Efecto Invernadero - GEI, (Según reglamento)</t>
  </si>
  <si>
    <t xml:space="preserve"> Art. 424, Num. 16</t>
  </si>
  <si>
    <t>Bicicletas, bicicletas eléctricas, motos eléctricas, patines, monopatines, monopatines eléctricos, patinetas, y patinetas eléctricas, de hasta 50 UVT.</t>
  </si>
  <si>
    <t xml:space="preserve"> Art. 424, Num. 17</t>
  </si>
  <si>
    <t>Venta de los bienes facturados por los comerciantes definidos en el parágrafo 2 del artículo 34 de la Ley 98/1993.</t>
  </si>
  <si>
    <t xml:space="preserve"> Art. 424, Num. 18</t>
  </si>
  <si>
    <t xml:space="preserve"> Incentivos de premio inmediato de juegos de suerte y azar territoriales.</t>
  </si>
  <si>
    <t xml:space="preserve"> Art. 424, Num. 19</t>
  </si>
  <si>
    <t>El petróleo crudo recibido por parte de la Agencia Nacional de Hidrocarburos por concepto de pago de regalías para su respectiva monetización.</t>
  </si>
  <si>
    <t xml:space="preserve"> Art. 424, Par 1</t>
  </si>
  <si>
    <t>SECCIÓN 1.15: Devoluciones en ventas anuladas, rescindidas o resueltas</t>
  </si>
  <si>
    <t>SECCIÓN 2: COMPRAS</t>
  </si>
  <si>
    <t>SECCIÓN 2.1: Importaciones - Bienes gravados a la tarifa del 5%</t>
  </si>
  <si>
    <t>Otros</t>
  </si>
  <si>
    <t>SECCIÓN 2.2: Importaciones - Bienes gravados a la tarifa general 19%</t>
  </si>
  <si>
    <t>SECCIÓN 2.3: Importaciones - Bienes y servicios gravados provenientes de zonas francas</t>
  </si>
  <si>
    <t>SECCIÓN 2.4: Importaciones - Bienes no gravados</t>
  </si>
  <si>
    <t>SECCIÓN 2.5: Importaciones - Bienes excluidos, exentos y no gravados provenientes de zonas francas</t>
  </si>
  <si>
    <t>SECCIÓN 2.6: Importaciones - Servicios</t>
  </si>
  <si>
    <t>Ingresos - Operaciones no gravadas (Art 424)</t>
  </si>
  <si>
    <t>SECCIÓN 2.7: Nacionales - Bienes gravados a la tarifa del 5%</t>
  </si>
  <si>
    <t>SECCIÓN 2.8: Nacionales - Bienes gravados a la tarifa general 19%</t>
  </si>
  <si>
    <t>SECCIÓN 2.9: Nacionales - Servicios gravados a la tarifa del 5%</t>
  </si>
  <si>
    <t>Compras Nacionales - Servicios al 5%</t>
  </si>
  <si>
    <t>Los servicios de vigilancia, supervisión, conserjería, aseo y temporales de empleo, prestados por personas jurídicas constituidas,</t>
  </si>
  <si>
    <t>El almacenamiento de productos agrícolas en almacenes generales de depósito y las comisiones…</t>
  </si>
  <si>
    <t>El seguro agropecuario.</t>
  </si>
  <si>
    <t>Los planes de medicina prepagada y complementarios, las pólizas de seguros de cirugía y hospitalización, pólizas de seguros de servicios de salud y en general los planes adicionales</t>
  </si>
  <si>
    <t>Norma</t>
  </si>
  <si>
    <t>Art 468-3</t>
  </si>
  <si>
    <t>SECCIÓN 2.10: Nacionales - Servicios gravados a la tarifa general 19%</t>
  </si>
  <si>
    <t>SECCIÓN 2.11: Nacionales - Bienes y servicios excluidos, exentos y no gravados</t>
  </si>
  <si>
    <t>SECCIÓN 2.12: Devoluciones en compras anuladas, rescindidas o resueltas en este periodo</t>
  </si>
  <si>
    <t>SECCIÓN 3: OTROS</t>
  </si>
  <si>
    <t>SECCIÓN 3.1: Impuesto generado - En retiro de inventario para activos fijos, consumo, muestras gratis o donaciones</t>
  </si>
  <si>
    <t>Por operaciones gravadas al 5%</t>
  </si>
  <si>
    <t>Por operaciones gravadas a la tarifa general</t>
  </si>
  <si>
    <t>A. I. U. por operaciones gravadas (base gravable especial)</t>
  </si>
  <si>
    <r>
      <t xml:space="preserve">IVA recuperado en devoluciones en compras anuladas, rescindidas o resueltas
</t>
    </r>
    <r>
      <rPr>
        <sz val="12"/>
        <color rgb="FFFF0000"/>
        <rFont val="Candara"/>
        <family val="2"/>
      </rPr>
      <t>(Base casilla 56)</t>
    </r>
  </si>
  <si>
    <r>
      <t xml:space="preserve">Sobre A. I. U. en operaciones gravadas (base gravable especial)
</t>
    </r>
    <r>
      <rPr>
        <sz val="12"/>
        <color rgb="FFFF0000"/>
        <rFont val="Candara"/>
        <family val="2"/>
      </rPr>
      <t>(Base casilla 29)</t>
    </r>
  </si>
  <si>
    <t xml:space="preserve">Por exportación de bienes </t>
  </si>
  <si>
    <t>Por exportación de servicios</t>
  </si>
  <si>
    <t>Por ventas a sociedades de comercialización internacional</t>
  </si>
  <si>
    <t>Por ventas a zonas francas</t>
  </si>
  <si>
    <t>Datos del declarante</t>
  </si>
  <si>
    <t>Ingresos</t>
  </si>
  <si>
    <t>Por juegos de suerte y azar</t>
  </si>
  <si>
    <t>Por operaciones exentas</t>
  </si>
  <si>
    <t>Por venta de gaseosas y similares</t>
  </si>
  <si>
    <t>Por venta de licores, aperitivos, vinos y similares</t>
  </si>
  <si>
    <t>Por operaciones excluidas</t>
  </si>
  <si>
    <t>Por operaciones no gravadas</t>
  </si>
  <si>
    <t>Devoluciones en ventas anuladas, rescindidas o resueltas</t>
  </si>
  <si>
    <r>
      <t xml:space="preserve">Total ingresos brutos </t>
    </r>
    <r>
      <rPr>
        <sz val="12"/>
        <color theme="1"/>
        <rFont val="Candara"/>
        <family val="2"/>
      </rPr>
      <t>(Sume 27 a 40)</t>
    </r>
  </si>
  <si>
    <r>
      <rPr>
        <b/>
        <sz val="12"/>
        <color theme="1"/>
        <rFont val="Candara"/>
        <family val="2"/>
      </rPr>
      <t>Total ingresos netos recibidos durante el periodo</t>
    </r>
    <r>
      <rPr>
        <sz val="12"/>
        <color theme="1"/>
        <rFont val="Candara"/>
        <family val="2"/>
      </rPr>
      <t xml:space="preserve"> (41 - 42)</t>
    </r>
  </si>
  <si>
    <t>De bienes gravados a la tarifa del 5%</t>
  </si>
  <si>
    <t>De bienes gravados a la tarifa general</t>
  </si>
  <si>
    <t>De bienes y servicios gravados provenientes de zonas francas</t>
  </si>
  <si>
    <t>De bienes no gravados</t>
  </si>
  <si>
    <t>De bienes excluidos, exentos y no gravados provenientes de zonas francas</t>
  </si>
  <si>
    <t>De servicios</t>
  </si>
  <si>
    <t>De servicios gravados a la tarifa del 5%</t>
  </si>
  <si>
    <t>De servicios gravados a la tarifa general</t>
  </si>
  <si>
    <t>De bienes y servicios excluidos, exentos y no gravados</t>
  </si>
  <si>
    <r>
      <t xml:space="preserve">Total compras e importaciones brutas </t>
    </r>
    <r>
      <rPr>
        <sz val="12"/>
        <color theme="1"/>
        <rFont val="Candara"/>
        <family val="2"/>
      </rPr>
      <t>(sume 44 a 54)</t>
    </r>
  </si>
  <si>
    <t>Devoluciones en compras anuladas, rescindidas o resueltas en este período</t>
  </si>
  <si>
    <r>
      <t xml:space="preserve">Total compras netas realizadas durante el período </t>
    </r>
    <r>
      <rPr>
        <sz val="12"/>
        <color theme="1"/>
        <rFont val="Candara"/>
        <family val="2"/>
      </rPr>
      <t>(55 - 56)</t>
    </r>
  </si>
  <si>
    <t>Compras</t>
  </si>
  <si>
    <t>Impuesto
generado</t>
  </si>
  <si>
    <t>A la tarifa del 5%</t>
  </si>
  <si>
    <t>A la tarifa general</t>
  </si>
  <si>
    <t>En juegos de suerte y azar</t>
  </si>
  <si>
    <t>En retiro de inventario para activos fijos, consumo, muestras gratis o donaciones</t>
  </si>
  <si>
    <r>
      <t xml:space="preserve">Total impuesto generado por operaciones gravadas </t>
    </r>
    <r>
      <rPr>
        <sz val="12"/>
        <color theme="1"/>
        <rFont val="Candara"/>
        <family val="2"/>
      </rPr>
      <t>(sume 58 a 66)</t>
    </r>
  </si>
  <si>
    <t>Por importaciones gravadas a la tarifa del 5 %</t>
  </si>
  <si>
    <t>Por importaciones gravadas a la tarifa general</t>
  </si>
  <si>
    <t>Por compras de bienes gravados a la tarifa del 5%</t>
  </si>
  <si>
    <t>Por compras de bienes gravados a la tarifa general</t>
  </si>
  <si>
    <t>Por servicios gravados a la tarifa del 5%</t>
  </si>
  <si>
    <t>Por servicios gravados a la tarifa general</t>
  </si>
  <si>
    <t>Descuento del IVA en exploración de hidrocarburos (Art 485-2 del ET)</t>
  </si>
  <si>
    <r>
      <t xml:space="preserve">Total impuesto pagado o facturado </t>
    </r>
    <r>
      <rPr>
        <sz val="12"/>
        <color theme="1"/>
        <rFont val="Candara"/>
        <family val="2"/>
      </rPr>
      <t>(sume 68 a 76)</t>
    </r>
  </si>
  <si>
    <t>IVA resultante por devoluciones en ventas  anuladas, rescindidas o resueltas</t>
  </si>
  <si>
    <r>
      <t xml:space="preserve">Total impuestos descontables </t>
    </r>
    <r>
      <rPr>
        <sz val="12"/>
        <color theme="1"/>
        <rFont val="Candara"/>
        <family val="2"/>
      </rPr>
      <t>(sume 77 a 79 y reste 80)</t>
    </r>
  </si>
  <si>
    <r>
      <t xml:space="preserve">Saldo a pagar por el período fiscal </t>
    </r>
    <r>
      <rPr>
        <sz val="12"/>
        <color theme="1"/>
        <rFont val="Candara"/>
        <family val="2"/>
      </rPr>
      <t>(67 - 81)</t>
    </r>
  </si>
  <si>
    <r>
      <t xml:space="preserve">Saldo a favor del período fiscal </t>
    </r>
    <r>
      <rPr>
        <sz val="12"/>
        <color theme="1"/>
        <rFont val="Candara"/>
        <family val="2"/>
      </rPr>
      <t>(81 - 67)</t>
    </r>
  </si>
  <si>
    <r>
      <t xml:space="preserve">Saldo a pagar por impuesto </t>
    </r>
    <r>
      <rPr>
        <sz val="12"/>
        <color theme="1"/>
        <rFont val="Candara"/>
        <family val="2"/>
      </rPr>
      <t>(82 - 84 - 85)</t>
    </r>
  </si>
  <si>
    <r>
      <t xml:space="preserve">Total saldo a pagar </t>
    </r>
    <r>
      <rPr>
        <sz val="12"/>
        <color theme="1"/>
        <rFont val="Candara"/>
        <family val="2"/>
      </rPr>
      <t>(82 - 84 - 85 + 87)</t>
    </r>
  </si>
  <si>
    <r>
      <t xml:space="preserve">Total saldo favor a imputar al período siguiente </t>
    </r>
    <r>
      <rPr>
        <sz val="12"/>
        <color theme="1"/>
        <rFont val="Candara"/>
        <family val="2"/>
      </rPr>
      <t>(89 - 90)</t>
    </r>
  </si>
  <si>
    <t>Anticipos IVA pagados Régimen Simple</t>
  </si>
  <si>
    <t>Total anticipos IVA Régimen Simple</t>
  </si>
  <si>
    <t>Declaración del Impuesto sobre las Ventas ─ IVA</t>
  </si>
  <si>
    <t>11. Nombre o Razón social</t>
  </si>
  <si>
    <t>PERIODO BIMESTRAL</t>
  </si>
  <si>
    <t>BIMESTRE 1</t>
  </si>
  <si>
    <t>Por venta de cerveza de producción nacional o importada</t>
  </si>
  <si>
    <t>BIMESTRE 2</t>
  </si>
  <si>
    <t>BIMESTRE 3</t>
  </si>
  <si>
    <t>BIMESTRE 4</t>
  </si>
  <si>
    <t>BIMESTRE 5</t>
  </si>
  <si>
    <t>BIMESTRE 6</t>
  </si>
  <si>
    <t>SECCIÓN 3.6: Retención por IVA que le practicaron</t>
  </si>
  <si>
    <t>SECCIÓN 3.5: Impuesto descontable - Ajustes (pérdidas, hurto o castigo de inventarios)</t>
  </si>
  <si>
    <t>SECCIÓN 3.3: Impuesto descontable - Exploración hidrocarburos</t>
  </si>
  <si>
    <t>SECCIÓN 3.2: Impuesto descontable - Licores, aperitivos, vinos y similares</t>
  </si>
  <si>
    <t>Año en que aplica la sanción:</t>
  </si>
  <si>
    <r>
      <t xml:space="preserve">A. Fecha de </t>
    </r>
    <r>
      <rPr>
        <b/>
        <sz val="14"/>
        <color theme="1"/>
        <rFont val="Candara"/>
        <family val="2"/>
      </rPr>
      <t>vencimiento</t>
    </r>
    <r>
      <rPr>
        <sz val="14"/>
        <color theme="1"/>
        <rFont val="Candara"/>
        <family val="2"/>
      </rPr>
      <t xml:space="preserve"> de la declaración </t>
    </r>
    <r>
      <rPr>
        <sz val="14"/>
        <color theme="0" tint="-0.499984740745262"/>
        <rFont val="Candara"/>
        <family val="2"/>
      </rPr>
      <t>(dd/mm/aaaa)</t>
    </r>
  </si>
  <si>
    <r>
      <t xml:space="preserve">Fecha de </t>
    </r>
    <r>
      <rPr>
        <b/>
        <sz val="14"/>
        <color theme="1"/>
        <rFont val="Candara"/>
        <family val="2"/>
      </rPr>
      <t>presentación</t>
    </r>
    <r>
      <rPr>
        <sz val="14"/>
        <color theme="1"/>
        <rFont val="Candara"/>
        <family val="2"/>
      </rPr>
      <t xml:space="preserve"> de la declaración </t>
    </r>
    <r>
      <rPr>
        <sz val="14"/>
        <color theme="0" tint="-0.499984740745262"/>
        <rFont val="Candara"/>
        <family val="2"/>
      </rPr>
      <t>(dd/mm/aaaa)</t>
    </r>
  </si>
  <si>
    <t>¿Existe emplazamiento?</t>
  </si>
  <si>
    <t>No</t>
  </si>
  <si>
    <t>¿Tuvo alguna conducta sancionable por extemporaneidad antes de la fecha del punto A?</t>
  </si>
  <si>
    <t>Años transcurridos entre las conductas sancionables</t>
  </si>
  <si>
    <t>Porcentaje en que se puede reducir la sanción (Art 640 ET)</t>
  </si>
  <si>
    <t>Valor del impuesto a cargo</t>
  </si>
  <si>
    <t>Si la declaración no tuvo impuesto a cargo:</t>
  </si>
  <si>
    <t>Valor de los ingresos brutos</t>
  </si>
  <si>
    <t>Valor del saldo a favor</t>
  </si>
  <si>
    <t>Si la declaración no tuvo ingresos en el período:</t>
  </si>
  <si>
    <t>Mes o fracción de mes de extemporaneidad</t>
  </si>
  <si>
    <t>Total porcentaje por meses de extemporaneidad</t>
  </si>
  <si>
    <t>Sanción máxima por:</t>
  </si>
  <si>
    <t>Impuesto a cargo</t>
  </si>
  <si>
    <t>Ingresos brutos</t>
  </si>
  <si>
    <t>Patrimonio líquido</t>
  </si>
  <si>
    <t>Cálculo de la sanción:</t>
  </si>
  <si>
    <t>Sanción máxima aplicable</t>
  </si>
  <si>
    <t>Sanción por extemporaneidad</t>
  </si>
  <si>
    <t>Sanción por extemporaneidad reducida Art 640</t>
  </si>
  <si>
    <t>Sanción mínima</t>
  </si>
  <si>
    <t>Total sanción por extemporaneidad</t>
  </si>
  <si>
    <r>
      <t xml:space="preserve">B. Fecha de </t>
    </r>
    <r>
      <rPr>
        <b/>
        <sz val="14"/>
        <color theme="1"/>
        <rFont val="Candara"/>
        <family val="2"/>
      </rPr>
      <t>presentación</t>
    </r>
    <r>
      <rPr>
        <sz val="14"/>
        <color theme="1"/>
        <rFont val="Candara"/>
        <family val="2"/>
      </rPr>
      <t xml:space="preserve"> de la declaración </t>
    </r>
    <r>
      <rPr>
        <sz val="14"/>
        <color theme="0" tint="-0.499984740745262"/>
        <rFont val="Candara"/>
        <family val="2"/>
      </rPr>
      <t>(dd/mm/aaaa)</t>
    </r>
  </si>
  <si>
    <r>
      <t xml:space="preserve">C. Fecha </t>
    </r>
    <r>
      <rPr>
        <b/>
        <sz val="14"/>
        <color theme="1"/>
        <rFont val="Candara"/>
        <family val="2"/>
      </rPr>
      <t xml:space="preserve">presentación </t>
    </r>
    <r>
      <rPr>
        <sz val="14"/>
        <color theme="1"/>
        <rFont val="Candara"/>
        <family val="2"/>
      </rPr>
      <t>de la</t>
    </r>
    <r>
      <rPr>
        <b/>
        <sz val="14"/>
        <color theme="1"/>
        <rFont val="Candara"/>
        <family val="2"/>
      </rPr>
      <t xml:space="preserve"> corrección</t>
    </r>
    <r>
      <rPr>
        <sz val="14"/>
        <color theme="1"/>
        <rFont val="Candara"/>
        <family val="2"/>
      </rPr>
      <t xml:space="preserve"> de la declaración </t>
    </r>
    <r>
      <rPr>
        <sz val="14"/>
        <color theme="0" tint="-0.499984740745262"/>
        <rFont val="Candara"/>
        <family val="2"/>
      </rPr>
      <t>(dd/mm/aaaa)</t>
    </r>
  </si>
  <si>
    <t>¿Tuvo alguna conducta sancionable por corrección antes de la fecha del punto A?</t>
  </si>
  <si>
    <r>
      <rPr>
        <b/>
        <sz val="14"/>
        <color theme="1"/>
        <rFont val="Candara"/>
        <family val="2"/>
      </rPr>
      <t>Valor pagado</t>
    </r>
    <r>
      <rPr>
        <sz val="14"/>
        <color theme="1"/>
        <rFont val="Candara"/>
        <family val="2"/>
      </rPr>
      <t xml:space="preserve"> según declaración inicial</t>
    </r>
  </si>
  <si>
    <t>Art 588</t>
  </si>
  <si>
    <t>Art 589</t>
  </si>
  <si>
    <r>
      <rPr>
        <b/>
        <sz val="14"/>
        <color theme="1"/>
        <rFont val="Candara"/>
        <family val="2"/>
      </rPr>
      <t>Saldo a favor</t>
    </r>
    <r>
      <rPr>
        <sz val="14"/>
        <color theme="1"/>
        <rFont val="Candara"/>
        <family val="2"/>
      </rPr>
      <t xml:space="preserve"> según declaración inicial</t>
    </r>
  </si>
  <si>
    <r>
      <rPr>
        <b/>
        <sz val="14"/>
        <color theme="1"/>
        <rFont val="Candara"/>
        <family val="2"/>
      </rPr>
      <t>Valor a pagar</t>
    </r>
    <r>
      <rPr>
        <sz val="14"/>
        <color theme="1"/>
        <rFont val="Candara"/>
        <family val="2"/>
      </rPr>
      <t xml:space="preserve"> según declaración corregida</t>
    </r>
  </si>
  <si>
    <r>
      <rPr>
        <b/>
        <sz val="14"/>
        <color theme="1"/>
        <rFont val="Candara"/>
        <family val="2"/>
      </rPr>
      <t>Saldo a favor</t>
    </r>
    <r>
      <rPr>
        <sz val="14"/>
        <color theme="1"/>
        <rFont val="Candara"/>
        <family val="2"/>
      </rPr>
      <t xml:space="preserve"> según declaración corregida</t>
    </r>
  </si>
  <si>
    <t>Diferencia entre la corrección y la declaración inicial</t>
  </si>
  <si>
    <t>Porcentaje sanción por corrección</t>
  </si>
  <si>
    <t>Total sanción por corrección (Art 644)</t>
  </si>
  <si>
    <t>Total sanción por corrección reducida Art 640</t>
  </si>
  <si>
    <t>Respuesta</t>
  </si>
  <si>
    <t>Si</t>
  </si>
  <si>
    <t>Bimestre 1</t>
  </si>
  <si>
    <t>Bimestre 2</t>
  </si>
  <si>
    <t>Bimestre 3</t>
  </si>
  <si>
    <t>Bimestre 4</t>
  </si>
  <si>
    <t>Bimestre 5</t>
  </si>
  <si>
    <t>Bimestre 6</t>
  </si>
  <si>
    <t>Digite la sanción para el bimestre correspondiente</t>
  </si>
  <si>
    <t>Digite la sanción para el cuatrimestre correspondiente</t>
  </si>
  <si>
    <t>Cuatrimestre 1</t>
  </si>
  <si>
    <t>Cuatrimestre 2</t>
  </si>
  <si>
    <t>Cuatrimestre 3</t>
  </si>
  <si>
    <t>Digite la sanción para la declaración anual</t>
  </si>
  <si>
    <t>Saldo a favor susceptible de devolución y/o compensación por el presente período</t>
  </si>
  <si>
    <t>Concepto</t>
  </si>
  <si>
    <r>
      <rPr>
        <b/>
        <sz val="14"/>
        <color theme="1"/>
        <rFont val="Candara"/>
        <family val="2"/>
      </rPr>
      <t xml:space="preserve">Total saldo a favor a imputar al periodo siguiente </t>
    </r>
    <r>
      <rPr>
        <sz val="14"/>
        <color theme="1"/>
        <rFont val="Candara"/>
        <family val="2"/>
      </rPr>
      <t>(Casilla 89 - 90)</t>
    </r>
  </si>
  <si>
    <t>Total saldo a favor</t>
  </si>
  <si>
    <t>Casilla</t>
  </si>
  <si>
    <t>La sumatoria de las casillas 90, 91 y 92 debe ser igual al valor de la casilla 89</t>
  </si>
  <si>
    <t>La casilla 93 debe ser igual a la sumatoria de las casiilas 91 y 92</t>
  </si>
  <si>
    <t>SECCIÓN 5: SANCIONES</t>
  </si>
  <si>
    <t>SECCIÓN 5.1: Sanción por extemporaneidad (Art 641 y 642 del ET)</t>
  </si>
  <si>
    <t>SECCIÓN 5.2: Sanción por corrección (Art 641 y 642 del ET)</t>
  </si>
  <si>
    <t>SECCIÓN 4: PRORRATEO</t>
  </si>
  <si>
    <t>Código</t>
  </si>
  <si>
    <t>Descripción</t>
  </si>
  <si>
    <t>Tipo de ingresos</t>
  </si>
  <si>
    <t>SECCIÓN 3.4: Impuesto descontable - IVA retenido por servicios prestados en Col por no domiciliados o no residentes</t>
  </si>
  <si>
    <t>SECCIÓN 6.1: Período bimestral</t>
  </si>
  <si>
    <t>SECCIÓN 6.2: Período cuatrimestral</t>
  </si>
  <si>
    <t>SECCIÓN 6.3: Período anual</t>
  </si>
  <si>
    <t>Ingresos netos</t>
  </si>
  <si>
    <t>Porcentaje</t>
  </si>
  <si>
    <t>Total</t>
  </si>
  <si>
    <t>Tipo de impuesto descontable</t>
  </si>
  <si>
    <t>Proporción del ingreso</t>
  </si>
  <si>
    <t>Ingresos por operaciones gravadas</t>
  </si>
  <si>
    <t>Ingresos por operaciones excluidas</t>
  </si>
  <si>
    <t>Ingresos por operaciones exentas</t>
  </si>
  <si>
    <t>Ingresos por operaciones no gravadas</t>
  </si>
  <si>
    <t>Tipo de devolución</t>
  </si>
  <si>
    <t>Seleccione</t>
  </si>
  <si>
    <t>Ingreso neto</t>
  </si>
  <si>
    <t>Total ingresos</t>
  </si>
  <si>
    <t>IVA no descontable</t>
  </si>
  <si>
    <t>IVA antes de prorrateo</t>
  </si>
  <si>
    <t>Tipo de devolución en ventas</t>
  </si>
  <si>
    <t>Tipo de IVA devolución en compras</t>
  </si>
  <si>
    <t>Importaciones - De servicios</t>
  </si>
  <si>
    <t>Importaciones - De bienes gravados a la tarifa del 5%</t>
  </si>
  <si>
    <t>Importaciones - De bienes gravados a la tarifa general</t>
  </si>
  <si>
    <t>Importaciones - De bienes y servicios gravados provenientes de zonas francas</t>
  </si>
  <si>
    <t>Importaciones - De bienes no gravados</t>
  </si>
  <si>
    <t>Importaciones - De bienes excluidos, exentos y no gravados provenientes de zonas francas</t>
  </si>
  <si>
    <t>Nacionales - De bienes gravados a la tarifa del 5%</t>
  </si>
  <si>
    <t>Nacionales - De bienes gravados a la tarifa general</t>
  </si>
  <si>
    <t>Nacionales - De servicios gravados a la tarifa del 5%</t>
  </si>
  <si>
    <t>Nacionales - De servicios gravados a la tarifa general</t>
  </si>
  <si>
    <t>Nacionales - De bienes y servicios excluidos, exentos y no gravados</t>
  </si>
  <si>
    <t>IVA recuperado en devoluciones en compras anuladas, rescindidas o resueltas</t>
  </si>
  <si>
    <t>¿Aplica Prorrateo del IVA para el Bimestre 1?</t>
  </si>
  <si>
    <t>¿Aplica Prorrateo del IVA para el Bimestre 2?</t>
  </si>
  <si>
    <t>¿Aplica Prorrateo del IVA para el Bimestre 3?</t>
  </si>
  <si>
    <t>¿Aplica Prorrateo del IVA para el Bimestre 4?</t>
  </si>
  <si>
    <t>¿Aplica Prorrateo del IVA para el Bimestre 5?</t>
  </si>
  <si>
    <t>¿Aplica Prorrateo del IVA para el Bimestre 6?</t>
  </si>
  <si>
    <t>SECCIÓN 4.1.1: Bimestre 1</t>
  </si>
  <si>
    <t>SECCIÓN 4.1: Periodo bimestral</t>
  </si>
  <si>
    <t>SECCIÓN 4.1.2: Bimestre 2</t>
  </si>
  <si>
    <t>SECCIÓN 4.1.3: Bimestre 3</t>
  </si>
  <si>
    <t>SECCIÓN 4.1.4: Bimestre 4</t>
  </si>
  <si>
    <t>SECCIÓN 4.1.5: Bimestre 5</t>
  </si>
  <si>
    <t>SECCIÓN 4.1.6: Bimestre 6</t>
  </si>
  <si>
    <t>SECCIÓN 4.2: Periodo cuatrimestral</t>
  </si>
  <si>
    <t>SECCIÓN 4.2.1: Cuatrimestre 1</t>
  </si>
  <si>
    <t>PERIODO CUATRIMESTRAL</t>
  </si>
  <si>
    <t>CUATRIMESTRE 1</t>
  </si>
  <si>
    <t>SECCIÓN 7: ANTICIPOS IVA RST</t>
  </si>
  <si>
    <t>Impuesto sobre las ventas generado en el bimestre por operaciones gravadas</t>
  </si>
  <si>
    <t>Impuestos descontables del bimestre</t>
  </si>
  <si>
    <t>Saldo a favor declaración impuesto sobre las ventas periodo anterior</t>
  </si>
  <si>
    <t>Excedente anticipo IVA bimestre anterior</t>
  </si>
  <si>
    <t>Retenciones por IVA que le practicaron en el bimestre</t>
  </si>
  <si>
    <t>CUATRIMESTRE 2</t>
  </si>
  <si>
    <t>CUATRIMESTRE 3</t>
  </si>
  <si>
    <t>PERIODO ANUAL</t>
  </si>
  <si>
    <t>¿Aplica Prorrateo del IVA para el Cuatrimeste 1?</t>
  </si>
  <si>
    <t>SECCIÓN 4.2.2: Cuatrimestre 2</t>
  </si>
  <si>
    <t>¿Aplica Prorrateo del IVA para el Cuatrimeste 2?</t>
  </si>
  <si>
    <t>SECCIÓN 4.2.3: Cuatrimestre 3</t>
  </si>
  <si>
    <t>¿Aplica Prorrateo del IVA para el Cuatrimeste 3?</t>
  </si>
  <si>
    <t>¿Aplica Prorrateo del IVA?</t>
  </si>
  <si>
    <t>SECCIÓN 4.3: Período anual</t>
  </si>
  <si>
    <r>
      <t xml:space="preserve">Fecha de vencimiento de la declaración inicial que originó la coducta sancionable </t>
    </r>
    <r>
      <rPr>
        <sz val="14"/>
        <color theme="0" tint="-0.499984740745262"/>
        <rFont val="Candara"/>
        <family val="2"/>
      </rPr>
      <t>(dd/mm/aaaa)</t>
    </r>
  </si>
  <si>
    <r>
      <t>Fecha de vencimiento de la declaración inicial que originó la coducta sancionable</t>
    </r>
    <r>
      <rPr>
        <sz val="14"/>
        <color theme="0" tint="-0.499984740745262"/>
        <rFont val="Candara"/>
        <family val="2"/>
      </rPr>
      <t xml:space="preserve"> (dd/mm/aaaa)</t>
    </r>
  </si>
  <si>
    <r>
      <t xml:space="preserve">Saldo impuesto sobre las ventas </t>
    </r>
    <r>
      <rPr>
        <sz val="14"/>
        <color theme="1"/>
        <rFont val="Candara"/>
        <family val="2"/>
      </rPr>
      <t>(66 - 67 - 68 - 69 - 70)</t>
    </r>
  </si>
  <si>
    <t>Intereses causados por impuesto sobre las ventas (Art 804 del ET)</t>
  </si>
  <si>
    <t>Pagos anteriores impuesto sobre las ventas por este período</t>
  </si>
  <si>
    <r>
      <rPr>
        <b/>
        <sz val="14"/>
        <color theme="1"/>
        <rFont val="Candara"/>
        <family val="2"/>
      </rPr>
      <t>Total anticipo IVA a pagar bimestral</t>
    </r>
    <r>
      <rPr>
        <sz val="14"/>
        <color theme="1"/>
        <rFont val="Candara"/>
        <family val="2"/>
      </rPr>
      <t xml:space="preserve"> (66 + 72 - 67 - 68 - 69 - 70 - 73)</t>
    </r>
  </si>
  <si>
    <r>
      <rPr>
        <b/>
        <sz val="14"/>
        <color theme="1"/>
        <rFont val="Candara"/>
        <family val="2"/>
      </rPr>
      <t>Excedente anticipo IVA bimestral</t>
    </r>
    <r>
      <rPr>
        <sz val="14"/>
        <color theme="1"/>
        <rFont val="Candara"/>
        <family val="2"/>
      </rPr>
      <t xml:space="preserve"> (67 + 68 + 69 + 70 + 73 - 66 - 72)</t>
    </r>
  </si>
  <si>
    <t>HOJA DE TRABAJO 3 PARA EL USUARIO</t>
  </si>
  <si>
    <t>HOJA DE TRABAJO 4 PARA EL USUARIO</t>
  </si>
  <si>
    <t>HOJA DE TRABAJO 5 PARA EL USUARIO</t>
  </si>
  <si>
    <t>HOJA DE TRABAJO 6 PARA EL USUARIO</t>
  </si>
  <si>
    <t>Año gravable 2025</t>
  </si>
  <si>
    <t>LIQUIDADOR - IMPUESTO SOBRE LAS VENTAS IVA - 2025</t>
  </si>
  <si>
    <t>Borrador Formulario 300 - 2025</t>
  </si>
  <si>
    <t>(Casilla 27)</t>
  </si>
  <si>
    <t>(Casilla 58)</t>
  </si>
  <si>
    <t>(Casilla 28)</t>
  </si>
  <si>
    <t>(Casilla 59)</t>
  </si>
  <si>
    <t>(Casilla 29)</t>
  </si>
  <si>
    <t>(Casilla 60)</t>
  </si>
  <si>
    <r>
      <t xml:space="preserve">Base </t>
    </r>
    <r>
      <rPr>
        <sz val="12"/>
        <color theme="1"/>
        <rFont val="Candara"/>
        <family val="2"/>
      </rPr>
      <t>(Casilla 30)</t>
    </r>
  </si>
  <si>
    <r>
      <t xml:space="preserve">Base </t>
    </r>
    <r>
      <rPr>
        <sz val="12"/>
        <color theme="1"/>
        <rFont val="Candara"/>
        <family val="2"/>
      </rPr>
      <t>(Casilla 31)</t>
    </r>
  </si>
  <si>
    <r>
      <t xml:space="preserve">Base </t>
    </r>
    <r>
      <rPr>
        <sz val="12"/>
        <color theme="1"/>
        <rFont val="Candara"/>
        <family val="2"/>
      </rPr>
      <t>(Casilla 32)</t>
    </r>
  </si>
  <si>
    <r>
      <t xml:space="preserve">Base </t>
    </r>
    <r>
      <rPr>
        <sz val="12"/>
        <color theme="1"/>
        <rFont val="Candara"/>
        <family val="2"/>
      </rPr>
      <t>(Casilla 33)</t>
    </r>
  </si>
  <si>
    <t>(Casilla 34)</t>
  </si>
  <si>
    <t>(Casilla 61)</t>
  </si>
  <si>
    <r>
      <t xml:space="preserve">Base </t>
    </r>
    <r>
      <rPr>
        <sz val="12"/>
        <color theme="1"/>
        <rFont val="Candara"/>
        <family val="2"/>
      </rPr>
      <t>(Casilla 35)</t>
    </r>
  </si>
  <si>
    <t>(Casilla 36)</t>
  </si>
  <si>
    <t>(Casilla 62)</t>
  </si>
  <si>
    <t>(Casilla 37)</t>
  </si>
  <si>
    <t>(Casilla 63)</t>
  </si>
  <si>
    <t>(Casilla 38)</t>
  </si>
  <si>
    <t>(Casilla 64)</t>
  </si>
  <si>
    <r>
      <t xml:space="preserve">Base </t>
    </r>
    <r>
      <rPr>
        <sz val="12"/>
        <color theme="1"/>
        <rFont val="Candara"/>
        <family val="2"/>
      </rPr>
      <t>(Casilla 39)</t>
    </r>
  </si>
  <si>
    <r>
      <t xml:space="preserve">Base </t>
    </r>
    <r>
      <rPr>
        <sz val="12"/>
        <color theme="1"/>
        <rFont val="Candara"/>
        <family val="2"/>
      </rPr>
      <t>(Casilla 40)</t>
    </r>
  </si>
  <si>
    <t>(Casilla 42)</t>
  </si>
  <si>
    <t>(Casilla 79)</t>
  </si>
  <si>
    <t>(Casilla 44)</t>
  </si>
  <si>
    <t>(Casilla 68)</t>
  </si>
  <si>
    <t>(Casilla 45)</t>
  </si>
  <si>
    <t>(Casilla 69)</t>
  </si>
  <si>
    <t>(Casilla 46)</t>
  </si>
  <si>
    <t>(Casilla 70)</t>
  </si>
  <si>
    <r>
      <t xml:space="preserve">Base </t>
    </r>
    <r>
      <rPr>
        <sz val="12"/>
        <color theme="1"/>
        <rFont val="Candara"/>
        <family val="2"/>
      </rPr>
      <t>(Casilla 47)</t>
    </r>
  </si>
  <si>
    <r>
      <t xml:space="preserve">Base </t>
    </r>
    <r>
      <rPr>
        <sz val="12"/>
        <color theme="1"/>
        <rFont val="Candara"/>
        <family val="2"/>
      </rPr>
      <t>(Casilla 48)</t>
    </r>
  </si>
  <si>
    <t>(Casilla 49)</t>
  </si>
  <si>
    <t>(Casilla 75)</t>
  </si>
  <si>
    <t>(Casilla 50)</t>
  </si>
  <si>
    <t>(Casilla 71)</t>
  </si>
  <si>
    <t>(Casilla 51)</t>
  </si>
  <si>
    <t>(Casilla 72)</t>
  </si>
  <si>
    <t>(Casilla 52)</t>
  </si>
  <si>
    <t>(Casilla 74)</t>
  </si>
  <si>
    <t>(Casilla 53)</t>
  </si>
  <si>
    <r>
      <t xml:space="preserve">Base </t>
    </r>
    <r>
      <rPr>
        <sz val="12"/>
        <color theme="1"/>
        <rFont val="Candara"/>
        <family val="2"/>
      </rPr>
      <t>(Casilla 54)</t>
    </r>
  </si>
  <si>
    <t>(Casilla 56)</t>
  </si>
  <si>
    <t>(Casilla 66)</t>
  </si>
  <si>
    <t>(Casilla 65)</t>
  </si>
  <si>
    <t>(Casilla 73)</t>
  </si>
  <si>
    <t>(Casilla 76)</t>
  </si>
  <si>
    <t>(Casilla 78)</t>
  </si>
  <si>
    <t>(Casilla 80)</t>
  </si>
  <si>
    <t>(Casilla 85)</t>
  </si>
  <si>
    <t>SECCIÓN 6: CONTROL DE SALDOS A FAVOR</t>
  </si>
  <si>
    <t>HOJA DE TRABAJO 7 PARA EL USUARIO</t>
  </si>
  <si>
    <t>HOJA DE TRABAJO 8 PARA EL USUARIO</t>
  </si>
  <si>
    <t>HOJA DE TRABAJO 9 PARA EL USUARIO</t>
  </si>
  <si>
    <t>HOJA DE TRABAJO 10 PARA EL USUARIO</t>
  </si>
  <si>
    <t>HOJA DE TRABAJO 11 PARA EL USUARIO</t>
  </si>
  <si>
    <t>HOJA DE TRABAJO 12 PARA EL USUARIO</t>
  </si>
  <si>
    <t>2025.3</t>
  </si>
  <si>
    <r>
      <t xml:space="preserve">Total saldo a favor </t>
    </r>
    <r>
      <rPr>
        <sz val="12"/>
        <color theme="1"/>
        <rFont val="Candara"/>
        <family val="2"/>
      </rPr>
      <t>(83 + 84 + 85 - 87 - 86* - 82*)</t>
    </r>
  </si>
  <si>
    <t>hm97hTpV0ZGJH6eccuQ6fEFnZUuDV7FQlvnu1ulIZadZfr16LleQKKvoiZz7bErVcmITTqU84Jix6zDVTDu4BYcPV1UhvjuLT8HNo3pfPOZeyZ6GvBdLCp27jd1rMC9VK4WOjjbMtwhLdNVJZHF8R9wnQLhx0FmF50xipiJTqqV9V9r0mNf7fPEUn8GdCH5fvYNf0gQYk4eh0HkdOETZ0wbwTFYamNNWNNyIvQwsbtjjSkO8nicOrMD3epJFHUaphSLVrpS8m0xSZt1I3FWyMRrfz9GlTXWTvWTk9OO9Di8H8BqOgiZzy9f1FDaP81aWQaSwAvpHZs2Td4jkH5Eeuu01OshNQnPFXQBIYZj06bqIhBXb0SenTS0x3l1Gb39qtGPL7iiGNV9kFyyM8LVY5UnSO01rBV1OCylIYeE6FJNA8Qv5T6TSK8t7eeikA0RuS3A5y85RgKpm2zpX8lM4BjiOjiHXnFj57q7u8KSMdno0MEabiQooU2VvoipIHNBqX8J1DtjbN20QCXs1KUgudmCvHUmZFfuWd3B25BVAtraINfsbOnjOIso5oJpRapwMgQAnWSIcjefaVYua8cjkc37un7HRy5c4qiMh5QEYofxkI0AkmO5cDPi7ZxiIYzz1w2NTC7luChiaFwI4YULby38NQ1lDXaSDQiCTGXL5CYUiliDBOLGqzSE9XUPVixmPNmOEusaxPGNP8UIP6UrlnEQl3MF3B9NknmDSbDBv2oB7Bh5NZ56regNwwVvbxJzBrC8enWQf43cEMwbhyIueiYDA6N3W0RAdIav1bIQXCGAI8J7xqrx75Pdvg0iwy9Q4SdcUT16ROlJVmBd7HJrqNbfpbBp54ImxfZMeF54fgaO5d9c5xKpFqJggnjADN88mJDEp6pJv2MOMEhEKCSdDbyobBW2Tg5tJ7LvI1wgATocJXyiMXOI8f28qpcc6XYrRjm7jsgB8OcHpNm858ihLV97uGTpQYulNfilWMwwJ44O5JfaRIbYN9n06xcJtRRgMknq1YiyAhf0mGQYw1KtIiwD1VCazj6Bh7BN8TAo5DeBFKhLSZ1ZayVXnSx3nCPoOb5dma3vh5en8ibrxH6PdPgLW3Boaw2MC1T4lY0A8vTmgPo8YeG92nrN9SlJe6InnjorcYscnC53SwraUAfnDKVpDABAqWrXca0YmrZ1BnCq3EHuU1r2NjxFFKgDR0Pvyo6auA6vt09jJr5XUU6zN1Mvk1lOsBwM1MRG8SKu2d8ona5YorZZpKOcOSEJvtBjyiaqLaSM5Sy7siLI0LWfbAyvADpBQuKaNrjjL9KzDohq50Xy6CpOAO9vccVXjn34fryGVeeU1MzKDS8d3S76StMiBrkC7Bjv9tKySRFxRdN9v1id3J3ynxuK1To0jc5HXl55ut1jJScr5c2zKfFaMdvJGirmGVIVoWZ7Z5jONecA8H8OmAyUN00IhRm188hWl0D9IUopEaGUQh37z28cuQaXVmvRo6FxHTBcYIkK9GhFwTuRwzS1cdXsEwufhww3DxaQOsy3EwLgVfjpZB8vtrYkHH5gz4A7Nfyqv5uSjvwAxP3ZjEzPeGpecgm8STmWFWEMjtre8hBx9pGqDbCu5PqwlqSEghf7EQAYpCOWao0ai6TE3kv0Ceh1w4iuhT2AzR854ovzEJZ5vc2CcEQWxAmftWlvfNd9lk3ocz0p2QcyJbFAFVRMeX6fFYYJGb0ulBUiXIbUKB1XAV9GHsMMyvpH34x2i3wukrehbSFXZExPP1iTK5rJhRXvLLcU0DMQmJI2FyDnc9aoide7mgm1TEZ4mhfRQO9HbnFMlxWck0vA1rN4JMHYpDEwqZ54FRvhtOkUU7JhJmPBKQscpDyEKXroum3xjKE5Be82SXV3grVVmfbyGLNJUVKRRE7QTQ5JlozQFlOc29Agl0iy0VZJMt9q2nqIiAEbHmXFrFzdyDTdFEww1nWNr7ACQSLvgKQus6qt8j8DtJVxfiZ8JTzFMvG2rWp9plg9LradjfowHCELb4pOeItuae2GuWNrQQzlpqRzgb16EHaLJ5YtBj9gG32Uzru12tTycWV9hyf9CGZScgtkGLREILMC4dFrrBIMXWm0Nfij7YZTsafVbSKokFHyTXEvW0rGpnte8XEtwF3VvTV4ddSk7b2KWPh7fwSbzi37cTOig7GddofcveJiOAvNt4Jxi0WF3qWLOChf4Kz9CamjqDZ39b9JDESPgDLeOqJtKkv9oaP1mRwfVxXKwrCNMqDIBrgokHUztiD13kS4fNALUr0RKBDQ1vKlG08BGVKmlDm4rWE5bf80e3AQqOaZxU9CEtb77JSKZkZ2ZPIBCXdzHWmIIQXdM7o6cMEVwES6WvLdWM82FbcWMvA2pDDScBzFolnfwz0QwkilFOYyiu6J3iJzpoBEtiHBAkI3E4kwmLcooEssdePbuvfG8oxYKIgfuDE3sCdKYLiW5lIZ9G7W2xP4fIQvkmjuSjw0xVwsUkihzUrIz4zI5ZinGzc9s2DbofH5iPYnE5ou87mRjuDriSeTtH14m4zWrNAMsEPGmm6wrvQxbR0zt89GP7drCSRATFtO3rvapeDjNCtqn0dhnHv6tY9u2X6cJfA8McGWDFMZ9iALik4G0ozUyPD2XhSo2Bb4ijqFJp216aYKuWg7NFgHHRqHehPN1klu33rAPa5TMVYQqFRLJy4FPPKfaUwWVpY2jVN6KLAQuERYNjrZHpPSG9wG5Bvk2L5k26Qat0zu82Sn4Tr9cOY3H4v1XGRKnA2McNCXVHz8GMbCUtvXRAo2n2FASARp5Kqlm6PzN8sdfHFNAkvDyCg20kMhQxdqczQlFhDdQwYyXeNNkcS6Dsi8GThITCgjXdF8P3yWcjCiJzNUlpy0Jrpk6vsUJdn7yynJO0os9NBUUNAqCkVuU0JxbpNdz8dViYDJwXiBWPIlocn2xM66KgauLkOWnC1z69g4YEtnEV1S1R15BbqPUtybr4ZYoZ11gC52wkDK6azOTrioa1cLyLGTSjHH7XgyavJSSxxTBOkdAS8qKzwve3LjiRmzkasrgEH8AJgB3QondsFZeyAigRGnsAkEF8JQi37iDVMS5OSNsP1pTpWjWAcBLbs8QcOSoyPiYDuyi4Fayl0PywzTdhI7iUnTTOZWkCK5Y8OBO7btkvACzX9l4dOV0cInAaU2BsJpmtt64nhCWFumCyBUlSyX1xmyOAg4kTWAsBFOiEFKSSzLTHh5Ze18quQ6w710NqmG63IRrzDW7oOtZHXcczwLMw3pEWX9PbFjBgWKo113PI9zHSybooEz7xq5XrrvaAUiRw1425MoojJIy47ZD9AuWx2ZPwo7rdYmXnA96NQV5AJbVkmG6ifSzPxcLNDOjxw2aMUsnKCk8Kvbphd7xgLz5ZWNsewaRdyzxoVvix5iMlTBfpX9IcMMPhmRqdCiBiX2OB3A7DHTbQbSfBq2ODza5tc2NFzGA7ljZdQyWu1uwusHonxhVrTWGa9IycL4yOBT5XDIPvcGpdrtONJyWnvEkASTO8vTooXyAM4fQNFTGMfWa4YD03bbVR87w1zs89Iozh380KVBjUtx6qIHY4Kf5QyIM5zytxgFOfp33AgGLou4Mgwhy2riq1dJP8Jb7kDlrxq9R4WfUWOgjHSLljkoUkWDiJlN0ezZ7JK7fTiteXfux0nPKhKW8sHEH7nFa38Dfpnj0Cixock99acnhVGKBCiIrDU9BN97vyMIhlpndkDMmlZJrSPDPryvtQdc2LgZK6SSvFnUbphJG5ENxXMmZm8au3BXkQ9xEGDhWPgsq4pZvGmKbyrkvERHo016dS2P4QeJmUjANhX9TaUjjUy5agUmVW6z7QoutEZ04Nk5i8KBYtVShE6YzZg4y6vEOWIGigbTTN6AvMWwgFnTpQt2OWZdMptmbhNqJwWnyTZRmTiIY0VbRmfldZrRbpqXhhusFWDex1YtsTuohLOcy5ycnYAnDx5kew24cpGC7yGCrbn9GwER35VJllV4LaKBowEyiNTwlpBaqTNIduIDGg69nf3dKo4SaVTc9CIkYbEPLwpYGmWUTR7boQexynMITlvK3aZr4XD0xsflxykyTWyAsmIEjGXGfzh8fQqAWCcugXs0zs7eaRAe6bZUevA82zqAuPT0yGsjQbGoLf723M2TiNUvyI6wnZoHuFa3xnTcztZ3aPXOXKkFYs6a4qCxmKJpZcF5yEfgwP6zXPYdONGrIOmk2qDa6EYeQeS53h4kVwFMPkifg0BUvXhFFlkvIpitopmyw75I6cXOePB0d0IzVG0GGIjDrcVBhi7GHfeYbm5hn6yUWXXWZUyqxL8wsaghqfvZKy1EpNPspQFGmL7MUTJaI1NwBsjZt9QrknIqLgg4xsSej3YmxDqfRklcUghDrU6MbbKWQ9wPGntHoPW4CVnEFh7R67lR06CG990A8tHeT2abeV6MZmin1K7Xlbqnci85In9fIq0kGub1YJfiy3TncjVBrem7XqRf24hLhOdnAE7almYi5YZC556p2P6YWfn11YJpnNw5gZBlDDo5Oq2jwtrABYlYZnnZDExaxLy9Jcw49r6COytZM1QfPEwqDTO8v0sAhi8sA246v6J1obrMsOWoQOhgfzw5e4CMT2wqoJUOLuDr2Jqb36vmTlGEXosDROw9FiV7HD7XMSlT2ChpveDNtB1WQMZFGUk0gLdJFgeLZTwr39jCEWlSjBYE7UokOZi4DFgCEMb1j81UHkkR9bT4FHD1gx4xshf2h3Xul5tQiJNHXR0boZaSFiFdMdqbhIYN5rEvF5A08n2F2Vtw17CH1N9vpBwngFElhtSfixNci4hO8LWEHCLKllGmzctpeJ6Md25oTKeFO63oY4q1lUh1INavx1M3jIAkW5d0Esmhd3mkJzhKjWjcUWk1LuqbvtiSU1NaOmcsRSB9H9tO01Irt4WCQEbv3gsYpagirFwENeI8YrPy7cBrGtbk59ZAVU3hHP9lU6puzv5uxb3n7DvHkBuRk02eGZACWUMwwgMVFnAFJXLW4YcxWjPXzszsH5yzUqTC7f77Z7Ktxd233wE2zKURpqSVnmGYjpkfuHe6dDk4sgQQPC3F44PqWZZkwSxSJUKE2SLUfhXTVBLIaypVjQ49l9e6XwJ80AHlNLQpzdeEQRi7t9lxVwN7yiV5WWPQqFkfZ38XyIJoMysR6yAlnjL2XsKvY5OmjNNSJ8Mp2sUcrhuTxF3Lm6rQpzoMZmLDnpWNJTxQSPcdpjJCTb1OVUxd5VLkipcnmKoFDbQOr4UxsT1OgsVJzhJ7HfsJ6ZU8nDHxrJ5IgHt3SsTzY14uve90k01yqfubZBzKJtEL4ddHzP7Pto4CYyjyPMq7LmdlfvLg6nnNiILA1k81xmpfIwxWMy6Kh9vKehpiatYICFz4gjeqUIJZGwytmonCqDpTZxgeMAOVxN1OdIzJiJfnqoCXxqDgLaEfvIoBJzl8HpkFd9q1SbRqUpxpk6CzJxusGhD1ARzFTZ7PSVtT4nB70xlebhjSJc5n58m4ll560eUtLCnb4ZQrIDCFmYmRYCh8ikq09mQCRCkiwyxmdRZjUV6Er6ZecFQ7Rn1lYdqKDnG0lLd31LI9f0Opjiz1gMELyg0mkKQfszKpEZqUxUYpkI2zLGxSg0tfDaaNucJgun9z83rZIV9RSlaxS5QelJoKERXwvHNrnw1nZ0gBbeah20iBs7A56r9PkmEQW5Kk4DzV8UM2cZOENNdAIMR9pRelaxhwGKnr3V4VQ5lzXpayNn6Sf6J8t0LcFYgPjN6apm5vL4OrPqLymjogTdSN8ZOqNQo9Bgo3bEUcna0RTLUVvVBq9HrtAmZ9g5UmHF8Wgbcv9pplpHLe3FpOW8jv7Ptv1xRS7w4phwEEvLWaCtqMRkx15akjm0zmVYEirYPGtybS8zmToZHYayFObgCa0nW9FllnkJAgUaAuVxlzFgUXzO1im87awjR4zwEwEX1OLBIqaXbWADXYxZIKYPegjgtpcEHF3EZ8UydHF3wDDZ8bjvU9f7WnszF1B6YLSW43M44JUJfZBqQXhXb26vrYXwe7tY35UJBAoQkYZ8v0FIRhoDNIahHeZGQ2jFYLXjttotZftJCcYjDvi1CWiMSwQv0IjPhUvbBB7QYeh2u5UvpMXC017It3cOoczIsFzOzjXTdgXg2UM8kB24tRNBGWfsESrPrLHNNYRXWeLU2zQImTdhxe4DxgZFBnaM8RNbRKKKaPaTRb2Oh1C6t3aD8Qp47Xr5EsfsojW52yyO66jw98hnluQcRtkaE1Xmc9LlOHLpMoIX0AnZgqyd9tFYlLkMmOGYQGH7hxzvqHmu5IdIBnmGhEJdHcJc2sEgxUdINtDetdzsPKJT6eFuUV3Z8aZ3M6nHfC3obt2P3JoAXRRQbj05owu0gJCkw3OMRsJlup86R47mhINTczT8Y1QeTtyAMptzBZSZdRmaL0nm1secVkH37asclOsa6uJOMZ8f5uKqhGHF5SpMWeubkOBNUkDJ430WB4vhrY2j2BnTsUpluElsPdw6RhP5oowwEZVq3Ey8RvjmtZUlEXZfygRX2Sof1pVutz9pko7YWjdoeTf1kPCuyz77MXTYRjJ7sBLjeikUVWUiJY4Ae5JCHRISDSyEUWfPWcsuwh8A4WAaFvCgtQ8aOUpjNYf4J1si4Q8Eyi3b0d0go7DgxFdxUXpdRKiqmagNq67TWhSgnnXTt6ab5PeYdSCvf1uxJRLYZWZlBkvLLXsiW0l363eu1EhrYUt9SOlHfBRSRCkafst4LT6ZIidZboefDEn769U5xvj46dB5z76HRGZQjRz8gtM9t3iTjOu6s4lzOZobBmuscsw89b1tQGzWd8cx1TESMMeJ94j1xNxq8gaZ0eb7zqtWH5woxoRXLOwWTLjsIwG0GwwSpOm1ylLp5DGdTYrNVmM0BlGSyazYawZ42cxsqb1qNf0lddVvb6I66SV9KwtbsI5nHgrd7STnx6hUwiTpWjGTqXCNxG1YeLWqoYFxyuO5fkRL5IeklQEjCw6eAbYMZ5MuqaxFjhIRv1UcFaueNS3H2OgIJGslveGuXYHDYa77fFnrmjE3FVAYPwCVVv4ePVjiHuTE6VxgjvNZWKhuO33qurifCWqz0Tj8OcFDI9c4uddaGdpPrCYqXVzvZoiRRPYFIdpetFCxkbLiI7NffDYtsacOEqVr9pYRKr9zZ87bwPgPxaHHv8y71SLN2i4uJiFByD1tMY5BNmRi7Hb0UzQOkeyvNvzavMccYc9SuRcTubvSOyBB3JsdJBfz4ROSH0V63OwVnVNAolB6Nz9MhkJtkZ5HL7CsuqPzDgbeexVmiShtRIWDV4d0iRCeRzsr5lm7c80BwJ4Z1AxdI8f4i5EihGdpb9UP87exPVdNRcbay3BhC6pCUhggTKg7fZFsKQCxn1nzhrigdwWZpSILoBZcCxYxqWjGNIM7zr7iVsIzTxMhXhbumtmv8TqG6I5Ie7pvdivGQSiV6homELEwtEUVEJMncq7jsGrhaxqCi7ojAxb2fY8cA3KxVceW3t5DxisMuzUIrvowUnj7dbVW3BifLuXuN2UApn0XbO8lV28FQDYgkP1fKWLbZWPFTt3HYd5cEU0YNRPyQkJHHYpzL6gqcttlSXrjdzO1gwMCXi2rzxoUnxGNW2XzlK4cqNFMKpNV1fbr8D393DoRKSoZZx6zY7Y4TnAhSuJRxt5eEARBZMSoHpn3tODc6xn3o2TZnkDq6LrbmPPlrgGuNIL6oAbmekjbsqr1F9cjFS2eyAnxCAzPJ8FBbu9qfJBAD3rA2cFBtQuRSuZ5mjhzoSencET2iddYPsoAC4UHpqxRi5d7jApnIclK6G0qBuq43p4vGISRTghufkeEBe4lylie6MT4GrHoHmBYrO5iHtSwSBqcgnmOZtt34UUd0iFXaYkutFvV6vTHapEi9OfFRTvnHZMpUN3xamTaiLJIhVruXF4HzCkWd3IuMWGIpJbOly5EtSocDyiFfP8Bc38cMGywXL1saVgHASgohc6J5PJasCfLERmBHhGruSdwpODRmFXzk8OfRyj49w8eC9oaliS8kDbgPSqX2MPisowpix9sd1GMj4l5qS0Fe5sXYwKmsU0IciPhEepQbqGWnRxOJ7gQFv219zUHfCe7LJuKTGtXl3r828u02IqhhdY1qYbHHho7LenuIyWv9MdjeEsNLgAToDCI9TaGHCC0NPYpbvjeEmZLvi6xTdjuG9cii6GEfDlp25VagH8yjDtq2fiLeEIVN2Ko96EUOtx52pBax6KdsPy3p9CiDPhuTOfhjHwOdcY9pHmHqbFYnBgE9uNF8zU5lgX1xk6ihMYRBxPP0u2wcuDdv3FBtW5PIYy9GAOV4OXQPEKn3xx3pqeOAy3iN5Zp6iN6ioEIGwUNP0wpmdTM6PfvkISL0CYI9L9IXrKPk0AkvKdpqoID78oGi7htJOcJ69GAhhQIf97ZLk1mV4bWR6iH3nhK3zjY1GyHzdkCoNyB9GbcDg0PiuAecVGAtTPxXdBWNlDlmgUPrzN4DfGAJtc65R2bD9324ISiPBQGzzMAhYY39JZZ648MPCwXnKyMNPIn0HilT0JrdphykbwGw81rSC9P5oAuieRhuqGL8wZSLyEZmU7SAg0Gg2raZUxkP3MPGuLhpDfgmrflk8CUOuPTfZgPrdxM3HCboK7NkZqVbIH3dhazdSgKU5y8aJVudMzDca5x5sT1rhDLyJMnvGdQoIvIEjwphnypnGxtaMt4k1HK3DI4TFiB5VChm99NqEbbk6EHid8CInwYQKhhMFSuLjnHboSZdSQKEeucjpbSzLfy8ppda29twcBuarWWhEPYOwU368HESoXEctmyE9V5hT5Z7QNvNnfYV4ruvDcVaUIxLJy5sdNO32jC3Q2Fbrrkb7wuUgjLlnrQZPB726ldDKI5H3MDXn1mA4ZrI6e5L3KRvfm4jyA6WmJTnmUSF7Weaio8dTiwAtOScHBmlhd6uO1queftIC6WsMQUjpCCIuFRBhUc9rH3YY8fp5VUxFTC9ETZ4PtRBThMqX3M8RQKZxBDJrK3rDvWKpWP8OcdKM1Mw7I2a9PyDg52DX5eZJ7JjfWLgZK2Zvvqbk7Ck3iz2HO3QTZMaIKRhyDjc3WPUiG0yTwLE4qzPrxwu44ixM3OiqDz18xS9TqigxclwPtbsBv03rx76Oiut0fhgIgJyCR0nmzWcNoLIOMhnzl3VUF2PkFiLSEkUnAd5GAv7QUnX88uZqWTDnWs69qtSbV0CkvoeNJpG9bNJ9aL2jpgocQE0Gz4UBkjdILIq0tmWKb29HN04Qinw1BonQZeLQElmJWq72a0ekE3FGTPcKQsKoBNgLx2k8gWsp10K8LhSM3aYhKdaizJ8y0tjq6f6e1bXbC2GLgD5ccavL0L7HMiIREhDoY7OCSLDKpnX10fimozSId9hFaWlvjb2o7fzjh7a0ovp632viuh7Ozyna1PZFgqtRN202zeEwKsw90nm2lS5eJoVU2wt8b4rAPuQQdV3TQ0SgG8ROwmaTxeAkCQWycariiSlgPZTp47QRyJNHlud6XQ35p1Ck5RY4Rk1PHcJiuGaOJqwhLUI3B5inGGrCu8qIwqNdycu1OP54TfD1T8nhBgEwdWFIPs41bYyUVfY8tMZSousR7BTj1WPeIS94AmwfxLcmGXwH4HPtcVWi0eDbxb5yrHA6MIPR5bXMqvJ0gH338AhAJq5CGgq3xz8pOaTkDDwCnaQhZmLEar7R4VKNGfTXknK1eGPObWDQ9Srits7yczGl1uVY7NtVKjFgxslNRk8WgcWNeOlmmeKczRnFwX7GqVW19UDGU9MKoAYqXZlQTRCvMy8njnPRQt5UrJoxHogkGwl7cdb7WHQ6Cgjq7RAZ3efoeIe1avfOounM8nECTBkIlCaUht5mbKZ0tj2EO5fvQmpkvtLy3unSyUK6R9mZXpMmGKc07tF9zuEiC3r4GsURUoEB3xLiNcJds2RkfQma63uXeVh0XjY7JjMw3PPz2tKrAedlrHNzwK6SAPHDEeDFtjWCOZRbTOp3GeHb0AWwtgSq5VGDnldDkgU3IYSQ7RKrx15XrmFwXRjR6pUolRLhcN0Gx95e1LmTAK6X5hfk8Jor3a48dAo4UJSlX6F42HaUIINBQtJ6ySKNVl6rPcLo4ZIryFGyKaDVH9uId23mY1yq9vaVmo6dvJLwSHiNVizioGFVcJgfax5LudLwhQnaAXG9gJzy3iGsL5spU0VHfOwHdxvVwJ39y1VSbhC9uTj05jHp2KCSKh3fZrpiYgzo2roTNPOu4o9070AS1yjmR1Vy8kbUjshPQgbgfUC3nAQYfEF0XPQZeQjQpUJhAruCpg4XCDSdXff2pPj1i8PjKvaJy9O2BSbtagwu9dqHiEs9a1rmrInZeWpKUPhvqBamnauAHUtcfF44wY0LofIlhrRpD9hj1il20pEQcaaMoi3PUpJE6BYbSgXArTr7ZN0jIs7MsVCoNKrMLw9yuBwFv2e4SZXuMdmOq0SjfGyauzBXx8w2dj6qsKLVnxOF7sYKRygOaoA8U4nAV8TeALRHgenkn1iAuqsETVR7ZfhCe1bMuqKXLeI9pmiQt5QMFUKieeoAVNcrn3UZrkAbwdg3M4C6AqwvT7zmKLII2ywCO4O8XTMnFPxD50PHDwOXI37RvY1Mrza77ccEJihRNRSjrJKXkrLCkX0uMMTtOcSyiOa2zUMzkYhjSsSiGP9j5LJgv6DoLlldowGbDQXF0g2Fr1wsCWDTKfrkN29E22csrNApQ5VuO81gWpaFiqmoKg28BIR9Zmzku8lhUZUdZJyhq24aUOVoFL7l3krMB5cDPDaR3eqMs5ZBQfkIsC7wmY5tBp1EG4MXjhsVE6CafRAdYK1EeTLyzcJ8w1LzI4qCY3zZ6UiVpmghjjL1B0sSnKhw1mqus4j01RbgwezopQap9OHdlaRoI4gAKcueRT3VFvzy6YJO55Fp8adiZZw9fpKu4NkVeXVIHwrXFZAUo2CG6WJkIvwACQ4DJXHxRDSawazXocip3GJvn3cs6cKv1tWYly2NgC5uJARu99po22Tcqe06KzlT9UEZBlw07H03U9jMGWl7bNlEqgWtnAnN1jeXGFB2DDe43bEDdS0GAsoim0bNQkRz5sj9s8Av0Siy1QBzc9xxwpGZCXHRosm1Q7oOxyoFR4IBqmsMPYakHCeytUSm5bQkgujc1OqtFxqs4U6ao2E0M0dVWFb3tsvQusd4vrGV3OGk5Um5ni46BgdPgabhf84fo0kNZTvb9O9YLjIgSGOMamM3hbvAelPBcBJC9Hkg2xhEZkKSGt1c58cjSZ9XN6EqKbezHW4f0yBkfj930sYFOMoGjuOEhXvRfpmrSGmsJryHbMhNhszNMQKfIet03JsbjYi7N7NcoseMn4rzp2egHidwdTCrTLsxLKkxuqKiOHFDZezWrzwGSwEqa02Vy4oHrRncxjCeqxejfo6s9uV64gpLGhlcbTKDcFnL7N9jojPjuA2O9livdQ7AdjPDn2zhi8m4qrSU1ORjX5isodXPPzcDpuXNpLOKRqSwyegZABu7S8BxrWwUF8xMcB3o1RF97kZlaNftV5SawCl1FH8tFCYv7inbHqFeFDczi2ueWpBe72P0gfHJJHHhIPoNkDLYxaAwldLeBStxmrHbFz4Ywv1RhGZbPktfiYBEbNbwGagkNOtu6359z6l4rQSQHIT9pwWB573iq25EihCL5DmkUHwC7wHUp9Se8GMKlofLcEdvjlOPU8DkZlTuhVDdPijP1Q0EqGTIgEcRExqs0VBFJsSxMrj7DEwHXyv5pjt9XI0kIhCCpP2JVLt8NbIl3FjvNyd3K1OU1mykSBEQg8CKvfWe6JQfAi9Gcu7znncP3kXp2u3YH07YFySihtomCKVzK0TRtEiI1J6auc1VlA8Wz0KlDlBx5cbHNoJAKSKO9NpfJfnVNVndlZUX1OGruOoOCwrBdGBjuYJRsUeZ4kGbhVPUmE7EssHQL6AcH5vqT5JydT5k8L5x7ZjjTJtQDj2PKcyS5x005GAwY27E57j24S7zIJggfJwf5wLYEH7zwsQLMKfRmWIItmyd9GELUr0GN1mWHo0sm7OvQL96llMQsd37JO6lxhbwWwbZjYIJOLXwqHlJglSsEWiBBblXYvxoTi3Qtgf3dqv4OIuaYINQLZ7qK9bXgBWeKDfIfkWiz5AlShBl1PudEEmjuQzFwmBcqothwSyibDzcfqGzSu5kGxQuNAyPfZyvjDwK5NKPMaVM7D7uvVEoCD9r8D7UE2DlwUP9SKKp0UX1AS2sc8FPxYc3lQBg4jH6CddTqRO1A7da38AihM3d3gW0YjRgV6d2tBmpUEwouozHs0bXTrXufaVmuJ3YWkG2olpSXwQigXrWHQxjr7lmL76pkdbpoCMewieYgeUwWYhNYJfT9qGUlA2XeldvMYpaZIBt2riwgZsHEms8BcrReMVGFqU6jI7X86SmsYEAmBlhVUB5UIA4mGc9f4HC2TwjycNBZhWPUiEJcqVcJHg0OcQc5jN1LS9BMLna0nvYaVZa95fw4CEmDH49evMUHaEc7PQFCvZBgBkKeyOlAmPe3aPCyguwzGnjo6kc9Er6t5RvaZO6SFU7RvpsOQXeqmSlPMcbQQeLjeIVpkJ1kxd9FxNNqbMVnc2MXDp7kKqItJPLVhFcAZCjEF8h4zJBsRVH3cpcFVyMO4rfIbUE14cCW1OCsOxRk3aBwOEXz2JtvhKDST5ETQif4oK2JX6Cgb7eX1r0EY0Rbm0gHoI8fDKAeBa6bSmDMDUL7NAMdj4YigWWhfQrsVH3ss4tcR8BFibSkeMwy89Cjg6m9yYsVWVmJACNlO4yte6Hdja6f9FRFRwfiVeL1FYuSqjJRFqmaVms9Jg1sTxZFjF4MbeJgYDFxJMEYpJVUjadeOfGHLUrWyQYTriH1WsL9PETYlCktF6iF5gEJimm72qM95Btek6da93KWb1zsvbTbYqjTJeChw0uWcNH2roEkkEf2F9aUnY0my8GvzbjfxqQwke4jOVAULGioSosx3p29giBs9wVKDDYM3eLJa1DiKBVS160Vi43HOuEZb4KXEIjtxd7nwVyvh4wy8RcVZX0cYJWGd6SHvbTjGf2jRifjcplNlzCoENTAvlbiUq8r7aUZNF684WYzfKJduI9OyR6YuhMubDBKqdRr73dd7wXPFKoO9Nu2vRsV45eLn4BhsDMnXkWXYbXMdHJQey0G4P4LUVnTTBTBeBsHeWN5qyMmIaSqIqZNTjvC0N2r1kzT4FbemJNMjPhxLs1fZK4RNAz5HMh49EMt1ARz4sho0wsoFFVQCcPysGmFvPNHyjLyeZfMKIm77sVPlAZBygWI5BfidsbE2u4skwxItTWzL5YzJsOXWIgnBQGJvLxp6Y43vkThAt7Qj7maHXoJZ5uJCeg9XWlJbnKbpnVJiDGTorC5Lcrx5wZdzuodsHKPKq4F9yzun3AaG2TnvdbOrAhpP8R7yG8p0bDWKKapsueuzniJV0y1rwO0quq0nqGUEGaNLfxwq0VHnQ3Qa5zGwQaEpfow9cXaqV6F3P9U7KTQwv32ZvUk7gWjshFb40NTBcR0iiWE6XyjsCbVfxI02hynohb1zEAeXutvIvQGvTgh5MSEXMyfgqdri6sWCVQt65ep7RoMP3USmzdSONYkhZPXNtliAQ5TkSLE6yII2QDXPXMkGLGTJ88wlURU7cHjentT8ui14fzZNpdvevZ8mHue11tWsmXuP5MEGFcZeFVZLZVAgP8PMraYHuWT0QRSs7VI6UUSi2HlO8kfUgKvE6JpFKCHBEtmS0sgevcPeDllorcCMGFpifbCOPJ0me5nrgnntvlBC8CW53HpcXavLDe282j6vSZeT6rC3vDWHQXgRx5pxl8kOz9OzvI97WqZslGJuv3ni8pvcFVR2R7Woy3ZFBubg7fnzkeqNbAr8ucXv16OLQxF8CmPVbbB5HeIyHpEFHVhwEOaldKAqpes4BC9y1Z4AxK9FvNZ7RkZXiS5KpWPxc1mDFOwnPAdwUxchzy6MPeLNrbxIemdPzmhaKE3EwQMdOQkOF2WAPfaKrlOnjwOORcWwjvSDOzJEliLKxFuHbRsnOBWgWEicvOt6ulsvVRZYJMc39RKFNMzipuGavT2qBGH22XRdEmFNfNJPKqydtdwn5bMVz1WAa6xfG9CnevCqbwVsk535io0eHSMtVGDJWGPx8NryhAPWYUICx3OPv2BCj4bmKQAm2d9TMpQUmvPMWjzsmGVQHJTOsgfl6ZkUC3oiS1NV3FAOMjsz6gWqIVusrIcPJ9elrTJ5reQu8VpNKrR3tXcm8Ni8L1oksavrLxBsuv1mwFFSjDsfu2T0mDxZ2SdeM4tzaALmQiXKVsGKRv4Ywdi7a0zTQTj4TCpufYw13rOnoOpUtnbJoKgL7dxJpkRaU3rK1jHp1yp5eCnm5IZ4mMoQNBz0wJsUBBIBIHO5CPBW8mghM7RDv40RfA5OdUWgUaR6GjvEVB7ktQ1KgifLLLZ2dFiumP6iuhODj9qsbQpkkeuM6Vl0IOm3ybwY6UJThSXt8lpWFyNsvZZaP3mnTIphUamyYeUezzqk6NkTt0xy4z3GpnA76Y5E2bRRXW6qkmlsqoMhtmEgSlkIYrI60unkHVLhFxAmSP2d1FaWo3sSLi0z8GbFp5uJWSR635hCPRLdQQsFkTCfQg0oksdO5nrRmULbMcQQPI3p6OXYE0TrPnRQoNksBStK3S9yJNH0yAgd25yb2ZVzohwiJEl7K7177sR6sC7JqxB2IP9q3ZDxXfK7M6qnLK2F1VUHlPM8o5w5ABcAgweMhWLvmtHjHbB3s8UeQSgMPbfkVwKgBQAfjfF8HyLmxx0NbROwqT0pnW0UM5dIpP0dCJ4OEaSDlEzjSNcke9YQ6AuMaBWQcjvtP8rgibBIZyfkIa54N1efpIO1bJufmwJPtaKELEZdKI9sEHCxZKQ0CGPB8DokegfwprPv5qLwvRdt65rM8x6QFAmCMmTt3W2pfw4T8dCV3FFaLO5YIQM8Qo5mQ5YbL7txNeelCfeNxPL0frRtOZ8fQW6NOUgunmfFVgfK9a2eADF5RFHr25jyM8m8eY8CTBjj2ErEwjYR2twKRjviIlSJPPhkrRbWkMBUBIbTaM0VekbYCVYMRPloJ1XBXWDByqTAg82uKaBwWSr2qklHkQOXe6nI5Wd0PQH8npPp0zQm6ZD4566QHTEDGc0Dp2RNN1W2634L7vfNkIRzydUn6ANdABlk3gb75cpfDIGNWBSs66b0cELyRU8FP7CniL9OsyJh9OrDCxJlul8RDVBWagNNhOJ6Qb8tVQPCYItBDbFfHIKNU0AqMPrFlaeMz7FigVfF5COfw6WIfKociYrTyahZyNG3hL2cZALWGrYaIR9jKIUvEfivvx8m6Wt7JPXkA7AQCBor9NIgVcft4wFA47BhwDNzgyK52JQT9kTiu1yxEO8fs5OjAMaxBoYQpLZJ0vi9EMq2jOnlpgOZQIO3KsChzkhkMH2WYv7s4RUrfvyPZ9TEe5eyTArQg5gSBfJ5N9lB1CpChQV95iQVCNs6y6KJukSNj0eDMCuOlVvxJ3CNCoE4ZIUKUoaOKem5iejJEdHeDZEnYi61I7e9M6Bg4BMUHgDdxeRM6v1PbEtOyRxJrEylsvJnQyzATdgIF3LWWSYN85IOv3WcP081g2ZHEdzv1UnO1lXtCSb3IxbOYhojGlhsdEBJumnsL6r6oZmk7Iff33oAqKfbcuQvUNt60gEFPKmREmu34Xcfk5QJor2ZhuKyNOua3w4hW5nVN4Y3rZgQvIKP2oGv42K2jMDOJyzaIES5gVEEaDfVOrGUjSvf0Twtd7IXjM5Y37ppDI6qhlCpOali5pwcGLGz27yPhP7IgWYcUO8wAHnBPZz6TezrVQFgg7raoG44hwujXwfuXHUrbzvOQkqBswG7r7H0b8bpzqGq929Mrlo6zO0aEaWEK4VQt8wx4Y1ct83OeM4bxc4BLG4wm15Fzbl6eMBv9AtsykFt5mcdhZRyVQCBix595AY2sl2cXfsAw1vYDUmlDJzszyk2tZD9orI4SsU2vZG76bA2ls1YFrREa9MWdr4cuAHT3Na4AOcwzgV2pDqnXXnNnoOv9tFz2IBY4HTXvibUr2aQwLqcLxUeETMCx0dWqaFX4CjfzXxNrzRVevooEOJxXsNU5ns8Bf7HmyJXLGAKAsreAEUAgfqe6Yxnl73cjuiReW9pplzrOIAmWj1RkgjbhBHQomunGiNX2WI1Noxmo6sXD1iVQY0m4N7mFxpZUaVcPdX71LqaPMZT9FxBVaceei0xcLNgAcTsNYKCnw6xvN8pjA5ER5rjQRXhdCDCfpigmEnmkNFU974ND1imvASZRuevNYv11ZQq0vLQzoydryI18V2IT3Z6yvrSFeX9jSsxNjHKtE4h50jYWx6htvo92vrVLzI8qdsQKFo0AXbUw5ks6sDicZc8lykVILscuY4AvRKFo5Dgqwap6bezJgw5x6HxL8aPQgpfnFb9FVyz03JMJYAoyhdn6s9zaLUbZd0uEDt4tFz9AzMmqeEHEKSUkFwUlVyaOK3VcL8VZGeMT6zE6qB7Xmy40LCDHOa0i9ta9SmJzKkVmC7uAkEzn8j6jxQYkay5bJaQNLc3hohUGesKzkJSOr4XW03FtRIq49oFx19iSHcDqfXCAy4sjtSEvkBs31hThttwy97l7uWKICYTskBUTErzZYfwKEFIzIiytHKFKJgkVf5gau4iER55nrBaoJqcFDcOkeD2UjXV7DNVMeK0Lmc5fYVdp4r6IyFSrcLbitBTSsGzpPnFCvQXgQcrbTemXfZP3WxwPHF5huD7P1AvKxmeFQv1YoIdqZ4h06znn8SuXQVqWJZXPw9JYD0wgV7g15p6g67A8L2Nl3E0MtKuWFVfc42cX9cd4yCLHA3cVXWZENTJiDadax66zUuB0nvmns6wYiqvGNb6SDZFLQrqJd4B1tgwAAIji2BTwmtD0pK7eNvVuuLd0SsnOcLEs30E1XFO9pbJ2hG3oxvTZEqXS1FCTxrG9N3m4neBlGw1GkNssa8W1MSYhac8ZtUMeGcWmaliGRuUwmTbmqASIwSMD1e7mmHVm5JA1dp98CVIrAD9h99E14R8VvKoKqpRe3ctBvaRnD1Km1aTPNHHiDYW3F7qmPMcd0dP8VAGeAnbCEbiafRn5j7yRZQiWZ2Mst0YEFmyJC7dTRDkO7oSUDDOrMImEl9dve1YJpAqf7mJYUMfLWmt7axQtWiUr6QRbpDQPWOz3iEHG3lT80S93cCheIHzrEMRqfumqte58jz50jBfVSHJVYdaNgzp54bZllMWOWuhlqREFPFksOZkMe1O5B7o5QqEZhJxkOjrL2Sv86P0Nmo1yM54uA33TJQaLXFs1mdG0neVJMURpTORPOVLBS3GJtoR87DTp7xJIngrhuozKQR4mt3hVac3v3Ihs9BTXbcquPjdujvzOODqo3ThBU4PGBo4Ynttd4Gh9GNaPdMMweGaeHkCtl0Sc1wU7BJD4XkDQPirJdmM1AFYO4wcP7feRvpcyZvi3NdvaXVmJ3u4a2tLEBHBPC7LsnD7SznHuZmCXzs9gqBVNAloBxQaMKCc8y2zv93Vmn8CNvklAVvVjeZsn7YKjkKZh3eEwN4JTvkZ8pZ5Q3K668O4P2Uz47PvPKkxyT8kKFUbWxYZ0eEv1I5qqrutRSLJD79vKVO5nskD9lfJd7aWZFtkuMHGpYoSZdYr5H60DnRk8MvwCES9bgNawBF5pLwTfu6aPiOYna4bcEjYV17n8rjazl338AWhPSjxNNmxTPcgfkQIi8Oi8zvZYqaUjy6I6Ghz5l1oFaBL3PWf6pbimGmy5bIliSeBvKOJs4lW8TVE0nCOZRJTAFUe6izFNu2jYqyZmildkMOs1Smw5rLLnlfH7l9vMLCMplotxTJ0e5tvwtF9NU3gkMa7pAVogUAfr3gTTiulL0pfoLJp2IyJnE21Vk6q7D6W4d9uVG9D5nXaZBjEjHk7eIh49OZCnyKilxkBvWpbqlFeVyem3WWimIxlPSQ8mfCSu00sslQRldWV1skS1znY6A8iCtIAg4t0aMA9u3tjlPRXjOiS3I7WReofucnUYzgDQZAzdjZBnQ5d8DPD63nG3D732I60Ka8ehAKAPPdT3h3ctXOxDEMQ3KIMsXV28sMYSoVLNtsJLlWdjRiJLUIBO80M6QqXGqsyQWMLFgCxI5tY7lHAnWhTpSbUgqBegxDtMhovBlkipUPkVv3an168JPlalEyk2dUbR558BoDpI98NTPiBjKjnhjtej9Jc9YFrehHI4zK9kVdwG1gw9nhfTE0PJieoLclyAEhwAyt6bQOfLsQTEHTUmob3oYJxDxguatoXFeIbJCA2JXvrQFPMIb3yovuPqG971LCNJGQHKPApDOKoCyMkKhcwoUhNsqMLgAchSllUJEhaRBtNBgS7ev9qhwMQ0T7ByuXaAfyV0yHolr8IPVy80MbzGuiC1pKdzGCVDSR9nq7akMLxzBQmTH2VOebvfbMqGB4Wwsxfxu90HiUY866hqP4EuoOztiBneRHHzzO5jPFeV37WElnFsnIwThpywEopjceYqmuRq0Mvzmw41N4Pe87hS0S7tfJVladDSNf25qCh2UOk0elQTqoW6rsiyTegh9CPTLjcbVsj8VAsPf4DR0KUQ7Vw11TCDL7fvh0EMZOSWCEDXmVAWicWITYYMgKTU61IOka8N4GYszGbH8T437vOviun8W8DrMMytpN7NsLoDYJqVTWCAPBfQp4xdWwqhjyJ7TbOfv3V05ofVUWd0oZGXrYX2Tce6NHUzFOPILnz7cknUkf0pceJHwUjqaTFIpUqkv14chjTp5aodTglBmqwnqCwaqjWk8GoT9l0lfUPry6ONZksMTamH58SjicWuv1xutlasSdKQsymveyTBCTggS5GJeIvFvMF6R2o5FqV4yolV57DYLtZNZd1JMjRrdozgHj5CiMntS9WI2Fg7haYjepzU82meciEssAXd07lbQ2o9fZkxkfzvCXQV3IGuJaoHkaJW7rtvI7E0pFr1f9v0KKA5WztqL1aHvS7BV73Oz7ApSBmLLcM1MocxTKJtLpVDNb9izWOz9IhFBr7FDd2BugCCnS7JLjI8LmyYp7fTnZTHxk7ghZoiCNd7MYKmdM57TAGq7Oydfrh6JhGXkh0K7Qc051gquDfJd588Kq5lvvEDlnwq8Zd4YxpzxIJzAme35AS2Vtfh0aLC7bq2IYfZ16JyGwQAEBpz3FpIcCVwQuOe0uYaQLBoVXpYixKNv1zPMQwtbxJFiMFnEGFnZ1MkFdvdi6PQfll0PAFgxbv0c3aNeGoI5VpQK0Jp5j7HN7NoEZCApiRKt6qKzGUfcS8PGkTpdW1kcejjbR9MX8eb4q3HUHJYwQJgFq3DF0tISwLdwxHtAefL5W6IEiYVmjlFHEwHlbErKWkNbvf8Xzx3QkHeJJz1hE8krUjH4bRGJwDT1t6fmVkzs3IjA5as6K5rkKQ7iOLYLtgrSv4sgnQrGR81dellqfjDG1VcSD76IjvlFB2ENP4GTiSwZgV4aVvjiYm785QoL24a5nKRdYwOizIunY47SeoAGCUV0fPdK8764Ble6CjtdleA8KdhgqDNVBS2y7pJ88AyH2YOaKpPnSsv3greS8ART9hy3NVB3zvonS33Yavu37W0h90D2DO0UXLa6SWDL7s2ISe7SWu4QRA0WR07xK5NGv9hfMXLMz3GHVyMcvWadoOiwXdOBqQwPsDIsj2I90YB0vjlqfmkBG92d2dOEEOqCb0Mal920y8hsQR3NxBNsje97rFjqAF95BGhBCSyqcr88KgsE2BtUs1XhT7p7ruL2ENZwk6DiXau5yN42opvOpU7nIspsJRittDJEb8bTPwgQIjxLHWZ7hgNbB6tATWr3DHPF9My1w2ymP5Bd4ctIMY9pFFFeXL1L3nYOnX9mdrWn5h72f2Uzq1mMclT3eBPf938PbQf0ka7qVZ9FtOLmTF2kQARUjAyCSqPT3joAKGcn73BUwtwm6ws3okOcJWxoSOP5UtUynaPkvkqGBaZNSt7ofI1nw3v0ceXXBKWGKIenKbe9vf5WlY35s1dljWSXFb8vlvUHpbFc9Gz2fLjbqjDb170wIySzx7Nb0ItdOPcoen5lwOrLvRT8woMDW5aHqjBoFOmoDGe3Ro2k8E02vBYcduzNp069U7j7mYIF2SktKyk84gJiM1nhdyoB0fGpjkd085A8CcoKKFWaGJaIseSIIguYjA62k9wJG5TcbIUBd92VdRdHWGRpQ9xcde8zDW6iM8STyUpNLzkB94OwWSJllUEKsPGCxEA32tWB3kbHBx2fe30CsgS8yLmcV8wWTQI7PS0p8ghlN3Ufv01mecuJZf617eI1BfjtDoneVFvqVYZtKYpJMmYO0vUHzI24AxLLx8PCI7VRP8xzvmF8wFcsHXcqlxfbyWq6MOU47rbepeAVRBfNexBRh1P4de8AwEWyJ5IiOd3aoMzySEJxndLWqHThRxQheFYnisetUjL4WWHemXke7tbowdDC0a2AqhhgBLkgD1zgDLPTfOtVE0JrWta4saUduIcYjwszot38SJK3X7yVplR60zUKsShS9H4ZdMSPdnA6VEw29tbeki13x9ISq82wkUlyWWVzjeFbw3MQiRzZ3zQgzDI4PGWEQuJ3y36PvEk1INcm8hHSVeaPNM11cjjCdsdkgx7buTvsJejPBGueWBdMYWHP0Di9DI6zKQlkMdNFHhulFWdvJ0yZH1HrTGxuHXwcpIqygdQE02eyHiYbuAUBHfatGeB5bgILi6igAwCX1ALkEV7xohrri8bKxWUPeh9BNBT3jMlvMgWguy9baXBN9Lx5itxD3Anci6wdkuZd4i7akXdc5Eqp5XcFLGfB8TC4auv13ETz9nEEp6AeH7UTJRqYLUN8Qo93ldnW1ZPIuL748iUyLQnfIyEYA2w5aBGNWzTmbAQXL8Zyrb0EpSlau1wzbilX213ImPcpfJZE0LGTPvCZkqsHl2MzYElXDjRdruXT8aGZgCzEHq6BngHtDMv1kTOwsndoDixLUy3tAwGYXqtcSCf4M6WSMTV4rc5w7gHWlBk1cRBK1DuKqkDibdjwJnFiYFHuYBJr9okCiYa5oYMMkCsUVU05zFtJmQeXObhu2QCz0qo5Sj8LyCHOfikHh4wm9mrLEQrYea5vHMZybiAD3UiYtjv9TLHlMmGYmDgDhxBCDNTUqfuI27LFo26Ll5fX4LNAFKyIqa2YfpTjiZRTHXLl7kx2Pgn5ghRHbmyygpAb5oHuf33S6MepfUpx9jXJdtySoh9w4e7nkuXKaCCIsBhqq3pLg6nkR4sBUIUWdKEirVkbyRteaA7ky8sxlOQDKmz0FGaQzy5dF3225VwxpnYvKAHtjO7snRQJzbNclryn304I5BxczlwBZFahkXDxCBUB29rtOdOcnY9kEUBJKL7whHrnJL4u2QSV1uHmlHrdHaP2dbtdRWU6GZPrYXuxd3GjM9Yy2g4XY7kbZjZi0i5Z96J9UWDLx6kaZ9uEfKiBOsdXYQevJEm0KMXAsCweFRd5vssRiuqS7wWAnJiLvIkJar9yaT0ZY3gqik5ybDEqt2dwQutpz4IGFvS4nkpJP02Pt5NV99EYxXNBCyEPje5Exn0olC6TKBsgQuIg4kERaoOBIMA1FB6w54jVLfJgxoOc1DP0HyLMuHHWKC4BwvybYsIQhboBNz3EUs0iAjFRg6Rqe82a6dPisOj3pHTvHT4BGJkavfmQDa9TXrIBYbeE0iOcLoX4N7QoDLrScnWRHcJFDPmunoP3ARMRZjKiqD5YEmeRhpQA35AhsqmWRtbiLdnTl6UJSvqOK4g4mrwlmdu1FgAFLMq4pG7ihxEirpXP8rO8Zmv2XkUfkiDQZnkuVi9j8whYoWp9534nMfNmbtefjR9HexnqtZVKEFLMQSrzQJOivGwYdeDlfigbfZJA1gd9pCPb6ZfhGTmFzmIFf45wZ9fPf8yHLTsaFLB6KYjnJFkFCi84d4hjaVEPUlIGFSbfwFMDYotIbXjWyYWh3CUGz9AGkyaojqmrlKMs60sPAiQcArqh2AOOB7zvH1jQiMhAEgKGvigXnHOSbzEntOPctYWw9hDomFhUs3TdMq6DiWj2UsATAA6hUWWP9aokEbS0SGqkU03HtxgnuDvrgu8s2z8pWkn5O1YW9wxJIc5ip6W7IPD9oAIPt58eN1JJxMsT3D8Vg6cUU7HZIJD8IdVsRLcunHyGUVPv24SuQikwIs1HL1DOk2RKfzBzVUKZtqzNaF84T9sQo0QQSAqyFRkeAWEHfAmKYIZdxHGkzbbUyMzos193jgIb24hS9q9tGCSUcXa0iJkgnaVVYy6nUZhuveoeNl5xD1WG1MJ2GcWcgPYLAZEDG6SyeovsX0KNaPkFkSuyooghZHMELWuhukZCFhDfBZDlAqxeYGVcWzCLYexidLRg0KndbBtM0k0TyYgEvBIcqvOcQ0zwfPvkLXA2agAOOM6QKK2rUUGu8gwAIAclGhclKrQkIr43J78zPvNcPjdpTXqGqwjKUGxe4uwUjX5ksjl0nZVqkFbWcixPvvAkeDWqk25qLa0VIpZyOXy47sCDJHR5oCSgpmjFYqGtAfVQX6u2u7uxJYwb6fgBLVzTZ1ntNS4SIjIsCcSSQ9BoBskLke1FRK6lcB6KtX4lV5GCgu4Uan0qRXgOVOvm7h6oClkqpRW7VWjP6HfafzeZjHxnZyn2FmiVerv9M6ZMPk20YS2hqGjgRqddoOYwjS98VsTx3XcKN7NF9D1LnEXaKAIRVPFIljwjq1hJ8o8M3PRyVei50yGPBejqftfxgHalNVxlkIFcUQrlfPAEuvWbPSOudclIXJsqyINXOX6FDriCNBRLgsT6aB4Qoc48tk4Unfg7R5SSzBAuCQ32uQkLAO9zdk37i8Si5crzn8a1dWEd4yPRMnQYZv7efWgwzFUhlOVcZtkvUWp1WdDcwWQgRyduv54Ehr7zUPD6g6bBpy75CIPeJjuEPfx0k43UOkeaMLp2f2AQPYPkFPt5C8lFy3czNGp7gzDwGRzeNCZsz0LWyQqfbLGEB0L3DGoQ7YhjpQQC9l0h8GW76yWGdqJa7XfI5tyXYTRVQZK8CIjezV3nS6NLvF0JYj823itNULaeWJtTXqF2nV82YhzBKokDFK2eMRFgpdxjYcQgCRTEKbOgo8DtijE8wOuRmQtwcvDC8yikWleOKGdNKTNDqL8maiGYnd2IX9c7BGdrnfzPkIhSvhn9HBp310sdiqxxRVZehcc6PyD1STsZtEyQmkVptOcgIp34RRprXDVm0qwZBpTbDwmzetz0hyixe5v6FuBsCy1io5f8KNlUcxOFt9V4Y3FpQVk72bCj8ePay5muenXs30JkTmYEtqDqOthRMnD3KUUQI4q5tJwr5i0IU7HAyW631kGGtRISONvxmZxGWyFeZQCAQ3ydQjV7JED4JV3grNQhobx5gcMO2lj7osxiMP47fFSKjpZCsNWCClHsfP6MVW4rnLl4E9RBvoJvoOehtojh0vmlR4lru8PxgLtOV9M491IIevcYaxH1F6mA32KYwbbOdeaO9oYMODjJDfPpa4uJfBfRqEnV1xGOB7sKV5XqAOWgoFgC8tZC5Jf5AoxXrwzSJNxwYlEpc0QRPyEnMV5BuPo920qpbV6xzHGOZKC7alLr0ApI2tXE2MYpEGY3GOJ4nSO0pBVB8extKtfaW7lbr0MoMzlJx6yXHwZ3FoQKMkTIBiDAewiKiS1LYWianYAsIXtm2HCEGR9lsZRA5jo7yRDqwqnaQStOfUIZafqBjdxn3jQbPYyaLcF0ge3luCREMun2KtTyUxuu6i9KsLZVJb2Wwdhi1nnG7Lya086Hf4dHXD9qWGQoxm2SqaGPKdazZ6s1tlVrJq8ktu8nFTvkktfPwGgO5MrePCmxdIghdPNPi0tFOQFEwmKiPsOQa2RmyGKS7Jmms3VH8V2A8oGSRa6WcCtBPs5g5tXqKT4mC7wWQq6IouMvsFz2Nd0mpYZDEP4weJW8bOCRD8Nw3NGXibGzS68Px5YZbZfAlhFLCpbnszzxW4ctQepPrWaSazzEhwtgS5iXgEOkNV5zHp4kt0JhO21WgHNxyLzlbHzL1XlUEY1orPAe7O70xhUhFwzHqGzZXthk7RV6CWidTjmYMCHYHslUEd8opO3XviGkktuz1hMZORYO8HJ584Ibi2sOkz8eVzHqnUKAyeYe3HA2Fpc7LS3IAssCvMWABIXSCYmpDh3h9QW4gMmAQCaqvdxHqC5RruF7U0RtLLqPlF8yhMTQiNcfnCB3JGxoKBaoYrOMIx0UMIIkPBMj7v8RDR4TgFlZISHvtFARd6zPU40nC7C3NCCOpdQSX2HaS6IklJumxBPN7DZ6PjgeglQoFRzpqIKoh9uuPy7UoSHCciGcrL6veFkusxbPvtJ6IoSRJqpdGYaGc99Wss1ZGO739XFZrYc9UVWcC9i7MmG2r3aW3KU0YkWNFGrrTxz1686HUD20qbzxmJMZhInAXcxdN0W2RkvQKieZQKCTKukVcT6sKYiHwAqJRzZj537qipbSENa71aaIBqDglrIhbMguQl8myogC3oIyUjTX50CoSdfl8rxF2deqHmqVcI1jHj180csBUhlj91pFNiytEhHigL5Qa6FxDxTPjhBjSP5tuClmm4BG74ygJlUter1L91FHgiRAJPw0GAYTZgwqU8nyPi95c4gUsPGAnmRKfMHGHBwDlvxkwcJFVIdySA3JLjH95qqJZlgvNKTKoDS0xuy2n2FKNZ76gbSZR6IziYGTAx71i8cFjRbhoP3yHLHJoLUXzFm1NuEMuCi1VoQQ2zUGdEAZg5hYIUUBCU9SA95Zg47NNs7I9OpQKHIdB7sHVr6RUys7QADdpTlTGqS0ODDKcJxhEpNxAxl8Th6OaxFIAYw0cYAoJwvAmzVOYWuRNDZ9Mge30lvWVRTodJ2upvO6bAnPFSkBpCO5nBci1HUMNcz4UOGHldQfCe3PSMqiLe9U3JNUbzFXuJJ3zFYmYaW3oaVfTCk6d8WmDEzKC9GY1zSqI2zQoh0ofsN351Nz5aPS8gHcVCUZkTjsAIG531DxE3xzC9lmq0BX84FjiQH9MtCyv8dOzZUHpDISStjM7xd2nYH1pAPIybGXa6CnlZMVvP55FaNlLUCMUAwJq2ksFJUWivr9qWWAGEsqIhgD8SSkjGTxy5mFxrdkfnwWUopYIe4j4EMEaUgW68T2UvpEFyu9dxmx4YuWZVshaKUPacfTgCWuS4LjWvVJmyMjMwgeOWV9j5VVoSRfjqjADKQWpmpF9Bf7RIXjkrMhTSNwZrKKSM624Zf5cGjoWAmoXyVveVKF3TP7Gt1X9J7hpn8kcA1hvpw3Eb04nu6JkPN23G7P28Uk2K7rRWvLmihJ5UOcb5Wf07tI1xjpOIwC9GEd7tUy7bSRP0bs3RMCOD67XDUaksKe2OhgSvEUv5VCfyNX1ZV2LDsDBwoPBqLSyu8CHX5OwkRDnrackgYkE1s4D76dNc9x6ZTYr3SpSaINUTBC8xg9pMTZSEZF5bp2Z9o9SFXb3r0McrXUAv2er2bRs9Bdcz6Wgnrjl8vQqVFXmhPrwoRA76fG5xTWKjzIApOEr0DMu9jwiP9V7IQJ9h4zNVKD2PwCoCa6HYW051Q3q2OeK4zbPR4hZA4z0lfVEUWD37TqWafhW0YBy9pT8jWlT5WLiIStD4Ji53ThLvGkZPyI1LuQXJQeuYKS1CcuLXPS9jndM4eelYqkTrTXUf1YcwOC9vbJNtIw1Uz7LQzACgJyiwqdNO3LaSHE2EqM3iJapoui5A6MudY7ansABy38HUPa3cnt4XWpJf7bjWpHYcN3HAj1m6oK9gNONzjjdTuDrKUCawvn0prv48jkiqnKsXjCeth0SCjrleS4CiARn4RIQG93Cx0f8hmA3hnHwJEKMhMkw5ulHk1RLuvYh4ehOZBguL41Cq1SjL0scfnM88vPZfkgZhAmykIMh8J4kK81FXCWKXSQkJj9UL2hylrpEJeSE9sCmniht7T7LUhQAfoEzGCXZ8G6igoFXapZNA3yyHArCfKypOcWcxK2kcw4Jo2AdGFmAE1iBPnYZtA4eFn50H8mYotACni0nAH8kOSYAznojuHeppGF74T6C0AnV0czZ4y4znvIAASpnIIzKhjpZW2wK4AwNpQvrZKIxkFTboSN4gNF2T7mtlGlCcYKbEBY557zNdaz03mxcswt7g3ryP4bbLMSCbSGCbyMpGWZUK0iUxIZFXIdNR0eGYxFmEbX5hsoD67DZhdD6hdVlWzF6nhxLRMdchcevhXz6KvLg29FQHXXvelCn7pVhCBhvbRoHIlvmPPO9eCTCCNOzvZhVUtw0axqb2Jd0dMVoAK6fJdjk7eqUam3X8fLBEX0qLkFABlUoRwAu7VRzgXPxEZUPkT7xhnqSw6YhKydnShbZjXrR7j7mwrQxNcuz5jmcSbfZqCYVfKOY5lysW7eVE4MdcBzOwAimzRJCswTSaI1CEDpFc93QAQa5IN9pienu8AGC0l8FcniBqMjgKWmcaxI1es9CI50QivijYJMIKSikKi1TqIC0yHV9qKYSB05tM86JIOk28L3fqxTSFySMt2vHXHXld4YZGxzy1AxFN1tvpqG7JRzGmASWKxBVK8JOYSJqxrOwBZc9mfEAKLSIx5YgoHA5GLe38Uh14NbYSvyvkzcRCJRggjYG1yhiJhf5PttypKm8aZhv2hCAHdElc10DSO1haPItYN3luQ5gTsoR4Il7Bzyo79NkbDvcl6PLXMnSAQ8v6xVnCFjmVViKzYtCnrfwcAUYfyiOhJFYWdC6a6LCQKf7MF8hGMPWdaVDn5rR41MsGgf5oGjaaMckPVu8kAdqt0czsALLgbZc59JOtiG35nzHVxPjsYVwnvLxYMBO8n7QUUEJu85MbOZqx0HyDc4nScmmvYg0VPaYmaFjFY0LxCwS3zVMuCRbDSYF0UZ6zt8Je3kwNkR1x8hCubudNRMYOpdrfDzJXZc7VKhGQ1IIz44aSgcmP2iv8vRQbX5jskHluyWnoFmGAc2wk7in908fXtZSq7QKBW4rb3UzHORjKgWWQ1yvdn3HYZHsoTT8cfCjU7iuEZEOtNxfF87dHm7FWPhW1yz2rrrWPCtNEK5jIQZb8MWwxOro4czmz611DUqgsRYoSiokG8RSFXUcTaZTtRg8EGpCuF85xHCH0qs0MmujIum4mvhgnHrq8fnjtI7tNwOTzes3rIo7bQdaQC94ZsgblM6nOnDLEe8sJpsILANV2SCvQvJ4Eq6QfM3Rond1Q6XahYoenqlBR8Kyh9avv6DHiVTM1cHSOyMtiBdzQIRaV5OtpshV2nrMIWS8GbbTtvaaAxQWRKqrYpZs6WCbLTjHfpxt2KECClRd9HxzyUMcrmyxyCuxu9iFRJ8DUhZHAWVx3uNqG1ySxo5JWiuDLpAYwvZLteN87CsLza5Pdc3xQ0MQE79907xacdxyKpbUJBUB32NglU9nZbVyxmj6OjjY8P0ifl72xw6eecfb6nuERauWCiZz6gOMrp7dA2bMpCgiM7WqZeea0i7kaijc84M6Kn0Q9rQ6EHuX9lNcl1F21WynQuM5gAwRKrTlCW4y7UBZBSBtNJYHzrQ4kLSK1AtiX4EFcO1BfwrSjRawCJFDzA3WMmI7YcZYF2nMchBNAEooqTntuRI3l1hX457svOsI0TUQUNwGT88Rz6jbLrPXpZ7zbSiuYMgvt7BRKt7KQcPIqjlmrdLBZ4CmNwydssxL7N4vuiFjLSchyjSFu4A4bozqhU14GMEppgIiNqknfTdllggUOP3U5kLyWe7oVCZZoVHQ9WaqZtqF1LEk9pzeEfp0E4XUy8Jt1dHFpDnwjgnC622gIObAtfCOFwE9cwU8IRst2bgfENP128nexzK5RTSjMi4VWOvcAfz0tDzno3dPiTPPSf1MhjNHzFdG1uzRxTDx7pTyXceyblHNh4ft2Oqq0JqaHpg7Kr1w338PcEuFCTyH4EDXRPN76xj7u1ijYfy6BvKojujAzUSktAUq6bNT0zeK3LLyMJr8EgVjsHarZhysyqOLWeFTunPuUsz6tOCDcxHCDvrA8DziMyAYCUELwQXYGT50GkOWdPXccCoT7KsXuKA0mlntQPtJnxiP61GTCWzqy1HeU9YTG2zhw548fh16mwH40vbm5Se3f54l1l1jYlgyxm4niPc1ZD2t1aEhh0oohTKmJ2aqKfIYbox82f5XajNNKN6kou4sc8MB8ZdZGgLsmWnaPsUZ2YvaDtxWKzQVgbszXaNrUuszg5ql35RZl2p3BbuyOc1tF8ILXSiytqSEmdTV9Vz7mQbhGK6AACxnRCzjTHrNi2GYR1tV2wparWJHPaEsgEl20RgeJc4CkrZzm5W6NGSAZ7PF00phUwqewFCYOCwmQ9n0HJV8GWSo4tYdlQw5cojGL13YWmb5esizGwvo3IbxU78AJ53iklaIJ6b4h2x3C9zDSPsSMkTSXt3DPTxEpuInxvVnjdWQqIsBBcYHKOb1ezQIrgIQZ8ibCG1JoRSO7nKM7SJwO4i6emzXxX8GoCAJT7vkAMZojZgiDXHTdRmXRQvPS5CeQ1iXUHicQn2hnxuwHCOO3mD4ImIJ0hoETw8dqzutWJTTvAUQfsLJcKnYEdTHXCrzc1QETMyoZ8q1XK8CwMNxz1G2wjKdtjtK42vSszvgstSLLUowtsdR0y1ePGulaCRhiOs3DA1wyW6fRWVFOxOt0vJQBhR42zJ6dxRWvdKR47yuPbkacGZUEuj3RCZDUKtXEv8V6NY3RXkv9178RtW9IMn4YhOi77LEcdrw6bOFg6zRRzDOecHy454xBMuU8PUeaf2g0SwI7dH7hdcYrztaOOH3ZlSpBdaeDTRr6zbcrzXEtnN0NzDdnYpsQa6mhDUVTzbNn2ZU4F89JcP05notSJYq7TIvxFb50tF2Fcc4axCKSMqCm6tTmBhkbpNtxzJD0xHdQ2k06SZO9AE9xxp3QHJ4HvvbIu4auLuAi36cyfUkTgd60kTDVeIzdn9uSgu1jxusgoLCWTO1VyURNi3LMWIl9f90i3o4wH4MXedb6f6JoN0CEj3Emqf9SVaOsUfR5op98RCU18gwf282JjOTb2tCgTLJquaWV4DnvlQGJtpYeegSiJPQTMs5mFXwJwwWgSZFFmCB2YUNIocA3FbHAbczcoE0us85Kq6yqXBxrJ4mgQZIpVoOlR0IVFLZzY4y9RbfrOkqSfFZYyscmRsnuvsTNrDdWuHtRQK7u7A9XILQbeWvXK9RDopjei3yzenYqFCTti5m3GGylolV9NborY5wn6NUeGscFAI2nuiIqtjzUJFH46aOv7D8EZhduZqSk08w1xh7ZV91G0PyQwoMuqNEFc1bOZ7MXf9qIfS6TDeL4q3wYhvZx9H1uAgCh9AKU5rCcy7qCKDwhd7Lmr1qj548HwNBrsRvcv5uZWKwRqwv70lihif4EIao3wqiLl2by3c0TDUjagXRbVZc98VFkwUVGg2SucwvvkfxZjU7QnhL5U2YkX0QBeMmYAWJgjzoMbnp8GrLkMBSCkULt860PEZB0vDg7CG6QVRks0hrnrtmmmYo9iz63CTgLwBmUDd4K140U7zDs0LfXJiVU5JJXkIZsnUfHo55YX1LxjTXMPnhYp68psKRxcIV2LPZrk50Zl1q6kglakqNBAu0jtUX5t5U2hiiEZQ4kkSz1ueDSq0nIjgxVmRONuJcwhlWqMKTNgtdmrbE2ljD4zRBjDyWXSj22hBZob5EKz3s751KVosXdMKRn0cA8MIj0nzATYso4Zy4k1ByFouoLGhByemnwXzO0Qh7jW7EU3VSgLJHSHSPXD8p0CATUP9eagiapHffc7YPCAfInaLkRQYaymOQFvYEAPmAUJ6yodR1PaHa51ENIbOJaL3rGs6YO1f58jPCN7L7aRV4CRoJJDnZd7UvxgTZBwZ6HHieVFdrdgHxlJcikeYu03EVvNWCPTBKotK9VG5xQqpNqWeGxl5T8fAeTOVkajfMuBBOoKEJZVHVfbOdEvC4L8oR0f7VZpb79KxNl6pF6dnC6x2dTrd9X1BWDKEj2UTWia7hJtOQJ8gaR227f4LSp2EhEksDr8yBBfugwTevDpyFB9qq6d0FBqcrBkmaLHILuUHUDreXidp9Zm2HeqhpVeqqXV0U22y6Jxz2JRX0Dgg1E8uQ40c3XZEOtUBfeelXfRw9mfG7t2uujZd85QRlCMZEXKSkAQ3pf2tmvuZgTv5CJoQguB8ZXEUe3zFxntJIIgikWJl7WMAUQt2cnrlL8YdJB4rPsK6ZppM58jCbMrwjqeHShj8AReAS5YvtR4TC9pKyhlA7kINU9C0y2XN4caMF6gdBb0dhbg04LKnIX4ShQ7vV7yICDmvY2AgkAfQlNZaAwf4N0qDDA7Hrpk36VTZ2LRzEBmUBVTmSUlzw9UGHLQHpQicmh8NetkeziUXe0fMZdPca4z0iBPZdLZtx6GLJVAdaQeqbThk2i39eWSrDlACKnr01jqyXqCsEBubYB7DTREaMfmyq9rjtejj65Z2Y0Pz5J8QYutOZ1ufe837ebA5GYxKzDSSS49wwK14D3GfoiR25RixiaEOC01ilhrRjit3FwEAGpkj8L6yQZ05rlxTMxbCIPBuzXsERpDYgB3UbuPwKAfKxCRrOJFxZIHXHlvmZ2qqHD8mvPPrz9scZRtJ0eb24RdrZgH57bBwyYgEZCOUjoDtpaPJzjgKyWD0zN6ekypCC1y0IR9Y7XJlDwEEN1flUc6fLIznteH557xBXVtIUOqmxVjZzqzBbTkCuV8dYO4Rlne7P1xCHQuz1n92FGnvwelBfeITHJqF6GdhqwaNMhbSkVK22hp5eNx4TJzsFrr7WMud4XmoIM08HfGkTQpdddPHcs83RDsUDxHhaU3A5dEbyTW2GYHt2FYFE6U6NwBkBGwApWxKBB9HUCE3QFu47ctJbGDmIYENdpS1oo0M0NWFl8XaSvQidPHc4IfNGdnkXAtQQj4qBfJGFuCnsk3HMDrm0E42pgeesAwjtGKfnlQBtXk3wbEbVnqoNTnQ2uOrGXmiTEo5mZdKA9perwBjg6bdeKCONGH153MCb5EYrGgWACzR8rPpLH9YugKvrILp5LaGsGBQA1gGtaIZwP4Qjy2V8o3HN5COE3hnmyMBh1CtmTZVgjUEgpLMrGnlDYBQ1DWK6xAzz7cOILTr20ZUxTluHdVfrqwHR1Kcy1Vyk4Ov0sEqxhwzURmfquBed1kbOoEdk9HY5O6TveI67qlmr8ySj7Loupvc5A6At18Zfq4D9fFnCEArt3xId17rjAGHwGSse6BKnDrSyPm7dytkBni9B3cEjgNRYn06eMpFR4nPBoEqzwnu1Qld1RFS2S9g4NArnUjokN3Jz8RrqHqiai03uSGc0fY0Lxq7f4jJhmsacJPRvvnNsw1XMwSgxADGJK6R2pEDd7opcaCT5b8pITeotOTivZ54wCxsMHxnWYzuTXCoxBJXkEuTlXnFQB0CDzPq9nlFNAJUIe2vAdkffjWcgu4nyDUltxCBnrAK9ASQ7puFiBVExLVv5G2YJxnEsyehrOEnIap4rNfsLGcVkTIyxfaZ35gXMt0xIqUUSGacWzP1bAQL2uRqgI22m38dszIxkOXMJZQ0aTiWE6KbC8H6oBfvtR773DFY7VfzQnp3PQbLkX1iUNmJYXfbhHo8iP7i17bZYUs11uzIaTvum4N3d3sPDnNNQ2zhIfrltmgcplA7cyVY7zW0Nx0tjVb27inxIV2nXfQDwJSyhOlzHIpbqGsIGuwwxoU9dINmDnF2W8HHg2vDHiT5hriktRZjtmriVb2PRGpXzfsBeY6OnuMupOnCxDCdRQ1CrZnJt9QXKJ7nIx5wB9uEED7lGy7bE6CaK2eQg4DrwH9Hm5IkXD9H148fwMbscC6WAnzo2WyTHLUrozhjP59CtyCf91BRU1BmTZJ27MHI2ebI47RlpN7vfLTrOP3e7NbHlmeIED55BQ1nBFrmwjJsn576g5CLd7b7THdJXa3MWJNAjRWZjTnRgLHF6F5RhdIKSJi3PSYGlrnPz5IMBBmn39QvjIILmAxZQH36cUIsgvIY3wfZpJzVHKDfUzn5BoXGZpbZzPBP9XsR9Pn5oWLKCgYtMzMj5O0YPplMmJUVr3kn8aComSk4urXXK0QmSLhF6e7mu5R1XCgO7dHJYypLj57kZwEIVM8H7wSBFVCXRD4pLcxIQ1OuiwrjDDjudcaZCdwJdhfUsz34Fp34bg23RpeIy8nq0lq1NKB5ALWeEAMGhr1Ifrib1h37ozTYhhP9ZJJ0No7GmCjJzvnajOGWUiRoMWkBAmJHNvGWkn5FDRK1lTRr6RsvVIhWMbR2Nqzh1NCHir7tToCq9eptIy7PkOKJL5rQnXnILS230XF60k5Y7cQn4PIYq3kHdF8NKDBMUFydKcSBCwSNxGVWWvToFaj13l7haTTC447dgBdqe32a4NQIWeDD8gnRUV5QBXYvCh6s0jT7tGe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</si>
</sst>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_-;\-* #,##0.00\ _€_-;_-* &quot;-&quot;??\ _€_-;_-@_-"/>
    <numFmt numFmtId="165" formatCode="_-* #,##0\ _€_-;\-* #,##0\ _€_-;_-* &quot;-&quot;??\ _€_-;_-@_-"/>
    <numFmt numFmtId="166" formatCode="[$-240A]dddd\,\ dd&quot; de &quot;mmmm&quot; de &quot;yyyy;@"/>
    <numFmt numFmtId="167" formatCode="_(* #,##0.00_);_(* \(#,##0.00\);_(* &quot;-&quot;??_);_(@_)"/>
    <numFmt numFmtId="168" formatCode="_(* #,##0_);_(* \(#,##0\);_(* &quot;-&quot;??_);_(@_)"/>
    <numFmt numFmtId="169" formatCode="[$-F800]dddd\,\ mmmm\ dd\,\ yyyy"/>
    <numFmt numFmtId="170" formatCode="#,##0_ ;\-#,##0\ "/>
    <numFmt numFmtId="171" formatCode="0.0%"/>
    <numFmt numFmtId="172" formatCode="0.0"/>
  </numFmts>
  <fonts count="50" x14ac:knownFonts="1">
    <font>
      <sz val="11"/>
      <color theme="1"/>
      <name val="Calibri"/>
      <family val="2"/>
      <scheme val="minor"/>
    </font>
    <font>
      <sz val="11"/>
      <color theme="1"/>
      <name val="Calibri"/>
      <family val="2"/>
      <scheme val="minor"/>
    </font>
    <font>
      <sz val="11"/>
      <color theme="0"/>
      <name val="Candara"/>
      <family val="2"/>
    </font>
    <font>
      <sz val="16"/>
      <color theme="0" tint="-0.34998626667073579"/>
      <name val="Candara"/>
      <family val="2"/>
    </font>
    <font>
      <sz val="11"/>
      <color theme="4"/>
      <name val="Candara"/>
      <family val="2"/>
    </font>
    <font>
      <sz val="20"/>
      <color theme="0"/>
      <name val="Candara"/>
      <family val="2"/>
    </font>
    <font>
      <b/>
      <sz val="16"/>
      <color theme="0"/>
      <name val="Candara"/>
      <family val="2"/>
    </font>
    <font>
      <i/>
      <sz val="12"/>
      <color theme="0"/>
      <name val="Candara"/>
      <family val="2"/>
    </font>
    <font>
      <sz val="14"/>
      <color theme="0"/>
      <name val="Candara"/>
      <family val="2"/>
    </font>
    <font>
      <sz val="14"/>
      <color theme="1"/>
      <name val="Candara"/>
      <family val="2"/>
    </font>
    <font>
      <b/>
      <sz val="18"/>
      <color theme="0"/>
      <name val="Candara"/>
      <family val="2"/>
    </font>
    <font>
      <b/>
      <sz val="14"/>
      <color theme="1"/>
      <name val="Candara"/>
      <family val="2"/>
    </font>
    <font>
      <b/>
      <sz val="16"/>
      <color theme="1"/>
      <name val="Candara"/>
      <family val="2"/>
    </font>
    <font>
      <b/>
      <sz val="22"/>
      <color theme="0"/>
      <name val="Candara"/>
      <family val="2"/>
    </font>
    <font>
      <sz val="11"/>
      <color theme="1"/>
      <name val="Candara"/>
      <family val="2"/>
    </font>
    <font>
      <sz val="12"/>
      <color theme="1"/>
      <name val="Candara"/>
      <family val="2"/>
    </font>
    <font>
      <b/>
      <sz val="12"/>
      <color theme="0"/>
      <name val="Candara"/>
      <family val="2"/>
    </font>
    <font>
      <b/>
      <sz val="26"/>
      <color theme="0"/>
      <name val="Candara"/>
      <family val="2"/>
    </font>
    <font>
      <b/>
      <i/>
      <sz val="12"/>
      <color theme="0"/>
      <name val="Candara"/>
      <family val="2"/>
    </font>
    <font>
      <b/>
      <sz val="20"/>
      <color theme="0"/>
      <name val="Candara"/>
      <family val="2"/>
    </font>
    <font>
      <b/>
      <sz val="12"/>
      <name val="Candara"/>
      <family val="2"/>
    </font>
    <font>
      <sz val="11"/>
      <name val="Candara"/>
      <family val="2"/>
    </font>
    <font>
      <b/>
      <sz val="12"/>
      <color rgb="FFFF0000"/>
      <name val="Candara"/>
      <family val="2"/>
    </font>
    <font>
      <b/>
      <sz val="12"/>
      <color theme="1"/>
      <name val="Candara"/>
      <family val="2"/>
    </font>
    <font>
      <sz val="14"/>
      <color theme="0" tint="-0.34998626667073579"/>
      <name val="Candara"/>
      <family val="2"/>
    </font>
    <font>
      <sz val="22"/>
      <color theme="0"/>
      <name val="Candara"/>
      <family val="2"/>
    </font>
    <font>
      <sz val="18"/>
      <color theme="0"/>
      <name val="Candara"/>
      <family val="2"/>
    </font>
    <font>
      <b/>
      <sz val="11"/>
      <color rgb="FFFF0000"/>
      <name val="Candara"/>
      <family val="2"/>
    </font>
    <font>
      <b/>
      <sz val="11"/>
      <color theme="1"/>
      <name val="Candara"/>
      <family val="2"/>
    </font>
    <font>
      <sz val="18"/>
      <color theme="0" tint="-0.34998626667073579"/>
      <name val="Candara"/>
      <family val="2"/>
    </font>
    <font>
      <b/>
      <sz val="14"/>
      <color rgb="FF00B050"/>
      <name val="Candara"/>
      <family val="2"/>
    </font>
    <font>
      <b/>
      <sz val="20"/>
      <color theme="1"/>
      <name val="Candara"/>
      <family val="2"/>
    </font>
    <font>
      <sz val="11"/>
      <color theme="1"/>
      <name val="Calibri"/>
      <family val="2"/>
    </font>
    <font>
      <b/>
      <sz val="24"/>
      <color theme="0"/>
      <name val="Candara"/>
      <family val="2"/>
    </font>
    <font>
      <sz val="12"/>
      <name val="Candara"/>
      <family val="2"/>
    </font>
    <font>
      <b/>
      <sz val="12"/>
      <color rgb="FFF2F8F3"/>
      <name val="Candara"/>
      <family val="2"/>
    </font>
    <font>
      <sz val="12"/>
      <color rgb="FFFF0000"/>
      <name val="Candara"/>
      <family val="2"/>
    </font>
    <font>
      <sz val="9"/>
      <color theme="0"/>
      <name val="Candara"/>
      <family val="2"/>
    </font>
    <font>
      <sz val="9"/>
      <name val="Candara"/>
      <family val="2"/>
    </font>
    <font>
      <b/>
      <sz val="18"/>
      <color theme="1"/>
      <name val="Candara"/>
      <family val="2"/>
    </font>
    <font>
      <b/>
      <sz val="28"/>
      <color theme="0"/>
      <name val="Candara"/>
      <family val="2"/>
    </font>
    <font>
      <b/>
      <sz val="18"/>
      <color theme="4" tint="-0.499984740745262"/>
      <name val="Candara"/>
      <family val="2"/>
    </font>
    <font>
      <b/>
      <sz val="14"/>
      <name val="Candara"/>
      <family val="2"/>
    </font>
    <font>
      <sz val="14"/>
      <name val="Candara"/>
      <family val="2"/>
    </font>
    <font>
      <sz val="14"/>
      <color theme="0" tint="-0.499984740745262"/>
      <name val="Candara"/>
      <family val="2"/>
    </font>
    <font>
      <sz val="14"/>
      <color rgb="FFFF0000"/>
      <name val="Candara"/>
      <family val="2"/>
    </font>
    <font>
      <sz val="14"/>
      <color rgb="FF00B050"/>
      <name val="Candara"/>
      <family val="2"/>
    </font>
    <font>
      <b/>
      <sz val="14"/>
      <color rgb="FFFF0000"/>
      <name val="Candara"/>
      <family val="2"/>
    </font>
    <font>
      <b/>
      <sz val="11"/>
      <color theme="0"/>
      <name val="Candara"/>
      <family val="2"/>
    </font>
    <font>
      <sz val="16"/>
      <color theme="0"/>
      <name val="Candara"/>
      <family val="2"/>
    </font>
  </fonts>
  <fills count="30">
    <fill>
      <patternFill patternType="none"/>
    </fill>
    <fill>
      <patternFill patternType="gray125"/>
    </fill>
    <fill>
      <patternFill patternType="solid">
        <fgColor theme="1" tint="0.34998626667073579"/>
        <bgColor indexed="64"/>
      </patternFill>
    </fill>
    <fill>
      <patternFill patternType="solid">
        <fgColor rgb="FF17DDBB"/>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0" tint="-0.499984740745262"/>
        <bgColor indexed="64"/>
      </patternFill>
    </fill>
    <fill>
      <patternFill patternType="solid">
        <fgColor rgb="FFEEF3F8"/>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39649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A98CF2"/>
        <bgColor indexed="64"/>
      </patternFill>
    </fill>
    <fill>
      <patternFill patternType="solid">
        <fgColor theme="0" tint="-0.34998626667073579"/>
        <bgColor indexed="64"/>
      </patternFill>
    </fill>
    <fill>
      <patternFill patternType="solid">
        <fgColor rgb="FFDDD2FA"/>
        <bgColor indexed="64"/>
      </patternFill>
    </fill>
    <fill>
      <patternFill patternType="solid">
        <fgColor rgb="FFCFBEF8"/>
        <bgColor indexed="64"/>
      </patternFill>
    </fill>
    <fill>
      <patternFill patternType="solid">
        <fgColor theme="7"/>
        <bgColor indexed="64"/>
      </patternFill>
    </fill>
    <fill>
      <patternFill patternType="solid">
        <fgColor theme="7" tint="0.59999389629810485"/>
        <bgColor indexed="64"/>
      </patternFill>
    </fill>
    <fill>
      <patternFill patternType="solid">
        <fgColor rgb="FFC18243"/>
        <bgColor indexed="64"/>
      </patternFill>
    </fill>
    <fill>
      <patternFill patternType="solid">
        <fgColor rgb="FFE8D1BA"/>
        <bgColor indexed="64"/>
      </patternFill>
    </fill>
    <fill>
      <patternFill patternType="solid">
        <fgColor theme="8" tint="0.39997558519241921"/>
        <bgColor indexed="64"/>
      </patternFill>
    </fill>
  </fills>
  <borders count="23">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theme="4" tint="-0.499984740745262"/>
      </left>
      <right/>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thin">
        <color rgb="FF396492"/>
      </left>
      <right style="thin">
        <color rgb="FF396492"/>
      </right>
      <top style="thin">
        <color rgb="FF396492"/>
      </top>
      <bottom style="thin">
        <color rgb="FF396492"/>
      </bottom>
      <diagonal/>
    </border>
    <border>
      <left style="thin">
        <color rgb="FF396492"/>
      </left>
      <right/>
      <top style="thin">
        <color rgb="FF396492"/>
      </top>
      <bottom style="thin">
        <color rgb="FF396492"/>
      </bottom>
      <diagonal/>
    </border>
    <border>
      <left/>
      <right style="thin">
        <color rgb="FF396492"/>
      </right>
      <top style="thin">
        <color rgb="FF396492"/>
      </top>
      <bottom style="thin">
        <color rgb="FF396492"/>
      </bottom>
      <diagonal/>
    </border>
    <border>
      <left/>
      <right/>
      <top style="thin">
        <color rgb="FF396492"/>
      </top>
      <bottom style="thin">
        <color rgb="FF396492"/>
      </bottom>
      <diagonal/>
    </border>
    <border>
      <left style="thin">
        <color rgb="FF396492"/>
      </left>
      <right style="thin">
        <color rgb="FF396492"/>
      </right>
      <top/>
      <bottom/>
      <diagonal/>
    </border>
    <border>
      <left style="thin">
        <color rgb="FF396492"/>
      </left>
      <right style="thin">
        <color rgb="FF396492"/>
      </right>
      <top/>
      <bottom style="thin">
        <color rgb="FF396492"/>
      </bottom>
      <diagonal/>
    </border>
    <border>
      <left style="thin">
        <color rgb="FF396492"/>
      </left>
      <right style="thin">
        <color rgb="FF396492"/>
      </right>
      <top style="thin">
        <color rgb="FF396492"/>
      </top>
      <bottom/>
      <diagonal/>
    </border>
    <border>
      <left style="hair">
        <color indexed="64"/>
      </left>
      <right style="hair">
        <color indexed="64"/>
      </right>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style="thin">
        <color theme="0" tint="-0.34998626667073579"/>
      </left>
      <right style="thin">
        <color theme="0" tint="-0.34998626667073579"/>
      </right>
      <top/>
      <bottom style="thin">
        <color theme="0" tint="-0.34998626667073579"/>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32" fillId="0" borderId="0"/>
    <xf numFmtId="167" fontId="1" fillId="0" borderId="0" applyFont="0" applyFill="0" applyBorder="0" applyAlignment="0" applyProtection="0"/>
  </cellStyleXfs>
  <cellXfs count="428">
    <xf numFmtId="0" fontId="0" fillId="0" borderId="0" xfId="0"/>
    <xf numFmtId="0" fontId="2" fillId="2" borderId="0" xfId="0" applyFont="1" applyFill="1" applyProtection="1">
      <protection hidden="1"/>
    </xf>
    <xf numFmtId="0" fontId="3" fillId="2" borderId="0" xfId="0" applyFont="1" applyFill="1" applyAlignment="1" applyProtection="1">
      <alignment vertical="center"/>
      <protection hidden="1"/>
    </xf>
    <xf numFmtId="0" fontId="4" fillId="2" borderId="0" xfId="0" applyFont="1" applyFill="1" applyProtection="1">
      <protection hidden="1"/>
    </xf>
    <xf numFmtId="0" fontId="5" fillId="2" borderId="0" xfId="0" applyFont="1" applyFill="1" applyProtection="1">
      <protection hidden="1"/>
    </xf>
    <xf numFmtId="0" fontId="6" fillId="2" borderId="0" xfId="0" applyFont="1" applyFill="1" applyProtection="1">
      <protection hidden="1"/>
    </xf>
    <xf numFmtId="0" fontId="7" fillId="2" borderId="0" xfId="0" applyFont="1" applyFill="1" applyAlignment="1" applyProtection="1">
      <alignment vertical="center" wrapText="1"/>
      <protection hidden="1"/>
    </xf>
    <xf numFmtId="0" fontId="8" fillId="2" borderId="0" xfId="0" applyFont="1" applyFill="1" applyProtection="1">
      <protection hidden="1"/>
    </xf>
    <xf numFmtId="0" fontId="0" fillId="0" borderId="0" xfId="0" applyProtection="1">
      <protection hidden="1"/>
    </xf>
    <xf numFmtId="0" fontId="10" fillId="2" borderId="0" xfId="0" applyFont="1" applyFill="1" applyProtection="1">
      <protection hidden="1"/>
    </xf>
    <xf numFmtId="165" fontId="9" fillId="0" borderId="0" xfId="1" applyNumberFormat="1" applyFont="1" applyProtection="1">
      <protection locked="0"/>
    </xf>
    <xf numFmtId="165" fontId="9" fillId="0" borderId="0" xfId="1" applyNumberFormat="1" applyFont="1" applyFill="1" applyProtection="1">
      <protection locked="0"/>
    </xf>
    <xf numFmtId="0" fontId="17" fillId="2" borderId="0" xfId="0" applyFont="1" applyFill="1" applyProtection="1">
      <protection hidden="1"/>
    </xf>
    <xf numFmtId="165" fontId="20" fillId="3" borderId="0" xfId="1" applyNumberFormat="1" applyFont="1" applyFill="1" applyAlignment="1" applyProtection="1">
      <alignment vertical="center" wrapText="1"/>
      <protection locked="0"/>
    </xf>
    <xf numFmtId="165" fontId="21" fillId="3" borderId="0" xfId="1" applyNumberFormat="1" applyFont="1" applyFill="1" applyProtection="1">
      <protection locked="0"/>
    </xf>
    <xf numFmtId="165" fontId="20" fillId="4" borderId="0" xfId="1" applyNumberFormat="1" applyFont="1" applyFill="1" applyAlignment="1" applyProtection="1">
      <alignment vertical="center" wrapText="1"/>
      <protection locked="0"/>
    </xf>
    <xf numFmtId="165" fontId="21" fillId="4" borderId="0" xfId="1" applyNumberFormat="1" applyFont="1" applyFill="1" applyAlignment="1" applyProtection="1">
      <alignment vertical="center"/>
      <protection locked="0"/>
    </xf>
    <xf numFmtId="165" fontId="14" fillId="0" borderId="0" xfId="1" applyNumberFormat="1" applyFont="1" applyProtection="1">
      <protection locked="0"/>
    </xf>
    <xf numFmtId="0" fontId="26" fillId="2" borderId="0" xfId="0" applyFont="1" applyFill="1" applyAlignment="1" applyProtection="1">
      <alignment vertical="top"/>
      <protection hidden="1"/>
    </xf>
    <xf numFmtId="165" fontId="15" fillId="0" borderId="0" xfId="1" applyNumberFormat="1" applyFont="1"/>
    <xf numFmtId="165" fontId="9" fillId="0" borderId="0" xfId="1" applyNumberFormat="1" applyFont="1" applyAlignment="1" applyProtection="1">
      <alignment vertical="center"/>
      <protection locked="0"/>
    </xf>
    <xf numFmtId="165" fontId="23" fillId="8" borderId="0" xfId="1" applyNumberFormat="1" applyFont="1" applyFill="1" applyAlignment="1">
      <alignment vertical="center"/>
    </xf>
    <xf numFmtId="165" fontId="23" fillId="0" borderId="0" xfId="1" applyNumberFormat="1" applyFont="1" applyFill="1" applyAlignment="1">
      <alignment vertical="center"/>
    </xf>
    <xf numFmtId="165" fontId="15" fillId="8" borderId="0" xfId="1" applyNumberFormat="1" applyFont="1" applyFill="1"/>
    <xf numFmtId="165" fontId="23" fillId="8" borderId="0" xfId="1" applyNumberFormat="1" applyFont="1" applyFill="1" applyAlignment="1">
      <alignment horizontal="center" vertical="center" wrapText="1"/>
    </xf>
    <xf numFmtId="165" fontId="23" fillId="0" borderId="0" xfId="1" applyNumberFormat="1" applyFont="1" applyAlignment="1">
      <alignment horizontal="center" vertical="center" wrapText="1"/>
    </xf>
    <xf numFmtId="165" fontId="15" fillId="8" borderId="0" xfId="1" applyNumberFormat="1" applyFont="1" applyFill="1" applyAlignment="1">
      <alignment vertical="center"/>
    </xf>
    <xf numFmtId="165" fontId="15" fillId="0" borderId="0" xfId="1" applyNumberFormat="1" applyFont="1" applyAlignment="1">
      <alignment vertical="center"/>
    </xf>
    <xf numFmtId="165" fontId="23" fillId="0" borderId="0" xfId="1" applyNumberFormat="1" applyFont="1" applyFill="1" applyAlignment="1">
      <alignment horizontal="center" vertical="center" wrapText="1"/>
    </xf>
    <xf numFmtId="165" fontId="23" fillId="7" borderId="0" xfId="1" applyNumberFormat="1" applyFont="1" applyFill="1" applyAlignment="1">
      <alignment horizontal="center" vertical="center" wrapText="1"/>
    </xf>
    <xf numFmtId="165" fontId="23" fillId="0" borderId="1" xfId="1" applyNumberFormat="1" applyFont="1" applyBorder="1"/>
    <xf numFmtId="166" fontId="15" fillId="0" borderId="1" xfId="1" applyNumberFormat="1" applyFont="1" applyBorder="1"/>
    <xf numFmtId="0" fontId="23" fillId="7" borderId="0" xfId="1" applyNumberFormat="1" applyFont="1" applyFill="1" applyAlignment="1">
      <alignment horizontal="center" vertical="center" wrapText="1"/>
    </xf>
    <xf numFmtId="0" fontId="23" fillId="0" borderId="1" xfId="1" applyNumberFormat="1" applyFont="1" applyBorder="1"/>
    <xf numFmtId="165" fontId="9" fillId="0" borderId="1" xfId="1" applyNumberFormat="1" applyFont="1" applyBorder="1" applyProtection="1">
      <protection locked="0"/>
    </xf>
    <xf numFmtId="165" fontId="9" fillId="0" borderId="0" xfId="1" applyNumberFormat="1" applyFont="1" applyBorder="1" applyProtection="1">
      <protection locked="0"/>
    </xf>
    <xf numFmtId="165" fontId="11" fillId="0" borderId="0" xfId="1" applyNumberFormat="1" applyFont="1" applyFill="1" applyBorder="1" applyAlignment="1" applyProtection="1">
      <alignment horizontal="center" vertical="center"/>
      <protection locked="0"/>
    </xf>
    <xf numFmtId="165" fontId="15" fillId="0" borderId="0" xfId="1" applyNumberFormat="1" applyFont="1" applyAlignment="1"/>
    <xf numFmtId="165" fontId="23" fillId="0" borderId="0" xfId="1" applyNumberFormat="1" applyFont="1" applyFill="1" applyAlignment="1">
      <alignment horizontal="left" vertical="center"/>
    </xf>
    <xf numFmtId="165" fontId="15" fillId="0" borderId="0" xfId="1" applyNumberFormat="1" applyFont="1" applyAlignment="1">
      <alignment horizontal="left"/>
    </xf>
    <xf numFmtId="165" fontId="15" fillId="0" borderId="0" xfId="1" applyNumberFormat="1" applyFont="1" applyAlignment="1">
      <alignment horizontal="left" vertical="center"/>
    </xf>
    <xf numFmtId="165" fontId="15" fillId="0" borderId="0" xfId="1" applyNumberFormat="1" applyFont="1" applyFill="1" applyAlignment="1">
      <alignment horizontal="left" vertical="center"/>
    </xf>
    <xf numFmtId="165" fontId="15" fillId="0" borderId="0" xfId="1" applyNumberFormat="1" applyFont="1" applyFill="1" applyAlignment="1">
      <alignment vertical="center"/>
    </xf>
    <xf numFmtId="165" fontId="15" fillId="0" borderId="0" xfId="1" applyNumberFormat="1" applyFont="1" applyAlignment="1">
      <alignment horizontal="center" vertical="center"/>
    </xf>
    <xf numFmtId="165" fontId="9" fillId="0" borderId="1" xfId="1" applyNumberFormat="1" applyFont="1" applyBorder="1" applyAlignment="1" applyProtection="1">
      <alignment horizontal="center"/>
      <protection locked="0"/>
    </xf>
    <xf numFmtId="165" fontId="29" fillId="2" borderId="0" xfId="1" applyNumberFormat="1" applyFont="1" applyFill="1" applyAlignment="1" applyProtection="1">
      <alignment vertical="center"/>
      <protection hidden="1"/>
    </xf>
    <xf numFmtId="165" fontId="24" fillId="2" borderId="0" xfId="1" applyNumberFormat="1" applyFont="1" applyFill="1" applyAlignment="1" applyProtection="1">
      <alignment vertical="center"/>
      <protection hidden="1"/>
    </xf>
    <xf numFmtId="165" fontId="8" fillId="2" borderId="0" xfId="1" applyNumberFormat="1" applyFont="1" applyFill="1" applyProtection="1">
      <protection hidden="1"/>
    </xf>
    <xf numFmtId="165" fontId="13" fillId="2" borderId="0" xfId="1" applyNumberFormat="1" applyFont="1" applyFill="1" applyProtection="1">
      <protection hidden="1"/>
    </xf>
    <xf numFmtId="165" fontId="25" fillId="2" borderId="0" xfId="1" applyNumberFormat="1" applyFont="1" applyFill="1" applyProtection="1">
      <protection hidden="1"/>
    </xf>
    <xf numFmtId="165" fontId="5" fillId="2" borderId="0" xfId="1" applyNumberFormat="1" applyFont="1" applyFill="1" applyAlignment="1" applyProtection="1">
      <alignment vertical="top"/>
      <protection hidden="1"/>
    </xf>
    <xf numFmtId="165" fontId="19" fillId="2" borderId="0" xfId="1" applyNumberFormat="1" applyFont="1" applyFill="1" applyProtection="1">
      <protection hidden="1"/>
    </xf>
    <xf numFmtId="165" fontId="5" fillId="2" borderId="0" xfId="1" applyNumberFormat="1" applyFont="1" applyFill="1" applyAlignment="1" applyProtection="1">
      <alignment horizontal="right"/>
      <protection hidden="1"/>
    </xf>
    <xf numFmtId="165" fontId="5" fillId="2" borderId="0" xfId="1" applyNumberFormat="1" applyFont="1" applyFill="1" applyAlignment="1" applyProtection="1">
      <alignment horizontal="left"/>
      <protection hidden="1"/>
    </xf>
    <xf numFmtId="165" fontId="5" fillId="2" borderId="0" xfId="1" applyNumberFormat="1" applyFont="1" applyFill="1" applyProtection="1">
      <protection hidden="1"/>
    </xf>
    <xf numFmtId="165" fontId="11" fillId="5" borderId="1" xfId="1" applyNumberFormat="1" applyFont="1" applyFill="1" applyBorder="1" applyAlignment="1" applyProtection="1">
      <alignment horizontal="center"/>
      <protection hidden="1"/>
    </xf>
    <xf numFmtId="165" fontId="11" fillId="5" borderId="1" xfId="1" applyNumberFormat="1" applyFont="1" applyFill="1" applyBorder="1" applyAlignment="1" applyProtection="1">
      <alignment horizontal="center" vertical="center"/>
      <protection hidden="1"/>
    </xf>
    <xf numFmtId="165" fontId="9" fillId="12" borderId="1" xfId="1" applyNumberFormat="1" applyFont="1" applyFill="1" applyBorder="1" applyAlignment="1" applyProtection="1">
      <alignment horizontal="center"/>
      <protection hidden="1"/>
    </xf>
    <xf numFmtId="165" fontId="11" fillId="12" borderId="1" xfId="1" applyNumberFormat="1" applyFont="1" applyFill="1" applyBorder="1" applyAlignment="1" applyProtection="1">
      <alignment horizontal="center"/>
      <protection hidden="1"/>
    </xf>
    <xf numFmtId="9" fontId="9" fillId="12" borderId="1" xfId="2" applyFont="1" applyFill="1" applyBorder="1" applyAlignment="1" applyProtection="1">
      <alignment horizontal="center"/>
      <protection hidden="1"/>
    </xf>
    <xf numFmtId="9" fontId="11" fillId="12" borderId="1" xfId="2" applyFont="1" applyFill="1" applyBorder="1" applyAlignment="1" applyProtection="1">
      <alignment horizontal="center"/>
      <protection hidden="1"/>
    </xf>
    <xf numFmtId="165" fontId="11" fillId="12" borderId="1" xfId="1" applyNumberFormat="1" applyFont="1" applyFill="1" applyBorder="1" applyProtection="1">
      <protection hidden="1"/>
    </xf>
    <xf numFmtId="165" fontId="33" fillId="2" borderId="0" xfId="1" applyNumberFormat="1" applyFont="1" applyFill="1" applyProtection="1">
      <protection hidden="1"/>
    </xf>
    <xf numFmtId="165" fontId="26" fillId="2" borderId="0" xfId="1" applyNumberFormat="1" applyFont="1" applyFill="1" applyAlignment="1" applyProtection="1">
      <alignment vertical="top"/>
      <protection hidden="1"/>
    </xf>
    <xf numFmtId="165" fontId="9" fillId="14" borderId="1" xfId="1" applyNumberFormat="1" applyFont="1" applyFill="1" applyBorder="1" applyAlignment="1" applyProtection="1">
      <alignment horizontal="center"/>
      <protection hidden="1"/>
    </xf>
    <xf numFmtId="165" fontId="11" fillId="14" borderId="1" xfId="1" applyNumberFormat="1" applyFont="1" applyFill="1" applyBorder="1" applyAlignment="1" applyProtection="1">
      <alignment horizontal="center"/>
      <protection hidden="1"/>
    </xf>
    <xf numFmtId="9" fontId="9" fillId="14" borderId="1" xfId="2" applyFont="1" applyFill="1" applyBorder="1" applyAlignment="1" applyProtection="1">
      <alignment horizontal="center"/>
      <protection hidden="1"/>
    </xf>
    <xf numFmtId="165" fontId="11" fillId="14" borderId="1" xfId="1" applyNumberFormat="1" applyFont="1" applyFill="1" applyBorder="1" applyProtection="1">
      <protection hidden="1"/>
    </xf>
    <xf numFmtId="9" fontId="11" fillId="14" borderId="1" xfId="2" applyFont="1" applyFill="1" applyBorder="1" applyAlignment="1" applyProtection="1">
      <alignment horizontal="center"/>
      <protection hidden="1"/>
    </xf>
    <xf numFmtId="165" fontId="9" fillId="0" borderId="1" xfId="1" applyNumberFormat="1" applyFont="1" applyFill="1" applyBorder="1" applyProtection="1">
      <protection locked="0"/>
    </xf>
    <xf numFmtId="165" fontId="9" fillId="15" borderId="1" xfId="1" applyNumberFormat="1" applyFont="1" applyFill="1" applyBorder="1" applyAlignment="1" applyProtection="1">
      <alignment horizontal="center"/>
      <protection hidden="1"/>
    </xf>
    <xf numFmtId="9" fontId="9" fillId="15" borderId="1" xfId="2" applyFont="1" applyFill="1" applyBorder="1" applyAlignment="1" applyProtection="1">
      <alignment horizontal="center"/>
      <protection hidden="1"/>
    </xf>
    <xf numFmtId="165" fontId="11" fillId="15" borderId="1" xfId="1" applyNumberFormat="1" applyFont="1" applyFill="1" applyBorder="1" applyProtection="1">
      <protection hidden="1"/>
    </xf>
    <xf numFmtId="9" fontId="11" fillId="15" borderId="1" xfId="2" applyFont="1" applyFill="1" applyBorder="1" applyAlignment="1" applyProtection="1">
      <alignment horizontal="center"/>
      <protection hidden="1"/>
    </xf>
    <xf numFmtId="168" fontId="34" fillId="0" borderId="0" xfId="4" applyNumberFormat="1" applyFont="1" applyBorder="1" applyAlignment="1">
      <alignment horizontal="left" wrapText="1"/>
    </xf>
    <xf numFmtId="0" fontId="15" fillId="0" borderId="0" xfId="3" applyFont="1" applyAlignment="1">
      <alignment horizontal="left" wrapText="1"/>
    </xf>
    <xf numFmtId="168" fontId="34" fillId="0" borderId="5" xfId="4" applyNumberFormat="1" applyFont="1" applyBorder="1" applyAlignment="1">
      <alignment horizontal="left" vertical="center" wrapText="1"/>
    </xf>
    <xf numFmtId="0" fontId="15" fillId="0" borderId="0" xfId="3" applyFont="1" applyAlignment="1">
      <alignment horizontal="left" vertical="center" wrapText="1"/>
    </xf>
    <xf numFmtId="0" fontId="15" fillId="0" borderId="0" xfId="3" applyFont="1" applyAlignment="1">
      <alignment vertical="center" wrapText="1"/>
    </xf>
    <xf numFmtId="168" fontId="34" fillId="0" borderId="5" xfId="4" applyNumberFormat="1" applyFont="1" applyBorder="1" applyAlignment="1">
      <alignment vertical="center" wrapText="1"/>
    </xf>
    <xf numFmtId="168" fontId="34" fillId="0" borderId="0" xfId="4" applyNumberFormat="1" applyFont="1" applyBorder="1" applyAlignment="1">
      <alignment vertical="center" wrapText="1"/>
    </xf>
    <xf numFmtId="0" fontId="15" fillId="0" borderId="0" xfId="0" applyFont="1"/>
    <xf numFmtId="0" fontId="15" fillId="0" borderId="0" xfId="0" applyFont="1" applyAlignment="1">
      <alignment horizontal="center"/>
    </xf>
    <xf numFmtId="0" fontId="37" fillId="2" borderId="0" xfId="0" applyFont="1" applyFill="1" applyAlignment="1" applyProtection="1">
      <alignment horizontal="right"/>
      <protection hidden="1"/>
    </xf>
    <xf numFmtId="0" fontId="19" fillId="2" borderId="0" xfId="0" applyFont="1" applyFill="1" applyAlignment="1" applyProtection="1">
      <alignment vertical="center" wrapText="1"/>
      <protection hidden="1"/>
    </xf>
    <xf numFmtId="0" fontId="19" fillId="2" borderId="0" xfId="0" applyFont="1" applyFill="1" applyAlignment="1" applyProtection="1">
      <alignment horizontal="center" vertical="center" wrapText="1"/>
      <protection hidden="1"/>
    </xf>
    <xf numFmtId="0" fontId="37" fillId="2" borderId="0" xfId="0" applyFont="1" applyFill="1" applyAlignment="1" applyProtection="1">
      <alignment horizontal="center"/>
      <protection hidden="1"/>
    </xf>
    <xf numFmtId="0" fontId="37" fillId="2" borderId="0" xfId="0" applyFont="1" applyFill="1" applyProtection="1">
      <protection hidden="1"/>
    </xf>
    <xf numFmtId="168" fontId="38" fillId="2" borderId="0" xfId="4" applyNumberFormat="1" applyFont="1" applyFill="1" applyBorder="1" applyAlignment="1" applyProtection="1">
      <alignment horizontal="center" vertical="center"/>
      <protection hidden="1"/>
    </xf>
    <xf numFmtId="168" fontId="38" fillId="2" borderId="0" xfId="4" applyNumberFormat="1" applyFont="1" applyFill="1" applyBorder="1" applyAlignment="1" applyProtection="1">
      <alignment horizontal="center" vertical="center"/>
      <protection locked="0"/>
    </xf>
    <xf numFmtId="0" fontId="14" fillId="2" borderId="0" xfId="0" applyFont="1" applyFill="1" applyProtection="1">
      <protection locked="0"/>
    </xf>
    <xf numFmtId="0" fontId="19" fillId="2" borderId="0" xfId="0" applyFont="1" applyFill="1" applyAlignment="1" applyProtection="1">
      <alignment horizontal="left" vertical="center" wrapText="1"/>
      <protection hidden="1"/>
    </xf>
    <xf numFmtId="0" fontId="33" fillId="2" borderId="0" xfId="0" applyFont="1" applyFill="1" applyAlignment="1" applyProtection="1">
      <alignment vertical="center"/>
      <protection hidden="1"/>
    </xf>
    <xf numFmtId="0" fontId="19" fillId="2" borderId="0" xfId="0" applyFont="1" applyFill="1" applyAlignment="1" applyProtection="1">
      <alignment horizontal="left" vertical="center"/>
      <protection hidden="1"/>
    </xf>
    <xf numFmtId="0" fontId="19" fillId="2" borderId="0" xfId="0" applyFont="1" applyFill="1" applyAlignment="1" applyProtection="1">
      <alignment horizontal="center" vertical="center"/>
      <protection hidden="1"/>
    </xf>
    <xf numFmtId="0" fontId="24" fillId="2" borderId="0" xfId="0" applyFont="1" applyFill="1" applyAlignment="1" applyProtection="1">
      <alignment vertical="center"/>
      <protection hidden="1"/>
    </xf>
    <xf numFmtId="0" fontId="15" fillId="0" borderId="8" xfId="3" applyFont="1" applyBorder="1" applyAlignment="1" applyProtection="1">
      <alignment horizontal="center" vertical="center" wrapText="1"/>
      <protection hidden="1"/>
    </xf>
    <xf numFmtId="168" fontId="15" fillId="0" borderId="8" xfId="4" applyNumberFormat="1" applyFont="1" applyFill="1" applyBorder="1" applyAlignment="1" applyProtection="1">
      <alignment vertical="center" wrapText="1"/>
      <protection hidden="1"/>
    </xf>
    <xf numFmtId="0" fontId="15" fillId="9" borderId="8" xfId="3" applyFont="1" applyFill="1" applyBorder="1" applyAlignment="1" applyProtection="1">
      <alignment horizontal="center" vertical="center" wrapText="1"/>
      <protection hidden="1"/>
    </xf>
    <xf numFmtId="168" fontId="34" fillId="0" borderId="0" xfId="4" applyNumberFormat="1" applyFont="1" applyBorder="1" applyAlignment="1">
      <alignment horizontal="left" vertical="center" wrapText="1"/>
    </xf>
    <xf numFmtId="0" fontId="35" fillId="0" borderId="8" xfId="3" applyFont="1" applyBorder="1" applyAlignment="1" applyProtection="1">
      <alignment vertical="center" wrapText="1"/>
      <protection hidden="1"/>
    </xf>
    <xf numFmtId="0" fontId="15" fillId="6" borderId="8" xfId="3" applyFont="1" applyFill="1" applyBorder="1" applyAlignment="1" applyProtection="1">
      <alignment vertical="center" textRotation="255" wrapText="1"/>
      <protection hidden="1"/>
    </xf>
    <xf numFmtId="0" fontId="23" fillId="0" borderId="12" xfId="3" applyFont="1" applyBorder="1" applyAlignment="1" applyProtection="1">
      <alignment horizontal="center" vertical="center" wrapText="1"/>
      <protection hidden="1"/>
    </xf>
    <xf numFmtId="0" fontId="15" fillId="9" borderId="12" xfId="3" applyFont="1" applyFill="1" applyBorder="1" applyAlignment="1" applyProtection="1">
      <alignment horizontal="center" vertical="center" wrapText="1"/>
      <protection hidden="1"/>
    </xf>
    <xf numFmtId="168" fontId="15" fillId="9" borderId="12" xfId="4" applyNumberFormat="1" applyFont="1" applyFill="1" applyBorder="1" applyAlignment="1" applyProtection="1">
      <alignment vertical="center" wrapText="1"/>
      <protection hidden="1"/>
    </xf>
    <xf numFmtId="0" fontId="15" fillId="0" borderId="12" xfId="3" applyFont="1" applyBorder="1" applyAlignment="1" applyProtection="1">
      <alignment horizontal="center" vertical="center" wrapText="1"/>
      <protection hidden="1"/>
    </xf>
    <xf numFmtId="168" fontId="15" fillId="0" borderId="12" xfId="4" applyNumberFormat="1" applyFont="1" applyFill="1" applyBorder="1" applyAlignment="1" applyProtection="1">
      <alignment vertical="center" wrapText="1"/>
      <protection hidden="1"/>
    </xf>
    <xf numFmtId="0" fontId="23" fillId="9" borderId="12" xfId="3" applyFont="1" applyFill="1" applyBorder="1" applyAlignment="1" applyProtection="1">
      <alignment horizontal="center" vertical="center" wrapText="1"/>
      <protection hidden="1"/>
    </xf>
    <xf numFmtId="168" fontId="23" fillId="9" borderId="12" xfId="4" applyNumberFormat="1" applyFont="1" applyFill="1" applyBorder="1" applyAlignment="1" applyProtection="1">
      <alignment vertical="center" wrapText="1"/>
      <protection hidden="1"/>
    </xf>
    <xf numFmtId="168" fontId="34" fillId="0" borderId="12" xfId="4" applyNumberFormat="1" applyFont="1" applyFill="1" applyBorder="1" applyAlignment="1" applyProtection="1">
      <alignment vertical="center" wrapText="1"/>
      <protection hidden="1"/>
    </xf>
    <xf numFmtId="0" fontId="23" fillId="9" borderId="13" xfId="3" applyFont="1" applyFill="1" applyBorder="1" applyAlignment="1" applyProtection="1">
      <alignment horizontal="center" vertical="center" wrapText="1"/>
      <protection hidden="1"/>
    </xf>
    <xf numFmtId="168" fontId="23" fillId="9" borderId="13" xfId="4" applyNumberFormat="1" applyFont="1" applyFill="1" applyBorder="1" applyAlignment="1" applyProtection="1">
      <alignment vertical="center" wrapText="1"/>
      <protection hidden="1"/>
    </xf>
    <xf numFmtId="0" fontId="15" fillId="9" borderId="13" xfId="3" applyFont="1" applyFill="1" applyBorder="1" applyAlignment="1" applyProtection="1">
      <alignment horizontal="center" vertical="center" wrapText="1"/>
      <protection hidden="1"/>
    </xf>
    <xf numFmtId="168" fontId="15" fillId="9" borderId="13" xfId="4" applyNumberFormat="1" applyFont="1" applyFill="1" applyBorder="1" applyAlignment="1" applyProtection="1">
      <alignment vertical="center" wrapText="1"/>
      <protection hidden="1"/>
    </xf>
    <xf numFmtId="0" fontId="15" fillId="0" borderId="13" xfId="3" applyFont="1" applyBorder="1" applyAlignment="1" applyProtection="1">
      <alignment horizontal="center" vertical="center" wrapText="1"/>
      <protection hidden="1"/>
    </xf>
    <xf numFmtId="168" fontId="15" fillId="0" borderId="13" xfId="4" applyNumberFormat="1" applyFont="1" applyFill="1" applyBorder="1" applyAlignment="1" applyProtection="1">
      <alignment vertical="center" wrapText="1"/>
      <protection hidden="1"/>
    </xf>
    <xf numFmtId="0" fontId="15" fillId="9" borderId="14" xfId="3" applyFont="1" applyFill="1" applyBorder="1" applyAlignment="1" applyProtection="1">
      <alignment horizontal="center" vertical="center" wrapText="1"/>
      <protection hidden="1"/>
    </xf>
    <xf numFmtId="0" fontId="23" fillId="0" borderId="13" xfId="3" applyFont="1" applyBorder="1" applyAlignment="1" applyProtection="1">
      <alignment horizontal="center" vertical="center" wrapText="1"/>
      <protection hidden="1"/>
    </xf>
    <xf numFmtId="0" fontId="15" fillId="0" borderId="14" xfId="3" applyFont="1" applyBorder="1" applyAlignment="1" applyProtection="1">
      <alignment horizontal="center" vertical="center" wrapText="1"/>
      <protection hidden="1"/>
    </xf>
    <xf numFmtId="168" fontId="15" fillId="0" borderId="14" xfId="4" applyNumberFormat="1" applyFont="1" applyFill="1" applyBorder="1" applyAlignment="1" applyProtection="1">
      <alignment vertical="center" wrapText="1"/>
      <protection hidden="1"/>
    </xf>
    <xf numFmtId="0" fontId="15" fillId="0" borderId="10" xfId="3" applyFont="1" applyBorder="1" applyAlignment="1" applyProtection="1">
      <alignment horizontal="center" vertical="center" wrapText="1"/>
      <protection hidden="1"/>
    </xf>
    <xf numFmtId="0" fontId="11" fillId="0" borderId="8" xfId="3" applyFont="1" applyBorder="1" applyAlignment="1" applyProtection="1">
      <alignment horizontal="center" vertical="center" wrapText="1"/>
      <protection hidden="1"/>
    </xf>
    <xf numFmtId="165" fontId="9" fillId="12" borderId="1" xfId="1" applyNumberFormat="1" applyFont="1" applyFill="1" applyBorder="1" applyProtection="1">
      <protection hidden="1"/>
    </xf>
    <xf numFmtId="165" fontId="9" fillId="14" borderId="1" xfId="1" applyNumberFormat="1" applyFont="1" applyFill="1" applyBorder="1" applyProtection="1">
      <protection hidden="1"/>
    </xf>
    <xf numFmtId="165" fontId="15" fillId="9" borderId="12" xfId="1" applyNumberFormat="1" applyFont="1" applyFill="1" applyBorder="1" applyAlignment="1" applyProtection="1">
      <alignment vertical="center" wrapText="1"/>
      <protection hidden="1"/>
    </xf>
    <xf numFmtId="165" fontId="15" fillId="0" borderId="12" xfId="1" applyNumberFormat="1" applyFont="1" applyFill="1" applyBorder="1" applyAlignment="1" applyProtection="1">
      <alignment vertical="center" wrapText="1"/>
      <protection hidden="1"/>
    </xf>
    <xf numFmtId="165" fontId="23" fillId="9" borderId="12" xfId="1" applyNumberFormat="1" applyFont="1" applyFill="1" applyBorder="1" applyAlignment="1" applyProtection="1">
      <alignment vertical="center" wrapText="1"/>
      <protection hidden="1"/>
    </xf>
    <xf numFmtId="165" fontId="23" fillId="9" borderId="13" xfId="1" applyNumberFormat="1" applyFont="1" applyFill="1" applyBorder="1" applyAlignment="1" applyProtection="1">
      <alignment vertical="center" wrapText="1"/>
      <protection hidden="1"/>
    </xf>
    <xf numFmtId="165" fontId="15" fillId="9" borderId="13" xfId="1" applyNumberFormat="1" applyFont="1" applyFill="1" applyBorder="1" applyAlignment="1" applyProtection="1">
      <alignment vertical="center" wrapText="1"/>
      <protection hidden="1"/>
    </xf>
    <xf numFmtId="165" fontId="15" fillId="0" borderId="13" xfId="1" applyNumberFormat="1" applyFont="1" applyFill="1" applyBorder="1" applyAlignment="1" applyProtection="1">
      <alignment vertical="center" wrapText="1"/>
      <protection hidden="1"/>
    </xf>
    <xf numFmtId="165" fontId="15" fillId="0" borderId="14" xfId="1" applyNumberFormat="1" applyFont="1" applyFill="1" applyBorder="1" applyAlignment="1" applyProtection="1">
      <alignment vertical="center" wrapText="1"/>
      <protection hidden="1"/>
    </xf>
    <xf numFmtId="165" fontId="34" fillId="0" borderId="12" xfId="1" applyNumberFormat="1" applyFont="1" applyFill="1" applyBorder="1" applyAlignment="1" applyProtection="1">
      <alignment vertical="center" wrapText="1"/>
      <protection hidden="1"/>
    </xf>
    <xf numFmtId="165" fontId="15" fillId="9" borderId="14" xfId="1" applyNumberFormat="1" applyFont="1" applyFill="1" applyBorder="1" applyAlignment="1" applyProtection="1">
      <alignment vertical="center" wrapText="1"/>
      <protection hidden="1"/>
    </xf>
    <xf numFmtId="165" fontId="15" fillId="0" borderId="12" xfId="1" applyNumberFormat="1" applyFont="1" applyBorder="1" applyAlignment="1" applyProtection="1">
      <alignment vertical="center" wrapText="1"/>
      <protection hidden="1"/>
    </xf>
    <xf numFmtId="168" fontId="15" fillId="0" borderId="0" xfId="0" applyNumberFormat="1" applyFont="1"/>
    <xf numFmtId="0" fontId="43" fillId="6" borderId="1" xfId="0" applyFont="1" applyFill="1" applyBorder="1" applyAlignment="1" applyProtection="1">
      <alignment horizontal="center" vertical="center" wrapText="1"/>
      <protection locked="0"/>
    </xf>
    <xf numFmtId="0" fontId="9" fillId="6" borderId="0" xfId="0" applyFont="1" applyFill="1" applyAlignment="1" applyProtection="1">
      <alignment horizontal="left" wrapText="1"/>
      <protection locked="0"/>
    </xf>
    <xf numFmtId="0" fontId="9" fillId="6" borderId="0" xfId="0" applyFont="1" applyFill="1" applyAlignment="1" applyProtection="1">
      <alignment wrapText="1"/>
      <protection locked="0"/>
    </xf>
    <xf numFmtId="168" fontId="43" fillId="6" borderId="1" xfId="4" applyNumberFormat="1" applyFont="1" applyFill="1" applyBorder="1" applyAlignment="1" applyProtection="1">
      <alignment wrapText="1"/>
      <protection locked="0"/>
    </xf>
    <xf numFmtId="168" fontId="43" fillId="6" borderId="0" xfId="4" applyNumberFormat="1" applyFont="1" applyFill="1" applyAlignment="1" applyProtection="1">
      <alignment wrapText="1"/>
      <protection locked="0"/>
    </xf>
    <xf numFmtId="0" fontId="45" fillId="6" borderId="0" xfId="0" applyFont="1" applyFill="1" applyAlignment="1" applyProtection="1">
      <alignment horizontal="center" wrapText="1"/>
      <protection locked="0"/>
    </xf>
    <xf numFmtId="165" fontId="45" fillId="0" borderId="0" xfId="4" applyNumberFormat="1" applyFont="1" applyFill="1" applyBorder="1" applyAlignment="1" applyProtection="1">
      <alignment vertical="center"/>
      <protection hidden="1"/>
    </xf>
    <xf numFmtId="165" fontId="45" fillId="0" borderId="0" xfId="4" applyNumberFormat="1" applyFont="1" applyAlignment="1" applyProtection="1">
      <alignment vertical="center"/>
      <protection hidden="1"/>
    </xf>
    <xf numFmtId="170" fontId="9" fillId="18" borderId="1" xfId="4" applyNumberFormat="1" applyFont="1" applyFill="1" applyBorder="1" applyAlignment="1" applyProtection="1">
      <protection hidden="1"/>
    </xf>
    <xf numFmtId="165" fontId="9" fillId="0" borderId="0" xfId="4" applyNumberFormat="1" applyFont="1" applyBorder="1" applyAlignment="1" applyProtection="1">
      <protection locked="0"/>
    </xf>
    <xf numFmtId="165" fontId="11" fillId="0" borderId="0" xfId="4" applyNumberFormat="1" applyFont="1" applyBorder="1" applyAlignment="1" applyProtection="1">
      <protection hidden="1"/>
    </xf>
    <xf numFmtId="170" fontId="9" fillId="0" borderId="1" xfId="4" applyNumberFormat="1" applyFont="1" applyFill="1" applyBorder="1" applyAlignment="1" applyProtection="1">
      <protection locked="0"/>
    </xf>
    <xf numFmtId="0" fontId="9" fillId="18" borderId="1" xfId="4" applyNumberFormat="1" applyFont="1" applyFill="1" applyBorder="1" applyAlignment="1" applyProtection="1">
      <alignment horizontal="center"/>
      <protection hidden="1"/>
    </xf>
    <xf numFmtId="171" fontId="9" fillId="18" borderId="1" xfId="2" applyNumberFormat="1" applyFont="1" applyFill="1" applyBorder="1" applyAlignment="1" applyProtection="1">
      <alignment horizontal="center"/>
      <protection hidden="1"/>
    </xf>
    <xf numFmtId="165" fontId="9" fillId="0" borderId="0" xfId="4" applyNumberFormat="1" applyFont="1" applyAlignment="1" applyProtection="1">
      <protection locked="0"/>
    </xf>
    <xf numFmtId="165" fontId="11" fillId="0" borderId="0" xfId="4" applyNumberFormat="1" applyFont="1" applyAlignment="1" applyProtection="1">
      <protection hidden="1"/>
    </xf>
    <xf numFmtId="170" fontId="11" fillId="18" borderId="1" xfId="4" applyNumberFormat="1" applyFont="1" applyFill="1" applyBorder="1" applyAlignment="1" applyProtection="1">
      <protection hidden="1"/>
    </xf>
    <xf numFmtId="0" fontId="9" fillId="6" borderId="0" xfId="0" applyFont="1" applyFill="1" applyAlignment="1" applyProtection="1">
      <alignment horizontal="left" vertical="center" wrapText="1"/>
      <protection locked="0"/>
    </xf>
    <xf numFmtId="170" fontId="11" fillId="18" borderId="1" xfId="4" applyNumberFormat="1" applyFont="1" applyFill="1" applyBorder="1" applyAlignment="1" applyProtection="1">
      <alignment vertical="center"/>
      <protection hidden="1"/>
    </xf>
    <xf numFmtId="0" fontId="9" fillId="6" borderId="0" xfId="0" applyFont="1" applyFill="1" applyAlignment="1" applyProtection="1">
      <alignment vertical="center"/>
      <protection locked="0"/>
    </xf>
    <xf numFmtId="0" fontId="9" fillId="6" borderId="0" xfId="0" applyFont="1" applyFill="1" applyAlignment="1" applyProtection="1">
      <alignment vertical="center" wrapText="1"/>
      <protection locked="0"/>
    </xf>
    <xf numFmtId="0" fontId="45" fillId="6" borderId="0" xfId="0" applyFont="1" applyFill="1" applyAlignment="1" applyProtection="1">
      <alignment horizontal="center" vertical="center" wrapText="1"/>
      <protection locked="0"/>
    </xf>
    <xf numFmtId="168" fontId="43" fillId="6" borderId="0" xfId="4" applyNumberFormat="1" applyFont="1" applyFill="1" applyAlignment="1" applyProtection="1">
      <alignment vertical="center" wrapText="1"/>
      <protection locked="0"/>
    </xf>
    <xf numFmtId="3" fontId="9" fillId="0" borderId="1" xfId="4" applyNumberFormat="1" applyFont="1" applyBorder="1" applyAlignment="1" applyProtection="1">
      <protection locked="0"/>
    </xf>
    <xf numFmtId="3" fontId="9" fillId="18" borderId="1" xfId="4" applyNumberFormat="1" applyFont="1" applyFill="1" applyBorder="1" applyAlignment="1" applyProtection="1">
      <alignment horizontal="right"/>
      <protection hidden="1"/>
    </xf>
    <xf numFmtId="3" fontId="9" fillId="18" borderId="1" xfId="4" applyNumberFormat="1" applyFont="1" applyFill="1" applyBorder="1" applyAlignment="1" applyProtection="1">
      <protection hidden="1"/>
    </xf>
    <xf numFmtId="9" fontId="9" fillId="18" borderId="1" xfId="2" applyFont="1" applyFill="1" applyBorder="1" applyAlignment="1" applyProtection="1">
      <alignment horizontal="center"/>
      <protection hidden="1"/>
    </xf>
    <xf numFmtId="165" fontId="9" fillId="0" borderId="0" xfId="4" applyNumberFormat="1" applyFont="1" applyFill="1" applyBorder="1" applyAlignment="1" applyProtection="1">
      <protection locked="0"/>
    </xf>
    <xf numFmtId="171" fontId="9" fillId="0" borderId="0" xfId="2" applyNumberFormat="1" applyFont="1" applyFill="1" applyBorder="1" applyAlignment="1" applyProtection="1">
      <alignment horizontal="center"/>
      <protection locked="0"/>
    </xf>
    <xf numFmtId="3" fontId="11" fillId="18" borderId="1" xfId="4" applyNumberFormat="1" applyFont="1" applyFill="1" applyBorder="1" applyAlignment="1" applyProtection="1">
      <protection hidden="1"/>
    </xf>
    <xf numFmtId="3" fontId="11" fillId="18" borderId="1" xfId="4" applyNumberFormat="1" applyFont="1" applyFill="1" applyBorder="1" applyAlignment="1" applyProtection="1">
      <alignment vertical="center"/>
      <protection hidden="1"/>
    </xf>
    <xf numFmtId="169" fontId="9" fillId="5" borderId="1" xfId="1" applyNumberFormat="1" applyFont="1" applyFill="1" applyBorder="1" applyAlignment="1" applyProtection="1">
      <alignment horizontal="center" vertical="center"/>
      <protection hidden="1"/>
    </xf>
    <xf numFmtId="165" fontId="9" fillId="6" borderId="1" xfId="1" applyNumberFormat="1" applyFont="1" applyFill="1" applyBorder="1" applyAlignment="1" applyProtection="1">
      <alignment wrapText="1"/>
      <protection locked="0"/>
    </xf>
    <xf numFmtId="165" fontId="45" fillId="6" borderId="1" xfId="1" applyNumberFormat="1" applyFont="1" applyFill="1" applyBorder="1" applyAlignment="1" applyProtection="1">
      <alignment horizontal="center" wrapText="1"/>
      <protection locked="0"/>
    </xf>
    <xf numFmtId="165" fontId="9" fillId="0" borderId="1" xfId="1" applyNumberFormat="1" applyFont="1" applyFill="1" applyBorder="1" applyAlignment="1" applyProtection="1">
      <alignment horizontal="center" vertical="center"/>
      <protection locked="0"/>
    </xf>
    <xf numFmtId="165" fontId="9" fillId="0" borderId="0" xfId="1" applyNumberFormat="1" applyFont="1" applyFill="1" applyBorder="1" applyAlignment="1" applyProtection="1">
      <alignment horizontal="center" vertical="center"/>
      <protection locked="0"/>
    </xf>
    <xf numFmtId="165" fontId="42" fillId="0" borderId="1" xfId="1" applyNumberFormat="1" applyFont="1" applyFill="1" applyBorder="1" applyAlignment="1" applyProtection="1">
      <alignment horizontal="center" vertical="center"/>
      <protection hidden="1"/>
    </xf>
    <xf numFmtId="165" fontId="11" fillId="0" borderId="1" xfId="1" applyNumberFormat="1" applyFont="1" applyFill="1" applyBorder="1" applyAlignment="1" applyProtection="1">
      <alignment horizontal="center" vertical="center"/>
      <protection hidden="1"/>
    </xf>
    <xf numFmtId="0" fontId="11" fillId="0" borderId="0" xfId="1" applyNumberFormat="1" applyFont="1" applyProtection="1">
      <protection locked="0"/>
    </xf>
    <xf numFmtId="165" fontId="11" fillId="20" borderId="1" xfId="1" applyNumberFormat="1" applyFont="1" applyFill="1" applyBorder="1" applyAlignment="1" applyProtection="1">
      <alignment horizontal="center" vertical="center"/>
      <protection hidden="1"/>
    </xf>
    <xf numFmtId="165" fontId="30" fillId="0" borderId="1" xfId="1" applyNumberFormat="1" applyFont="1" applyBorder="1" applyAlignment="1" applyProtection="1">
      <alignment horizontal="center"/>
      <protection locked="0"/>
    </xf>
    <xf numFmtId="166" fontId="9" fillId="0" borderId="1" xfId="4" applyNumberFormat="1" applyFont="1" applyFill="1" applyBorder="1" applyAlignment="1" applyProtection="1">
      <alignment horizontal="center"/>
      <protection locked="0"/>
    </xf>
    <xf numFmtId="9" fontId="46" fillId="18" borderId="1" xfId="2" applyFont="1" applyFill="1" applyBorder="1" applyAlignment="1" applyProtection="1">
      <alignment horizontal="center"/>
      <protection hidden="1"/>
    </xf>
    <xf numFmtId="172" fontId="9" fillId="18" borderId="1" xfId="4" applyNumberFormat="1" applyFont="1" applyFill="1" applyBorder="1" applyAlignment="1" applyProtection="1">
      <alignment horizontal="center"/>
      <protection hidden="1"/>
    </xf>
    <xf numFmtId="165" fontId="46" fillId="0" borderId="1" xfId="4" applyNumberFormat="1" applyFont="1" applyBorder="1" applyAlignment="1" applyProtection="1">
      <alignment horizontal="center"/>
      <protection locked="0"/>
    </xf>
    <xf numFmtId="166" fontId="9" fillId="0" borderId="1" xfId="4" applyNumberFormat="1" applyFont="1" applyFill="1" applyBorder="1" applyAlignment="1" applyProtection="1">
      <alignment horizontal="center" vertical="center"/>
      <protection locked="0"/>
    </xf>
    <xf numFmtId="0" fontId="9" fillId="0" borderId="1" xfId="1" applyNumberFormat="1" applyFont="1" applyFill="1" applyBorder="1" applyAlignment="1" applyProtection="1">
      <alignment horizontal="center"/>
      <protection locked="0"/>
    </xf>
    <xf numFmtId="2" fontId="9" fillId="18" borderId="1" xfId="4" applyNumberFormat="1" applyFont="1" applyFill="1" applyBorder="1" applyAlignment="1" applyProtection="1">
      <alignment horizontal="center"/>
      <protection hidden="1"/>
    </xf>
    <xf numFmtId="165" fontId="31" fillId="0" borderId="0" xfId="1" applyNumberFormat="1" applyFont="1" applyFill="1" applyAlignment="1" applyProtection="1">
      <alignment vertical="center"/>
      <protection hidden="1"/>
    </xf>
    <xf numFmtId="0" fontId="42" fillId="18" borderId="1" xfId="0" applyFont="1" applyFill="1" applyBorder="1" applyAlignment="1" applyProtection="1">
      <alignment horizontal="center" wrapText="1"/>
      <protection locked="0"/>
    </xf>
    <xf numFmtId="0" fontId="42" fillId="18" borderId="4" xfId="0" applyFont="1" applyFill="1" applyBorder="1" applyProtection="1">
      <protection locked="0"/>
    </xf>
    <xf numFmtId="165" fontId="11" fillId="0" borderId="0" xfId="1" applyNumberFormat="1" applyFont="1" applyProtection="1">
      <protection locked="0"/>
    </xf>
    <xf numFmtId="165" fontId="11" fillId="0" borderId="0" xfId="1" applyNumberFormat="1" applyFont="1" applyAlignment="1" applyProtection="1">
      <alignment horizontal="center" vertical="center"/>
      <protection locked="0"/>
    </xf>
    <xf numFmtId="165" fontId="15" fillId="0" borderId="0" xfId="1" applyNumberFormat="1" applyFont="1" applyAlignment="1">
      <alignment horizontal="left" vertical="center" wrapText="1"/>
    </xf>
    <xf numFmtId="0" fontId="11" fillId="23" borderId="1" xfId="1" applyNumberFormat="1" applyFont="1" applyFill="1" applyBorder="1" applyAlignment="1" applyProtection="1">
      <alignment horizontal="center" vertical="center"/>
      <protection hidden="1"/>
    </xf>
    <xf numFmtId="165" fontId="11" fillId="23" borderId="1" xfId="1" applyNumberFormat="1" applyFont="1" applyFill="1" applyBorder="1" applyAlignment="1" applyProtection="1">
      <alignment horizontal="center" vertical="center"/>
      <protection hidden="1"/>
    </xf>
    <xf numFmtId="165" fontId="11" fillId="23" borderId="1" xfId="1" applyNumberFormat="1" applyFont="1" applyFill="1" applyBorder="1" applyAlignment="1" applyProtection="1">
      <alignment horizontal="center" vertical="center" wrapText="1"/>
      <protection hidden="1"/>
    </xf>
    <xf numFmtId="0" fontId="9" fillId="23" borderId="1" xfId="1" applyNumberFormat="1" applyFont="1" applyFill="1" applyBorder="1" applyAlignment="1" applyProtection="1">
      <alignment horizontal="center"/>
      <protection hidden="1"/>
    </xf>
    <xf numFmtId="165" fontId="9" fillId="23" borderId="1" xfId="1" applyNumberFormat="1" applyFont="1" applyFill="1" applyBorder="1" applyProtection="1">
      <protection hidden="1"/>
    </xf>
    <xf numFmtId="165" fontId="11" fillId="23" borderId="1" xfId="1" applyNumberFormat="1" applyFont="1" applyFill="1" applyBorder="1" applyProtection="1">
      <protection hidden="1"/>
    </xf>
    <xf numFmtId="0" fontId="11" fillId="23" borderId="1" xfId="1" applyNumberFormat="1" applyFont="1" applyFill="1" applyBorder="1" applyAlignment="1" applyProtection="1">
      <alignment horizontal="center"/>
      <protection hidden="1"/>
    </xf>
    <xf numFmtId="10" fontId="9" fillId="23" borderId="1" xfId="2" applyNumberFormat="1" applyFont="1" applyFill="1" applyBorder="1" applyAlignment="1" applyProtection="1">
      <alignment horizontal="center"/>
      <protection hidden="1"/>
    </xf>
    <xf numFmtId="10" fontId="9" fillId="23" borderId="22" xfId="2" applyNumberFormat="1" applyFont="1" applyFill="1" applyBorder="1" applyAlignment="1" applyProtection="1">
      <alignment horizontal="center"/>
      <protection hidden="1"/>
    </xf>
    <xf numFmtId="165" fontId="11" fillId="0" borderId="0" xfId="1" applyNumberFormat="1" applyFont="1" applyFill="1" applyAlignment="1" applyProtection="1">
      <alignment horizontal="center" vertical="center"/>
      <protection locked="0"/>
    </xf>
    <xf numFmtId="165" fontId="11" fillId="28" borderId="1" xfId="1" applyNumberFormat="1" applyFont="1" applyFill="1" applyBorder="1" applyAlignment="1" applyProtection="1">
      <alignment horizontal="center" vertical="center"/>
      <protection hidden="1"/>
    </xf>
    <xf numFmtId="165" fontId="11" fillId="28" borderId="1" xfId="1" applyNumberFormat="1" applyFont="1" applyFill="1" applyBorder="1" applyAlignment="1" applyProtection="1">
      <alignment horizontal="center"/>
      <protection hidden="1"/>
    </xf>
    <xf numFmtId="165" fontId="11" fillId="0" borderId="0" xfId="1" applyNumberFormat="1" applyFont="1" applyFill="1" applyBorder="1" applyAlignment="1" applyProtection="1">
      <alignment horizontal="center" vertical="center"/>
      <protection hidden="1"/>
    </xf>
    <xf numFmtId="0" fontId="42" fillId="18" borderId="2" xfId="0" applyFont="1" applyFill="1" applyBorder="1" applyProtection="1">
      <protection locked="0"/>
    </xf>
    <xf numFmtId="0" fontId="42" fillId="18" borderId="3" xfId="0" applyFont="1" applyFill="1" applyBorder="1" applyProtection="1">
      <protection locked="0"/>
    </xf>
    <xf numFmtId="165" fontId="11" fillId="0" borderId="0" xfId="1" applyNumberFormat="1" applyFont="1" applyFill="1" applyAlignment="1" applyProtection="1">
      <alignment vertical="center"/>
      <protection hidden="1"/>
    </xf>
    <xf numFmtId="165" fontId="9" fillId="28" borderId="1" xfId="1" applyNumberFormat="1" applyFont="1" applyFill="1" applyBorder="1" applyAlignment="1" applyProtection="1">
      <alignment vertical="center"/>
      <protection hidden="1"/>
    </xf>
    <xf numFmtId="165" fontId="11" fillId="28" borderId="1" xfId="1" applyNumberFormat="1" applyFont="1" applyFill="1" applyBorder="1" applyAlignment="1" applyProtection="1">
      <alignment vertical="center"/>
      <protection hidden="1"/>
    </xf>
    <xf numFmtId="165" fontId="11" fillId="0" borderId="0" xfId="1" applyNumberFormat="1" applyFont="1" applyFill="1" applyProtection="1">
      <protection locked="0"/>
    </xf>
    <xf numFmtId="165" fontId="11" fillId="0" borderId="0" xfId="1" applyNumberFormat="1" applyFont="1" applyBorder="1" applyProtection="1">
      <protection locked="0"/>
    </xf>
    <xf numFmtId="165" fontId="9" fillId="0" borderId="0" xfId="1" applyNumberFormat="1" applyFont="1" applyFill="1" applyAlignment="1" applyProtection="1">
      <alignment vertical="center"/>
      <protection hidden="1"/>
    </xf>
    <xf numFmtId="165" fontId="9" fillId="0" borderId="0" xfId="1" applyNumberFormat="1" applyFont="1" applyFill="1" applyBorder="1" applyProtection="1">
      <protection locked="0"/>
    </xf>
    <xf numFmtId="165" fontId="9" fillId="0" borderId="1" xfId="1" applyNumberFormat="1" applyFont="1" applyFill="1" applyBorder="1" applyAlignment="1" applyProtection="1">
      <alignment vertical="center"/>
      <protection locked="0"/>
    </xf>
    <xf numFmtId="0" fontId="9" fillId="28" borderId="1" xfId="1" applyNumberFormat="1" applyFont="1" applyFill="1" applyBorder="1" applyAlignment="1" applyProtection="1">
      <alignment horizontal="center"/>
      <protection hidden="1"/>
    </xf>
    <xf numFmtId="0" fontId="11" fillId="28" borderId="1" xfId="1" applyNumberFormat="1" applyFont="1" applyFill="1" applyBorder="1" applyAlignment="1" applyProtection="1">
      <alignment horizontal="center"/>
      <protection hidden="1"/>
    </xf>
    <xf numFmtId="0" fontId="11" fillId="20" borderId="1" xfId="1" applyNumberFormat="1" applyFont="1" applyFill="1" applyBorder="1" applyAlignment="1" applyProtection="1">
      <alignment horizontal="center" vertical="center"/>
      <protection hidden="1"/>
    </xf>
    <xf numFmtId="165" fontId="47" fillId="6" borderId="0" xfId="1" applyNumberFormat="1" applyFont="1" applyFill="1" applyAlignment="1" applyProtection="1">
      <protection hidden="1"/>
    </xf>
    <xf numFmtId="165" fontId="48" fillId="0" borderId="0" xfId="4" applyNumberFormat="1" applyFont="1" applyFill="1" applyBorder="1" applyAlignment="1" applyProtection="1">
      <alignment horizontal="center"/>
      <protection hidden="1"/>
    </xf>
    <xf numFmtId="165" fontId="2" fillId="0" borderId="0" xfId="4" applyNumberFormat="1" applyFont="1" applyFill="1" applyBorder="1" applyAlignment="1" applyProtection="1">
      <alignment horizontal="center"/>
      <protection hidden="1"/>
    </xf>
    <xf numFmtId="14" fontId="2" fillId="0" borderId="0" xfId="4" applyNumberFormat="1" applyFont="1" applyFill="1" applyBorder="1" applyAlignment="1" applyProtection="1">
      <alignment horizontal="center"/>
      <protection hidden="1"/>
    </xf>
    <xf numFmtId="165" fontId="8" fillId="0" borderId="0" xfId="4" applyNumberFormat="1" applyFont="1" applyFill="1" applyBorder="1" applyAlignment="1" applyProtection="1">
      <protection hidden="1"/>
    </xf>
    <xf numFmtId="165" fontId="15" fillId="12" borderId="7" xfId="1" applyNumberFormat="1" applyFont="1" applyFill="1" applyBorder="1" applyAlignment="1" applyProtection="1">
      <alignment horizontal="center" vertical="center" wrapText="1"/>
      <protection hidden="1"/>
    </xf>
    <xf numFmtId="165" fontId="11" fillId="12" borderId="6" xfId="1" applyNumberFormat="1" applyFont="1" applyFill="1" applyBorder="1" applyAlignment="1" applyProtection="1">
      <alignment horizontal="center" wrapText="1"/>
      <protection hidden="1"/>
    </xf>
    <xf numFmtId="0" fontId="11" fillId="12" borderId="1" xfId="1" applyNumberFormat="1" applyFont="1" applyFill="1" applyBorder="1" applyAlignment="1" applyProtection="1">
      <alignment horizontal="center" wrapText="1"/>
      <protection hidden="1"/>
    </xf>
    <xf numFmtId="165" fontId="11" fillId="14" borderId="6" xfId="1" applyNumberFormat="1" applyFont="1" applyFill="1" applyBorder="1" applyAlignment="1" applyProtection="1">
      <alignment horizontal="center" wrapText="1"/>
      <protection hidden="1"/>
    </xf>
    <xf numFmtId="165" fontId="15" fillId="14" borderId="7" xfId="1" applyNumberFormat="1" applyFont="1" applyFill="1" applyBorder="1" applyAlignment="1" applyProtection="1">
      <alignment horizontal="center" vertical="center" wrapText="1"/>
      <protection hidden="1"/>
    </xf>
    <xf numFmtId="0" fontId="11" fillId="14" borderId="1" xfId="1" applyNumberFormat="1" applyFont="1" applyFill="1" applyBorder="1" applyAlignment="1" applyProtection="1">
      <alignment horizontal="center" wrapText="1"/>
      <protection hidden="1"/>
    </xf>
    <xf numFmtId="165" fontId="11" fillId="15" borderId="6" xfId="1" applyNumberFormat="1" applyFont="1" applyFill="1" applyBorder="1" applyAlignment="1" applyProtection="1">
      <alignment horizontal="center" wrapText="1"/>
      <protection hidden="1"/>
    </xf>
    <xf numFmtId="165" fontId="15" fillId="15" borderId="7" xfId="1" applyNumberFormat="1" applyFont="1" applyFill="1" applyBorder="1" applyAlignment="1" applyProtection="1">
      <alignment horizontal="center" vertical="center" wrapText="1"/>
      <protection hidden="1"/>
    </xf>
    <xf numFmtId="165" fontId="30" fillId="0" borderId="2" xfId="1" applyNumberFormat="1" applyFont="1" applyBorder="1" applyAlignment="1" applyProtection="1">
      <alignment horizontal="center"/>
      <protection locked="0"/>
    </xf>
    <xf numFmtId="165" fontId="30" fillId="0" borderId="4" xfId="1" applyNumberFormat="1" applyFont="1" applyBorder="1" applyAlignment="1" applyProtection="1">
      <alignment horizontal="center"/>
      <protection locked="0"/>
    </xf>
    <xf numFmtId="0" fontId="9" fillId="5" borderId="1" xfId="1" applyNumberFormat="1" applyFont="1" applyFill="1" applyBorder="1" applyAlignment="1" applyProtection="1">
      <alignment horizontal="center"/>
      <protection hidden="1"/>
    </xf>
    <xf numFmtId="165" fontId="49" fillId="2" borderId="0" xfId="1" applyNumberFormat="1" applyFont="1" applyFill="1" applyAlignment="1" applyProtection="1">
      <alignment horizontal="right"/>
      <protection hidden="1"/>
    </xf>
    <xf numFmtId="165" fontId="49" fillId="2" borderId="0" xfId="1" applyNumberFormat="1" applyFont="1" applyFill="1" applyAlignment="1" applyProtection="1">
      <alignment horizontal="left"/>
      <protection hidden="1"/>
    </xf>
    <xf numFmtId="0" fontId="15" fillId="0" borderId="0" xfId="0" applyFont="1" applyProtection="1">
      <protection locked="0"/>
    </xf>
    <xf numFmtId="168" fontId="34" fillId="0" borderId="0" xfId="4" applyNumberFormat="1" applyFont="1" applyBorder="1" applyAlignment="1" applyProtection="1">
      <alignment horizontal="left" wrapText="1"/>
      <protection locked="0"/>
    </xf>
    <xf numFmtId="168" fontId="34" fillId="0" borderId="0" xfId="4" applyNumberFormat="1" applyFont="1" applyAlignment="1" applyProtection="1">
      <alignment horizontal="left" wrapText="1"/>
      <protection locked="0"/>
    </xf>
    <xf numFmtId="0" fontId="15" fillId="0" borderId="0" xfId="3" applyFont="1" applyAlignment="1" applyProtection="1">
      <alignment horizontal="left" wrapText="1"/>
      <protection locked="0"/>
    </xf>
    <xf numFmtId="168" fontId="34" fillId="0" borderId="0" xfId="4" applyNumberFormat="1" applyFont="1" applyBorder="1" applyAlignment="1" applyProtection="1">
      <alignment horizontal="left" vertical="center" wrapText="1"/>
      <protection locked="0"/>
    </xf>
    <xf numFmtId="168" fontId="34" fillId="0" borderId="0" xfId="4" applyNumberFormat="1" applyFont="1" applyAlignment="1" applyProtection="1">
      <alignment horizontal="left" vertical="center" wrapText="1"/>
      <protection locked="0"/>
    </xf>
    <xf numFmtId="0" fontId="15" fillId="0" borderId="0" xfId="3" applyFont="1" applyAlignment="1" applyProtection="1">
      <alignment horizontal="left" vertical="center" wrapText="1"/>
      <protection locked="0"/>
    </xf>
    <xf numFmtId="168" fontId="34" fillId="0" borderId="0" xfId="4" applyNumberFormat="1" applyFont="1" applyAlignment="1" applyProtection="1">
      <alignment vertical="center" wrapText="1"/>
      <protection locked="0"/>
    </xf>
    <xf numFmtId="0" fontId="15" fillId="0" borderId="0" xfId="3" applyFont="1" applyAlignment="1" applyProtection="1">
      <alignment vertical="center" wrapText="1"/>
      <protection locked="0"/>
    </xf>
    <xf numFmtId="168" fontId="34" fillId="0" borderId="0" xfId="4" applyNumberFormat="1" applyFont="1" applyFill="1" applyAlignment="1" applyProtection="1">
      <alignment vertical="center" wrapText="1"/>
      <protection locked="0"/>
    </xf>
    <xf numFmtId="168" fontId="34" fillId="0" borderId="0" xfId="4" applyNumberFormat="1" applyFont="1" applyBorder="1" applyAlignment="1" applyProtection="1">
      <alignment vertical="center" wrapText="1"/>
      <protection locked="0"/>
    </xf>
    <xf numFmtId="165" fontId="23" fillId="0" borderId="0" xfId="1" applyNumberFormat="1" applyFont="1" applyFill="1" applyAlignment="1">
      <alignment horizontal="center" vertical="center" wrapText="1"/>
    </xf>
    <xf numFmtId="0" fontId="7" fillId="2" borderId="0" xfId="0" applyFont="1" applyFill="1" applyAlignment="1" applyProtection="1">
      <alignment horizontal="left" vertical="center" wrapText="1"/>
      <protection hidden="1"/>
    </xf>
    <xf numFmtId="0" fontId="14" fillId="6" borderId="0" xfId="0" applyFont="1" applyFill="1" applyAlignment="1" applyProtection="1">
      <alignment horizontal="left" vertical="center" wrapText="1"/>
      <protection hidden="1"/>
    </xf>
    <xf numFmtId="165" fontId="9" fillId="23" borderId="1" xfId="1" applyNumberFormat="1" applyFont="1" applyFill="1" applyBorder="1" applyAlignment="1" applyProtection="1">
      <alignment horizontal="left"/>
      <protection hidden="1"/>
    </xf>
    <xf numFmtId="165" fontId="11" fillId="23" borderId="1" xfId="1" applyNumberFormat="1" applyFont="1" applyFill="1" applyBorder="1" applyAlignment="1" applyProtection="1">
      <alignment horizontal="center"/>
      <protection hidden="1"/>
    </xf>
    <xf numFmtId="165" fontId="31" fillId="23" borderId="0" xfId="1" applyNumberFormat="1" applyFont="1" applyFill="1" applyAlignment="1" applyProtection="1">
      <alignment horizontal="left" vertical="center"/>
      <protection hidden="1"/>
    </xf>
    <xf numFmtId="165" fontId="11" fillId="23" borderId="1" xfId="1" applyNumberFormat="1" applyFont="1" applyFill="1" applyBorder="1" applyAlignment="1" applyProtection="1">
      <alignment horizontal="center" vertical="center"/>
      <protection hidden="1"/>
    </xf>
    <xf numFmtId="0" fontId="42" fillId="18" borderId="2" xfId="0" applyFont="1" applyFill="1" applyBorder="1" applyAlignment="1" applyProtection="1">
      <alignment horizontal="center"/>
      <protection locked="0"/>
    </xf>
    <xf numFmtId="0" fontId="42" fillId="18" borderId="3" xfId="0" applyFont="1" applyFill="1" applyBorder="1" applyAlignment="1" applyProtection="1">
      <alignment horizontal="center"/>
      <protection locked="0"/>
    </xf>
    <xf numFmtId="0" fontId="42" fillId="18" borderId="4" xfId="0" applyFont="1" applyFill="1" applyBorder="1" applyAlignment="1" applyProtection="1">
      <alignment horizontal="center"/>
      <protection locked="0"/>
    </xf>
    <xf numFmtId="165" fontId="31" fillId="24" borderId="0" xfId="1" applyNumberFormat="1" applyFont="1" applyFill="1" applyAlignment="1" applyProtection="1">
      <alignment horizontal="left" vertical="center"/>
      <protection hidden="1"/>
    </xf>
    <xf numFmtId="0" fontId="42" fillId="18" borderId="2" xfId="0" applyFont="1" applyFill="1" applyBorder="1" applyAlignment="1" applyProtection="1">
      <alignment horizontal="center"/>
      <protection hidden="1"/>
    </xf>
    <xf numFmtId="0" fontId="42" fillId="18" borderId="3" xfId="0" applyFont="1" applyFill="1" applyBorder="1" applyAlignment="1" applyProtection="1">
      <alignment horizontal="center"/>
      <protection hidden="1"/>
    </xf>
    <xf numFmtId="0" fontId="42" fillId="18" borderId="4" xfId="0" applyFont="1" applyFill="1" applyBorder="1" applyAlignment="1" applyProtection="1">
      <alignment horizontal="center"/>
      <protection hidden="1"/>
    </xf>
    <xf numFmtId="165" fontId="31" fillId="19" borderId="0" xfId="1" applyNumberFormat="1" applyFont="1" applyFill="1" applyAlignment="1" applyProtection="1">
      <alignment horizontal="left" vertical="center"/>
      <protection hidden="1"/>
    </xf>
    <xf numFmtId="165" fontId="31" fillId="20" borderId="0" xfId="1" applyNumberFormat="1" applyFont="1" applyFill="1" applyAlignment="1" applyProtection="1">
      <alignment horizontal="left" vertical="center"/>
      <protection hidden="1"/>
    </xf>
    <xf numFmtId="165" fontId="11" fillId="15" borderId="1" xfId="1" applyNumberFormat="1" applyFont="1" applyFill="1" applyBorder="1" applyAlignment="1" applyProtection="1">
      <alignment horizontal="center" vertical="center"/>
      <protection hidden="1"/>
    </xf>
    <xf numFmtId="165" fontId="11" fillId="15" borderId="6" xfId="1" applyNumberFormat="1" applyFont="1" applyFill="1" applyBorder="1" applyAlignment="1" applyProtection="1">
      <alignment horizontal="center" vertical="center" wrapText="1"/>
      <protection hidden="1"/>
    </xf>
    <xf numFmtId="165" fontId="11" fillId="15" borderId="15" xfId="1" applyNumberFormat="1" applyFont="1" applyFill="1" applyBorder="1" applyAlignment="1" applyProtection="1">
      <alignment horizontal="center" vertical="center" wrapText="1"/>
      <protection hidden="1"/>
    </xf>
    <xf numFmtId="165" fontId="11" fillId="15" borderId="7" xfId="1" applyNumberFormat="1" applyFont="1" applyFill="1" applyBorder="1" applyAlignment="1" applyProtection="1">
      <alignment horizontal="center" vertical="center" wrapText="1"/>
      <protection hidden="1"/>
    </xf>
    <xf numFmtId="165" fontId="11" fillId="15" borderId="6" xfId="1" applyNumberFormat="1" applyFont="1" applyFill="1" applyBorder="1" applyAlignment="1" applyProtection="1">
      <alignment horizontal="center" vertical="center"/>
      <protection hidden="1"/>
    </xf>
    <xf numFmtId="165" fontId="11" fillId="15" borderId="15" xfId="1" applyNumberFormat="1" applyFont="1" applyFill="1" applyBorder="1" applyAlignment="1" applyProtection="1">
      <alignment horizontal="center" vertical="center"/>
      <protection hidden="1"/>
    </xf>
    <xf numFmtId="165" fontId="11" fillId="15" borderId="7" xfId="1" applyNumberFormat="1" applyFont="1" applyFill="1" applyBorder="1" applyAlignment="1" applyProtection="1">
      <alignment horizontal="center" vertical="center"/>
      <protection hidden="1"/>
    </xf>
    <xf numFmtId="165" fontId="31" fillId="15" borderId="0" xfId="1" applyNumberFormat="1" applyFont="1" applyFill="1" applyAlignment="1" applyProtection="1">
      <alignment horizontal="left" vertical="center"/>
      <protection hidden="1"/>
    </xf>
    <xf numFmtId="165" fontId="11" fillId="15" borderId="6" xfId="1" applyNumberFormat="1" applyFont="1" applyFill="1" applyBorder="1" applyAlignment="1" applyProtection="1">
      <alignment horizontal="left" vertical="center"/>
      <protection hidden="1"/>
    </xf>
    <xf numFmtId="165" fontId="11" fillId="15" borderId="15" xfId="1" applyNumberFormat="1" applyFont="1" applyFill="1" applyBorder="1" applyAlignment="1" applyProtection="1">
      <alignment horizontal="left" vertical="center"/>
      <protection hidden="1"/>
    </xf>
    <xf numFmtId="165" fontId="11" fillId="15" borderId="7" xfId="1" applyNumberFormat="1" applyFont="1" applyFill="1" applyBorder="1" applyAlignment="1" applyProtection="1">
      <alignment horizontal="left" vertical="center"/>
      <protection hidden="1"/>
    </xf>
    <xf numFmtId="165" fontId="11" fillId="15" borderId="1" xfId="1" applyNumberFormat="1" applyFont="1" applyFill="1" applyBorder="1" applyAlignment="1" applyProtection="1">
      <alignment horizontal="center"/>
      <protection hidden="1"/>
    </xf>
    <xf numFmtId="165" fontId="11" fillId="15" borderId="2" xfId="1" applyNumberFormat="1" applyFont="1" applyFill="1" applyBorder="1" applyAlignment="1" applyProtection="1">
      <alignment horizontal="center"/>
      <protection hidden="1"/>
    </xf>
    <xf numFmtId="165" fontId="11" fillId="15" borderId="3" xfId="1" applyNumberFormat="1" applyFont="1" applyFill="1" applyBorder="1" applyAlignment="1" applyProtection="1">
      <alignment horizontal="center"/>
      <protection hidden="1"/>
    </xf>
    <xf numFmtId="165" fontId="11" fillId="15" borderId="4" xfId="1" applyNumberFormat="1" applyFont="1" applyFill="1" applyBorder="1" applyAlignment="1" applyProtection="1">
      <alignment horizontal="center"/>
      <protection hidden="1"/>
    </xf>
    <xf numFmtId="0" fontId="9" fillId="20" borderId="1" xfId="1" applyNumberFormat="1" applyFont="1" applyFill="1" applyBorder="1" applyAlignment="1" applyProtection="1">
      <alignment horizontal="left"/>
      <protection hidden="1"/>
    </xf>
    <xf numFmtId="165" fontId="11" fillId="18" borderId="1" xfId="4" applyNumberFormat="1" applyFont="1" applyFill="1" applyBorder="1" applyAlignment="1" applyProtection="1">
      <alignment horizontal="left"/>
      <protection hidden="1"/>
    </xf>
    <xf numFmtId="165" fontId="11" fillId="18" borderId="1" xfId="4" applyNumberFormat="1" applyFont="1" applyFill="1" applyBorder="1" applyAlignment="1" applyProtection="1">
      <alignment horizontal="left" vertical="center"/>
      <protection hidden="1"/>
    </xf>
    <xf numFmtId="165" fontId="30" fillId="0" borderId="2" xfId="1" applyNumberFormat="1" applyFont="1" applyBorder="1" applyAlignment="1" applyProtection="1">
      <alignment horizontal="center"/>
      <protection locked="0"/>
    </xf>
    <xf numFmtId="165" fontId="30" fillId="0" borderId="4" xfId="1" applyNumberFormat="1" applyFont="1" applyBorder="1" applyAlignment="1" applyProtection="1">
      <alignment horizontal="center"/>
      <protection locked="0"/>
    </xf>
    <xf numFmtId="165" fontId="31" fillId="21" borderId="0" xfId="1" applyNumberFormat="1" applyFont="1" applyFill="1" applyAlignment="1" applyProtection="1">
      <alignment horizontal="left" vertical="center"/>
      <protection hidden="1"/>
    </xf>
    <xf numFmtId="165" fontId="11" fillId="14" borderId="6" xfId="1" applyNumberFormat="1" applyFont="1" applyFill="1" applyBorder="1" applyAlignment="1" applyProtection="1">
      <alignment horizontal="left" vertical="center"/>
      <protection hidden="1"/>
    </xf>
    <xf numFmtId="165" fontId="11" fillId="14" borderId="15" xfId="1" applyNumberFormat="1" applyFont="1" applyFill="1" applyBorder="1" applyAlignment="1" applyProtection="1">
      <alignment horizontal="left" vertical="center"/>
      <protection hidden="1"/>
    </xf>
    <xf numFmtId="165" fontId="11" fillId="14" borderId="7" xfId="1" applyNumberFormat="1" applyFont="1" applyFill="1" applyBorder="1" applyAlignment="1" applyProtection="1">
      <alignment horizontal="left" vertical="center"/>
      <protection hidden="1"/>
    </xf>
    <xf numFmtId="165" fontId="11" fillId="20" borderId="2" xfId="1" applyNumberFormat="1" applyFont="1" applyFill="1" applyBorder="1" applyAlignment="1" applyProtection="1">
      <alignment horizontal="center" vertical="center"/>
      <protection hidden="1"/>
    </xf>
    <xf numFmtId="165" fontId="11" fillId="20" borderId="3" xfId="1" applyNumberFormat="1" applyFont="1" applyFill="1" applyBorder="1" applyAlignment="1" applyProtection="1">
      <alignment horizontal="center" vertical="center"/>
      <protection hidden="1"/>
    </xf>
    <xf numFmtId="165" fontId="11" fillId="20" borderId="4" xfId="1" applyNumberFormat="1" applyFont="1" applyFill="1" applyBorder="1" applyAlignment="1" applyProtection="1">
      <alignment horizontal="center" vertical="center"/>
      <protection hidden="1"/>
    </xf>
    <xf numFmtId="165" fontId="11" fillId="20" borderId="2" xfId="1" applyNumberFormat="1" applyFont="1" applyFill="1" applyBorder="1" applyAlignment="1" applyProtection="1">
      <alignment horizontal="left" vertical="center"/>
      <protection hidden="1"/>
    </xf>
    <xf numFmtId="165" fontId="11" fillId="20" borderId="3" xfId="1" applyNumberFormat="1" applyFont="1" applyFill="1" applyBorder="1" applyAlignment="1" applyProtection="1">
      <alignment horizontal="left" vertical="center"/>
      <protection hidden="1"/>
    </xf>
    <xf numFmtId="165" fontId="11" fillId="20" borderId="4" xfId="1" applyNumberFormat="1" applyFont="1" applyFill="1" applyBorder="1" applyAlignment="1" applyProtection="1">
      <alignment horizontal="left" vertical="center"/>
      <protection hidden="1"/>
    </xf>
    <xf numFmtId="0" fontId="9" fillId="20" borderId="2" xfId="1" applyNumberFormat="1" applyFont="1" applyFill="1" applyBorder="1" applyAlignment="1" applyProtection="1">
      <alignment horizontal="left"/>
      <protection hidden="1"/>
    </xf>
    <xf numFmtId="0" fontId="9" fillId="20" borderId="3" xfId="1" applyNumberFormat="1" applyFont="1" applyFill="1" applyBorder="1" applyAlignment="1" applyProtection="1">
      <alignment horizontal="left"/>
      <protection hidden="1"/>
    </xf>
    <xf numFmtId="0" fontId="9" fillId="20" borderId="4" xfId="1" applyNumberFormat="1" applyFont="1" applyFill="1" applyBorder="1" applyAlignment="1" applyProtection="1">
      <alignment horizontal="left"/>
      <protection hidden="1"/>
    </xf>
    <xf numFmtId="165" fontId="9" fillId="18" borderId="2" xfId="4" applyNumberFormat="1" applyFont="1" applyFill="1" applyBorder="1" applyAlignment="1" applyProtection="1">
      <alignment horizontal="left"/>
      <protection hidden="1"/>
    </xf>
    <xf numFmtId="165" fontId="9" fillId="18" borderId="3" xfId="4" applyNumberFormat="1" applyFont="1" applyFill="1" applyBorder="1" applyAlignment="1" applyProtection="1">
      <alignment horizontal="left"/>
      <protection hidden="1"/>
    </xf>
    <xf numFmtId="165" fontId="9" fillId="18" borderId="4" xfId="4" applyNumberFormat="1" applyFont="1" applyFill="1" applyBorder="1" applyAlignment="1" applyProtection="1">
      <alignment horizontal="left"/>
      <protection hidden="1"/>
    </xf>
    <xf numFmtId="165" fontId="9" fillId="18" borderId="1" xfId="4" applyNumberFormat="1" applyFont="1" applyFill="1" applyBorder="1" applyAlignment="1" applyProtection="1">
      <alignment horizontal="left"/>
      <protection hidden="1"/>
    </xf>
    <xf numFmtId="165" fontId="31" fillId="22" borderId="0" xfId="1" applyNumberFormat="1" applyFont="1" applyFill="1" applyAlignment="1" applyProtection="1">
      <alignment horizontal="left" vertical="center"/>
      <protection hidden="1"/>
    </xf>
    <xf numFmtId="0" fontId="9" fillId="18" borderId="1" xfId="4" applyNumberFormat="1" applyFont="1" applyFill="1" applyBorder="1" applyAlignment="1" applyProtection="1">
      <alignment horizontal="left"/>
      <protection hidden="1"/>
    </xf>
    <xf numFmtId="165" fontId="11" fillId="14" borderId="6" xfId="1" applyNumberFormat="1" applyFont="1" applyFill="1" applyBorder="1" applyAlignment="1" applyProtection="1">
      <alignment horizontal="center" vertical="center" wrapText="1"/>
      <protection hidden="1"/>
    </xf>
    <xf numFmtId="165" fontId="11" fillId="14" borderId="7" xfId="1" applyNumberFormat="1" applyFont="1" applyFill="1" applyBorder="1" applyAlignment="1" applyProtection="1">
      <alignment horizontal="center" vertical="center" wrapText="1"/>
      <protection hidden="1"/>
    </xf>
    <xf numFmtId="165" fontId="11" fillId="14" borderId="1" xfId="1" applyNumberFormat="1" applyFont="1" applyFill="1" applyBorder="1" applyAlignment="1" applyProtection="1">
      <alignment horizontal="center"/>
      <protection hidden="1"/>
    </xf>
    <xf numFmtId="165" fontId="11" fillId="14" borderId="6" xfId="1" applyNumberFormat="1" applyFont="1" applyFill="1" applyBorder="1" applyAlignment="1" applyProtection="1">
      <alignment horizontal="center" vertical="center"/>
      <protection hidden="1"/>
    </xf>
    <xf numFmtId="165" fontId="11" fillId="14" borderId="15" xfId="1" applyNumberFormat="1" applyFont="1" applyFill="1" applyBorder="1" applyAlignment="1" applyProtection="1">
      <alignment horizontal="center" vertical="center"/>
      <protection hidden="1"/>
    </xf>
    <xf numFmtId="165" fontId="11" fillId="14" borderId="7" xfId="1" applyNumberFormat="1" applyFont="1" applyFill="1" applyBorder="1" applyAlignment="1" applyProtection="1">
      <alignment horizontal="center" vertical="center"/>
      <protection hidden="1"/>
    </xf>
    <xf numFmtId="165" fontId="11" fillId="14" borderId="16" xfId="1" applyNumberFormat="1" applyFont="1" applyFill="1" applyBorder="1" applyAlignment="1" applyProtection="1">
      <alignment horizontal="center" vertical="center"/>
      <protection hidden="1"/>
    </xf>
    <xf numFmtId="165" fontId="11" fillId="14" borderId="17" xfId="1" applyNumberFormat="1" applyFont="1" applyFill="1" applyBorder="1" applyAlignment="1" applyProtection="1">
      <alignment horizontal="center" vertical="center"/>
      <protection hidden="1"/>
    </xf>
    <xf numFmtId="165" fontId="11" fillId="14" borderId="18" xfId="1" applyNumberFormat="1" applyFont="1" applyFill="1" applyBorder="1" applyAlignment="1" applyProtection="1">
      <alignment horizontal="center" vertical="center"/>
      <protection hidden="1"/>
    </xf>
    <xf numFmtId="165" fontId="11" fillId="14" borderId="19" xfId="1" applyNumberFormat="1" applyFont="1" applyFill="1" applyBorder="1" applyAlignment="1" applyProtection="1">
      <alignment horizontal="center" vertical="center"/>
      <protection hidden="1"/>
    </xf>
    <xf numFmtId="165" fontId="11" fillId="14" borderId="20" xfId="1" applyNumberFormat="1" applyFont="1" applyFill="1" applyBorder="1" applyAlignment="1" applyProtection="1">
      <alignment horizontal="center" vertical="center"/>
      <protection hidden="1"/>
    </xf>
    <xf numFmtId="165" fontId="11" fillId="14" borderId="21" xfId="1" applyNumberFormat="1" applyFont="1" applyFill="1" applyBorder="1" applyAlignment="1" applyProtection="1">
      <alignment horizontal="center" vertical="center"/>
      <protection hidden="1"/>
    </xf>
    <xf numFmtId="165" fontId="31" fillId="16" borderId="0" xfId="1" applyNumberFormat="1" applyFont="1" applyFill="1" applyAlignment="1" applyProtection="1">
      <alignment horizontal="left" vertical="center"/>
      <protection hidden="1"/>
    </xf>
    <xf numFmtId="165" fontId="11" fillId="14" borderId="1" xfId="1" applyNumberFormat="1" applyFont="1" applyFill="1" applyBorder="1" applyAlignment="1" applyProtection="1">
      <alignment horizontal="center" vertical="center"/>
      <protection hidden="1"/>
    </xf>
    <xf numFmtId="165" fontId="11" fillId="14" borderId="1" xfId="1" applyNumberFormat="1" applyFont="1" applyFill="1" applyBorder="1" applyAlignment="1" applyProtection="1">
      <alignment horizontal="center" vertical="center" wrapText="1"/>
      <protection hidden="1"/>
    </xf>
    <xf numFmtId="165" fontId="11" fillId="14" borderId="2" xfId="1" applyNumberFormat="1" applyFont="1" applyFill="1" applyBorder="1" applyAlignment="1" applyProtection="1">
      <alignment horizontal="center"/>
      <protection hidden="1"/>
    </xf>
    <xf numFmtId="165" fontId="11" fillId="14" borderId="3" xfId="1" applyNumberFormat="1" applyFont="1" applyFill="1" applyBorder="1" applyAlignment="1" applyProtection="1">
      <alignment horizontal="center"/>
      <protection hidden="1"/>
    </xf>
    <xf numFmtId="165" fontId="11" fillId="14" borderId="4" xfId="1" applyNumberFormat="1" applyFont="1" applyFill="1" applyBorder="1" applyAlignment="1" applyProtection="1">
      <alignment horizontal="center"/>
      <protection hidden="1"/>
    </xf>
    <xf numFmtId="165" fontId="11" fillId="14" borderId="15" xfId="1" applyNumberFormat="1" applyFont="1" applyFill="1" applyBorder="1" applyAlignment="1" applyProtection="1">
      <alignment horizontal="center" vertical="center" wrapText="1"/>
      <protection hidden="1"/>
    </xf>
    <xf numFmtId="165" fontId="31" fillId="14" borderId="0" xfId="1" applyNumberFormat="1" applyFont="1" applyFill="1" applyAlignment="1" applyProtection="1">
      <alignment horizontal="left" vertical="center"/>
      <protection hidden="1"/>
    </xf>
    <xf numFmtId="165" fontId="11" fillId="12" borderId="6" xfId="1" applyNumberFormat="1" applyFont="1" applyFill="1" applyBorder="1" applyAlignment="1" applyProtection="1">
      <alignment horizontal="center" vertical="center" wrapText="1"/>
      <protection hidden="1"/>
    </xf>
    <xf numFmtId="165" fontId="11" fillId="12" borderId="7" xfId="1" applyNumberFormat="1" applyFont="1" applyFill="1" applyBorder="1" applyAlignment="1" applyProtection="1">
      <alignment horizontal="center" vertical="center" wrapText="1"/>
      <protection hidden="1"/>
    </xf>
    <xf numFmtId="165" fontId="11" fillId="12" borderId="15" xfId="1" applyNumberFormat="1" applyFont="1" applyFill="1" applyBorder="1" applyAlignment="1" applyProtection="1">
      <alignment horizontal="center" vertical="center" wrapText="1"/>
      <protection hidden="1"/>
    </xf>
    <xf numFmtId="165" fontId="11" fillId="12" borderId="6" xfId="1" applyNumberFormat="1" applyFont="1" applyFill="1" applyBorder="1" applyAlignment="1" applyProtection="1">
      <alignment horizontal="center" vertical="center"/>
      <protection hidden="1"/>
    </xf>
    <xf numFmtId="165" fontId="11" fillId="12" borderId="15" xfId="1" applyNumberFormat="1" applyFont="1" applyFill="1" applyBorder="1" applyAlignment="1" applyProtection="1">
      <alignment horizontal="center" vertical="center"/>
      <protection hidden="1"/>
    </xf>
    <xf numFmtId="165" fontId="11" fillId="12" borderId="7" xfId="1" applyNumberFormat="1" applyFont="1" applyFill="1" applyBorder="1" applyAlignment="1" applyProtection="1">
      <alignment horizontal="center" vertical="center"/>
      <protection hidden="1"/>
    </xf>
    <xf numFmtId="165" fontId="11" fillId="12" borderId="6" xfId="1" applyNumberFormat="1" applyFont="1" applyFill="1" applyBorder="1" applyAlignment="1" applyProtection="1">
      <alignment horizontal="left" vertical="center"/>
      <protection hidden="1"/>
    </xf>
    <xf numFmtId="165" fontId="11" fillId="12" borderId="15" xfId="1" applyNumberFormat="1" applyFont="1" applyFill="1" applyBorder="1" applyAlignment="1" applyProtection="1">
      <alignment horizontal="left" vertical="center"/>
      <protection hidden="1"/>
    </xf>
    <xf numFmtId="165" fontId="11" fillId="12" borderId="7" xfId="1" applyNumberFormat="1" applyFont="1" applyFill="1" applyBorder="1" applyAlignment="1" applyProtection="1">
      <alignment horizontal="left" vertical="center"/>
      <protection hidden="1"/>
    </xf>
    <xf numFmtId="165" fontId="11" fillId="12" borderId="1" xfId="1" applyNumberFormat="1" applyFont="1" applyFill="1" applyBorder="1" applyAlignment="1" applyProtection="1">
      <alignment horizontal="center"/>
      <protection hidden="1"/>
    </xf>
    <xf numFmtId="165" fontId="11" fillId="12" borderId="1" xfId="1" applyNumberFormat="1" applyFont="1" applyFill="1" applyBorder="1" applyAlignment="1" applyProtection="1">
      <alignment horizontal="center" vertical="center"/>
      <protection hidden="1"/>
    </xf>
    <xf numFmtId="165" fontId="11" fillId="12" borderId="2" xfId="1" applyNumberFormat="1" applyFont="1" applyFill="1" applyBorder="1" applyAlignment="1" applyProtection="1">
      <alignment horizontal="center"/>
      <protection hidden="1"/>
    </xf>
    <xf numFmtId="165" fontId="11" fillId="12" borderId="3" xfId="1" applyNumberFormat="1" applyFont="1" applyFill="1" applyBorder="1" applyAlignment="1" applyProtection="1">
      <alignment horizontal="center"/>
      <protection hidden="1"/>
    </xf>
    <xf numFmtId="165" fontId="11" fillId="12" borderId="4" xfId="1" applyNumberFormat="1" applyFont="1" applyFill="1" applyBorder="1" applyAlignment="1" applyProtection="1">
      <alignment horizontal="center"/>
      <protection hidden="1"/>
    </xf>
    <xf numFmtId="165" fontId="11" fillId="5" borderId="1" xfId="1" applyNumberFormat="1" applyFont="1" applyFill="1" applyBorder="1" applyAlignment="1" applyProtection="1">
      <alignment horizontal="center"/>
      <protection hidden="1"/>
    </xf>
    <xf numFmtId="165" fontId="9" fillId="0" borderId="1" xfId="1" applyNumberFormat="1" applyFont="1" applyBorder="1" applyAlignment="1" applyProtection="1">
      <alignment horizontal="center"/>
      <protection locked="0"/>
    </xf>
    <xf numFmtId="165" fontId="11" fillId="5" borderId="1" xfId="1" applyNumberFormat="1" applyFont="1" applyFill="1" applyBorder="1" applyAlignment="1" applyProtection="1">
      <alignment horizontal="center" vertical="center"/>
      <protection hidden="1"/>
    </xf>
    <xf numFmtId="165" fontId="9" fillId="5" borderId="1" xfId="1" applyNumberFormat="1" applyFont="1" applyFill="1" applyBorder="1" applyAlignment="1" applyProtection="1">
      <alignment horizontal="center" vertical="center"/>
      <protection hidden="1"/>
    </xf>
    <xf numFmtId="165" fontId="31" fillId="10" borderId="0" xfId="1" applyNumberFormat="1" applyFont="1" applyFill="1" applyAlignment="1" applyProtection="1">
      <alignment horizontal="left" vertical="center"/>
      <protection hidden="1"/>
    </xf>
    <xf numFmtId="165" fontId="31" fillId="11" borderId="0" xfId="1" applyNumberFormat="1" applyFont="1" applyFill="1" applyAlignment="1" applyProtection="1">
      <alignment horizontal="left" vertical="center"/>
      <protection hidden="1"/>
    </xf>
    <xf numFmtId="0" fontId="9" fillId="18" borderId="2" xfId="4" applyNumberFormat="1" applyFont="1" applyFill="1" applyBorder="1" applyAlignment="1" applyProtection="1">
      <alignment horizontal="left"/>
      <protection hidden="1"/>
    </xf>
    <xf numFmtId="0" fontId="9" fillId="18" borderId="3" xfId="4" applyNumberFormat="1" applyFont="1" applyFill="1" applyBorder="1" applyAlignment="1" applyProtection="1">
      <alignment horizontal="left"/>
      <protection hidden="1"/>
    </xf>
    <xf numFmtId="0" fontId="9" fillId="18" borderId="4" xfId="4" applyNumberFormat="1" applyFont="1" applyFill="1" applyBorder="1" applyAlignment="1" applyProtection="1">
      <alignment horizontal="left"/>
      <protection hidden="1"/>
    </xf>
    <xf numFmtId="0" fontId="42" fillId="18" borderId="1" xfId="0" applyFont="1" applyFill="1" applyBorder="1" applyAlignment="1" applyProtection="1">
      <alignment horizontal="center" vertical="center" wrapText="1"/>
      <protection hidden="1"/>
    </xf>
    <xf numFmtId="165" fontId="11" fillId="12" borderId="16" xfId="1" applyNumberFormat="1" applyFont="1" applyFill="1" applyBorder="1" applyAlignment="1" applyProtection="1">
      <alignment horizontal="center" vertical="center"/>
      <protection hidden="1"/>
    </xf>
    <xf numFmtId="165" fontId="11" fillId="12" borderId="17" xfId="1" applyNumberFormat="1" applyFont="1" applyFill="1" applyBorder="1" applyAlignment="1" applyProtection="1">
      <alignment horizontal="center" vertical="center"/>
      <protection hidden="1"/>
    </xf>
    <xf numFmtId="165" fontId="11" fillId="12" borderId="18" xfId="1" applyNumberFormat="1" applyFont="1" applyFill="1" applyBorder="1" applyAlignment="1" applyProtection="1">
      <alignment horizontal="center" vertical="center"/>
      <protection hidden="1"/>
    </xf>
    <xf numFmtId="165" fontId="11" fillId="12" borderId="19" xfId="1" applyNumberFormat="1" applyFont="1" applyFill="1" applyBorder="1" applyAlignment="1" applyProtection="1">
      <alignment horizontal="center" vertical="center"/>
      <protection hidden="1"/>
    </xf>
    <xf numFmtId="165" fontId="11" fillId="12" borderId="20" xfId="1" applyNumberFormat="1" applyFont="1" applyFill="1" applyBorder="1" applyAlignment="1" applyProtection="1">
      <alignment horizontal="center" vertical="center"/>
      <protection hidden="1"/>
    </xf>
    <xf numFmtId="165" fontId="11" fillId="12" borderId="21" xfId="1" applyNumberFormat="1" applyFont="1" applyFill="1" applyBorder="1" applyAlignment="1" applyProtection="1">
      <alignment horizontal="center" vertical="center"/>
      <protection hidden="1"/>
    </xf>
    <xf numFmtId="165" fontId="31" fillId="13" borderId="0" xfId="1" applyNumberFormat="1" applyFont="1" applyFill="1" applyAlignment="1" applyProtection="1">
      <alignment horizontal="left" vertical="center"/>
      <protection hidden="1"/>
    </xf>
    <xf numFmtId="169" fontId="9" fillId="0" borderId="1" xfId="1" applyNumberFormat="1" applyFont="1" applyFill="1" applyBorder="1" applyAlignment="1" applyProtection="1">
      <alignment horizontal="center" vertical="center"/>
      <protection locked="0"/>
    </xf>
    <xf numFmtId="165" fontId="11" fillId="12" borderId="1" xfId="1" applyNumberFormat="1" applyFont="1" applyFill="1" applyBorder="1" applyAlignment="1" applyProtection="1">
      <alignment horizontal="center" vertical="center" wrapText="1"/>
      <protection hidden="1"/>
    </xf>
    <xf numFmtId="165" fontId="11" fillId="28" borderId="1" xfId="1" applyNumberFormat="1" applyFont="1" applyFill="1" applyBorder="1" applyAlignment="1" applyProtection="1">
      <alignment horizontal="center" vertical="center"/>
      <protection hidden="1"/>
    </xf>
    <xf numFmtId="0" fontId="9" fillId="28" borderId="2" xfId="1" applyNumberFormat="1" applyFont="1" applyFill="1" applyBorder="1" applyAlignment="1" applyProtection="1">
      <alignment horizontal="left"/>
      <protection hidden="1"/>
    </xf>
    <xf numFmtId="0" fontId="9" fillId="28" borderId="3" xfId="1" applyNumberFormat="1" applyFont="1" applyFill="1" applyBorder="1" applyAlignment="1" applyProtection="1">
      <alignment horizontal="left"/>
      <protection hidden="1"/>
    </xf>
    <xf numFmtId="0" fontId="9" fillId="28" borderId="4" xfId="1" applyNumberFormat="1" applyFont="1" applyFill="1" applyBorder="1" applyAlignment="1" applyProtection="1">
      <alignment horizontal="left"/>
      <protection hidden="1"/>
    </xf>
    <xf numFmtId="165" fontId="31" fillId="27" borderId="0" xfId="1" applyNumberFormat="1" applyFont="1" applyFill="1" applyAlignment="1" applyProtection="1">
      <alignment horizontal="left" vertical="center"/>
      <protection hidden="1"/>
    </xf>
    <xf numFmtId="0" fontId="42" fillId="18" borderId="1" xfId="0" applyFont="1" applyFill="1" applyBorder="1" applyAlignment="1" applyProtection="1">
      <alignment horizontal="center" wrapText="1"/>
      <protection hidden="1"/>
    </xf>
    <xf numFmtId="0" fontId="11" fillId="28" borderId="2" xfId="1" applyNumberFormat="1" applyFont="1" applyFill="1" applyBorder="1" applyAlignment="1" applyProtection="1">
      <alignment horizontal="left"/>
      <protection hidden="1"/>
    </xf>
    <xf numFmtId="0" fontId="11" fillId="28" borderId="3" xfId="1" applyNumberFormat="1" applyFont="1" applyFill="1" applyBorder="1" applyAlignment="1" applyProtection="1">
      <alignment horizontal="left"/>
      <protection hidden="1"/>
    </xf>
    <xf numFmtId="0" fontId="11" fillId="28" borderId="4" xfId="1" applyNumberFormat="1" applyFont="1" applyFill="1" applyBorder="1" applyAlignment="1" applyProtection="1">
      <alignment horizontal="left"/>
      <protection hidden="1"/>
    </xf>
    <xf numFmtId="165" fontId="31" fillId="18" borderId="0" xfId="1" applyNumberFormat="1" applyFont="1" applyFill="1" applyAlignment="1" applyProtection="1">
      <alignment horizontal="left" vertical="center"/>
      <protection hidden="1"/>
    </xf>
    <xf numFmtId="0" fontId="15" fillId="0" borderId="12" xfId="3" applyFont="1" applyBorder="1" applyAlignment="1" applyProtection="1">
      <alignment vertical="center" wrapText="1"/>
      <protection hidden="1"/>
    </xf>
    <xf numFmtId="0" fontId="23" fillId="0" borderId="8" xfId="3" applyFont="1" applyBorder="1" applyAlignment="1" applyProtection="1">
      <alignment horizontal="center" vertical="center" textRotation="90" wrapText="1"/>
      <protection hidden="1"/>
    </xf>
    <xf numFmtId="0" fontId="15" fillId="0" borderId="8" xfId="3" applyFont="1" applyBorder="1" applyAlignment="1" applyProtection="1">
      <alignment horizontal="left" vertical="center" wrapText="1"/>
      <protection hidden="1"/>
    </xf>
    <xf numFmtId="3" fontId="12" fillId="0" borderId="8" xfId="3" applyNumberFormat="1" applyFont="1" applyBorder="1" applyAlignment="1" applyProtection="1">
      <alignment horizontal="center" vertical="center" wrapText="1"/>
      <protection hidden="1"/>
    </xf>
    <xf numFmtId="0" fontId="12" fillId="0" borderId="8" xfId="3" applyFont="1" applyBorder="1" applyAlignment="1" applyProtection="1">
      <alignment horizontal="center" vertical="center" wrapText="1"/>
      <protection hidden="1"/>
    </xf>
    <xf numFmtId="0" fontId="15" fillId="0" borderId="8" xfId="3" applyFont="1" applyBorder="1" applyAlignment="1" applyProtection="1">
      <alignment horizontal="center" vertical="center" wrapText="1"/>
      <protection hidden="1"/>
    </xf>
    <xf numFmtId="0" fontId="15" fillId="0" borderId="8" xfId="3" applyFont="1" applyBorder="1" applyAlignment="1" applyProtection="1">
      <alignment horizontal="center" wrapText="1"/>
      <protection hidden="1"/>
    </xf>
    <xf numFmtId="0" fontId="41" fillId="0" borderId="8" xfId="3" applyFont="1" applyBorder="1" applyAlignment="1" applyProtection="1">
      <alignment horizontal="center" vertical="center" wrapText="1"/>
      <protection hidden="1"/>
    </xf>
    <xf numFmtId="0" fontId="15" fillId="0" borderId="8" xfId="3" applyFont="1" applyBorder="1" applyAlignment="1" applyProtection="1">
      <alignment horizontal="center" vertical="center"/>
      <protection hidden="1"/>
    </xf>
    <xf numFmtId="3" fontId="15" fillId="0" borderId="9" xfId="3" applyNumberFormat="1" applyFont="1" applyBorder="1" applyAlignment="1" applyProtection="1">
      <alignment horizontal="center" vertical="center" wrapText="1"/>
      <protection hidden="1"/>
    </xf>
    <xf numFmtId="3" fontId="15" fillId="0" borderId="10" xfId="3" applyNumberFormat="1" applyFont="1" applyBorder="1" applyAlignment="1" applyProtection="1">
      <alignment horizontal="center" vertical="center" wrapText="1"/>
      <protection hidden="1"/>
    </xf>
    <xf numFmtId="3" fontId="12" fillId="0" borderId="9" xfId="3" applyNumberFormat="1" applyFont="1" applyBorder="1" applyAlignment="1" applyProtection="1">
      <alignment horizontal="center" vertical="center" wrapText="1"/>
      <protection hidden="1"/>
    </xf>
    <xf numFmtId="3" fontId="12" fillId="0" borderId="11" xfId="3" applyNumberFormat="1" applyFont="1" applyBorder="1" applyAlignment="1" applyProtection="1">
      <alignment horizontal="center" vertical="center" wrapText="1"/>
      <protection hidden="1"/>
    </xf>
    <xf numFmtId="3" fontId="12" fillId="0" borderId="10" xfId="3" applyNumberFormat="1" applyFont="1" applyBorder="1" applyAlignment="1" applyProtection="1">
      <alignment horizontal="center" vertical="center" wrapText="1"/>
      <protection hidden="1"/>
    </xf>
    <xf numFmtId="0" fontId="15" fillId="0" borderId="9" xfId="3" applyFont="1" applyBorder="1" applyAlignment="1" applyProtection="1">
      <alignment horizontal="center" vertical="center" wrapText="1"/>
      <protection hidden="1"/>
    </xf>
    <xf numFmtId="0" fontId="15" fillId="0" borderId="10" xfId="3" applyFont="1" applyBorder="1" applyAlignment="1" applyProtection="1">
      <alignment horizontal="center" vertical="center" wrapText="1"/>
      <protection hidden="1"/>
    </xf>
    <xf numFmtId="0" fontId="39" fillId="0" borderId="8" xfId="3" applyFont="1" applyBorder="1" applyAlignment="1" applyProtection="1">
      <alignment horizontal="center" vertical="center" wrapText="1"/>
      <protection hidden="1"/>
    </xf>
    <xf numFmtId="0" fontId="40" fillId="17" borderId="8" xfId="3" applyFont="1" applyFill="1" applyBorder="1" applyAlignment="1" applyProtection="1">
      <alignment horizontal="center" vertical="center" wrapText="1"/>
      <protection hidden="1"/>
    </xf>
    <xf numFmtId="0" fontId="15" fillId="9" borderId="14" xfId="3" applyFont="1" applyFill="1" applyBorder="1" applyAlignment="1" applyProtection="1">
      <alignment horizontal="left" vertical="center" wrapText="1"/>
      <protection hidden="1"/>
    </xf>
    <xf numFmtId="0" fontId="15" fillId="0" borderId="12" xfId="3" applyFont="1" applyBorder="1" applyAlignment="1" applyProtection="1">
      <alignment horizontal="left" vertical="center" wrapText="1"/>
      <protection hidden="1"/>
    </xf>
    <xf numFmtId="0" fontId="15" fillId="9" borderId="12" xfId="3" applyFont="1" applyFill="1" applyBorder="1" applyAlignment="1" applyProtection="1">
      <alignment horizontal="left" vertical="center" wrapText="1"/>
      <protection hidden="1"/>
    </xf>
    <xf numFmtId="0" fontId="23" fillId="0" borderId="13" xfId="3" applyFont="1" applyBorder="1" applyAlignment="1" applyProtection="1">
      <alignment horizontal="left" vertical="center" wrapText="1"/>
      <protection hidden="1"/>
    </xf>
    <xf numFmtId="0" fontId="23" fillId="0" borderId="12" xfId="3" applyFont="1" applyBorder="1" applyAlignment="1" applyProtection="1">
      <alignment horizontal="center" vertical="center" textRotation="90" wrapText="1"/>
      <protection hidden="1"/>
    </xf>
    <xf numFmtId="0" fontId="15" fillId="9" borderId="12" xfId="3" applyFont="1" applyFill="1" applyBorder="1" applyAlignment="1" applyProtection="1">
      <alignment vertical="center" wrapText="1"/>
      <protection hidden="1"/>
    </xf>
    <xf numFmtId="165" fontId="15" fillId="0" borderId="12" xfId="1" applyNumberFormat="1" applyFont="1" applyBorder="1" applyAlignment="1" applyProtection="1">
      <alignment vertical="center" wrapText="1"/>
      <protection hidden="1"/>
    </xf>
    <xf numFmtId="165" fontId="15" fillId="9" borderId="12" xfId="1" applyNumberFormat="1" applyFont="1" applyFill="1" applyBorder="1" applyAlignment="1" applyProtection="1">
      <alignment vertical="center" wrapText="1"/>
      <protection hidden="1"/>
    </xf>
    <xf numFmtId="165" fontId="23" fillId="0" borderId="13" xfId="1" applyNumberFormat="1" applyFont="1" applyBorder="1" applyAlignment="1" applyProtection="1">
      <alignment vertical="center" wrapText="1"/>
      <protection hidden="1"/>
    </xf>
    <xf numFmtId="165" fontId="15" fillId="9" borderId="14" xfId="1" applyNumberFormat="1" applyFont="1" applyFill="1" applyBorder="1" applyAlignment="1" applyProtection="1">
      <alignment vertical="center" wrapText="1"/>
      <protection hidden="1"/>
    </xf>
    <xf numFmtId="0" fontId="23" fillId="0" borderId="14" xfId="3" applyFont="1" applyBorder="1" applyAlignment="1" applyProtection="1">
      <alignment horizontal="center" vertical="center" textRotation="90" wrapText="1"/>
      <protection hidden="1"/>
    </xf>
    <xf numFmtId="0" fontId="23" fillId="0" borderId="13" xfId="3" applyFont="1" applyBorder="1" applyAlignment="1" applyProtection="1">
      <alignment horizontal="center" vertical="center" textRotation="90" wrapText="1"/>
      <protection hidden="1"/>
    </xf>
    <xf numFmtId="165" fontId="23" fillId="9" borderId="12" xfId="1" applyNumberFormat="1" applyFont="1" applyFill="1" applyBorder="1" applyAlignment="1" applyProtection="1">
      <alignment vertical="center" wrapText="1"/>
      <protection hidden="1"/>
    </xf>
    <xf numFmtId="0" fontId="23" fillId="9" borderId="12" xfId="3" applyFont="1" applyFill="1" applyBorder="1" applyAlignment="1" applyProtection="1">
      <alignment horizontal="left" vertical="center" wrapText="1"/>
      <protection hidden="1"/>
    </xf>
    <xf numFmtId="0" fontId="23" fillId="0" borderId="12" xfId="3" applyFont="1" applyBorder="1" applyAlignment="1" applyProtection="1">
      <alignment horizontal="left" vertical="center" wrapText="1"/>
      <protection hidden="1"/>
    </xf>
    <xf numFmtId="0" fontId="23" fillId="9" borderId="12" xfId="3" applyFont="1" applyFill="1" applyBorder="1" applyAlignment="1" applyProtection="1">
      <alignment vertical="center" wrapText="1"/>
      <protection hidden="1"/>
    </xf>
    <xf numFmtId="0" fontId="15" fillId="0" borderId="9" xfId="3" applyFont="1" applyBorder="1" applyAlignment="1" applyProtection="1">
      <alignment vertical="center"/>
      <protection hidden="1"/>
    </xf>
    <xf numFmtId="0" fontId="15" fillId="0" borderId="11" xfId="3" applyFont="1" applyBorder="1" applyAlignment="1" applyProtection="1">
      <alignment vertical="center"/>
      <protection hidden="1"/>
    </xf>
    <xf numFmtId="0" fontId="15" fillId="0" borderId="8" xfId="3" applyFont="1" applyBorder="1" applyAlignment="1" applyProtection="1">
      <alignment vertical="center" wrapText="1"/>
      <protection hidden="1"/>
    </xf>
    <xf numFmtId="0" fontId="23" fillId="0" borderId="14" xfId="3" applyFont="1" applyBorder="1" applyAlignment="1" applyProtection="1">
      <alignment vertical="center" textRotation="90" wrapText="1"/>
      <protection hidden="1"/>
    </xf>
    <xf numFmtId="0" fontId="23" fillId="0" borderId="12" xfId="3" applyFont="1" applyBorder="1" applyAlignment="1" applyProtection="1">
      <alignment vertical="center" textRotation="90" wrapText="1"/>
      <protection hidden="1"/>
    </xf>
    <xf numFmtId="0" fontId="23" fillId="0" borderId="13" xfId="3" applyFont="1" applyBorder="1" applyAlignment="1" applyProtection="1">
      <alignment vertical="center" textRotation="90" wrapText="1"/>
      <protection hidden="1"/>
    </xf>
    <xf numFmtId="0" fontId="15" fillId="0" borderId="14" xfId="3" applyFont="1" applyBorder="1" applyAlignment="1" applyProtection="1">
      <alignment vertical="center" wrapText="1"/>
      <protection hidden="1"/>
    </xf>
    <xf numFmtId="0" fontId="23" fillId="6" borderId="14" xfId="3" applyFont="1" applyFill="1" applyBorder="1" applyAlignment="1" applyProtection="1">
      <alignment horizontal="center" vertical="center" textRotation="90" wrapText="1"/>
      <protection hidden="1"/>
    </xf>
    <xf numFmtId="0" fontId="23" fillId="6" borderId="12" xfId="3" applyFont="1" applyFill="1" applyBorder="1" applyAlignment="1" applyProtection="1">
      <alignment horizontal="center" vertical="center" textRotation="90" wrapText="1"/>
      <protection hidden="1"/>
    </xf>
    <xf numFmtId="0" fontId="23" fillId="6" borderId="13" xfId="3" applyFont="1" applyFill="1" applyBorder="1" applyAlignment="1" applyProtection="1">
      <alignment horizontal="center" vertical="center" textRotation="90" wrapText="1"/>
      <protection hidden="1"/>
    </xf>
    <xf numFmtId="165" fontId="15" fillId="9" borderId="14" xfId="1" applyNumberFormat="1" applyFont="1" applyFill="1" applyBorder="1" applyAlignment="1" applyProtection="1">
      <alignment horizontal="center" vertical="center" wrapText="1"/>
      <protection hidden="1"/>
    </xf>
    <xf numFmtId="165" fontId="15" fillId="0" borderId="12" xfId="1" applyNumberFormat="1" applyFont="1" applyFill="1" applyBorder="1" applyAlignment="1" applyProtection="1">
      <alignment horizontal="center" vertical="center" wrapText="1"/>
      <protection hidden="1"/>
    </xf>
    <xf numFmtId="165" fontId="15" fillId="9" borderId="13" xfId="1" applyNumberFormat="1" applyFont="1" applyFill="1" applyBorder="1" applyAlignment="1" applyProtection="1">
      <alignment horizontal="center" vertical="center" wrapText="1"/>
      <protection hidden="1"/>
    </xf>
    <xf numFmtId="0" fontId="23" fillId="9" borderId="13" xfId="3" applyFont="1" applyFill="1" applyBorder="1" applyAlignment="1" applyProtection="1">
      <alignment vertical="center" wrapText="1"/>
      <protection hidden="1"/>
    </xf>
    <xf numFmtId="0" fontId="15" fillId="0" borderId="9" xfId="3" applyFont="1" applyBorder="1" applyAlignment="1" applyProtection="1">
      <alignment horizontal="center" vertical="center"/>
      <protection hidden="1"/>
    </xf>
    <xf numFmtId="0" fontId="15" fillId="0" borderId="11" xfId="3" applyFont="1" applyBorder="1" applyAlignment="1" applyProtection="1">
      <alignment horizontal="center" vertical="center"/>
      <protection hidden="1"/>
    </xf>
    <xf numFmtId="0" fontId="15" fillId="0" borderId="10" xfId="3" applyFont="1" applyBorder="1" applyAlignment="1" applyProtection="1">
      <alignment horizontal="center" vertical="center"/>
      <protection hidden="1"/>
    </xf>
    <xf numFmtId="0" fontId="23" fillId="0" borderId="9" xfId="3" applyFont="1" applyBorder="1" applyAlignment="1" applyProtection="1">
      <alignment horizontal="center" vertical="center" wrapText="1"/>
      <protection hidden="1"/>
    </xf>
    <xf numFmtId="0" fontId="23" fillId="0" borderId="11" xfId="3" applyFont="1" applyBorder="1" applyAlignment="1" applyProtection="1">
      <alignment horizontal="center" vertical="center" wrapText="1"/>
      <protection hidden="1"/>
    </xf>
    <xf numFmtId="0" fontId="23" fillId="0" borderId="10" xfId="3" applyFont="1" applyBorder="1" applyAlignment="1" applyProtection="1">
      <alignment horizontal="center" vertical="center" wrapText="1"/>
      <protection hidden="1"/>
    </xf>
    <xf numFmtId="0" fontId="34" fillId="0" borderId="9" xfId="3" applyFont="1" applyBorder="1" applyAlignment="1" applyProtection="1">
      <alignment horizontal="left" vertical="center" wrapText="1"/>
      <protection hidden="1"/>
    </xf>
    <xf numFmtId="0" fontId="34" fillId="0" borderId="10" xfId="3" applyFont="1" applyBorder="1" applyAlignment="1" applyProtection="1">
      <alignment horizontal="left" vertical="center" wrapText="1"/>
      <protection hidden="1"/>
    </xf>
    <xf numFmtId="0" fontId="15" fillId="9" borderId="13" xfId="3" applyFont="1" applyFill="1" applyBorder="1" applyAlignment="1" applyProtection="1">
      <alignment vertical="center" wrapText="1"/>
      <protection hidden="1"/>
    </xf>
    <xf numFmtId="165" fontId="23" fillId="0" borderId="12" xfId="1" applyNumberFormat="1" applyFont="1" applyBorder="1" applyAlignment="1" applyProtection="1">
      <alignment vertical="center" wrapText="1"/>
      <protection hidden="1"/>
    </xf>
    <xf numFmtId="0" fontId="15" fillId="0" borderId="13" xfId="3" applyFont="1" applyBorder="1" applyAlignment="1" applyProtection="1">
      <alignment vertical="center" wrapText="1"/>
      <protection hidden="1"/>
    </xf>
    <xf numFmtId="165" fontId="15" fillId="0" borderId="8" xfId="1" applyNumberFormat="1" applyFont="1" applyBorder="1" applyAlignment="1" applyProtection="1">
      <alignment horizontal="center" vertical="center" wrapText="1"/>
      <protection hidden="1"/>
    </xf>
    <xf numFmtId="165" fontId="31" fillId="25" borderId="0" xfId="1" applyNumberFormat="1" applyFont="1" applyFill="1" applyAlignment="1" applyProtection="1">
      <alignment horizontal="left" vertical="center"/>
      <protection hidden="1"/>
    </xf>
    <xf numFmtId="165" fontId="31" fillId="26" borderId="0" xfId="1" applyNumberFormat="1" applyFont="1" applyFill="1" applyAlignment="1" applyProtection="1">
      <alignment horizontal="left" vertical="center"/>
      <protection hidden="1"/>
    </xf>
    <xf numFmtId="165" fontId="15" fillId="0" borderId="12" xfId="1" applyNumberFormat="1" applyFont="1" applyFill="1" applyBorder="1" applyAlignment="1" applyProtection="1">
      <alignment vertical="center" wrapText="1"/>
      <protection hidden="1"/>
    </xf>
    <xf numFmtId="165" fontId="31" fillId="29" borderId="0" xfId="1" applyNumberFormat="1" applyFont="1" applyFill="1" applyAlignment="1" applyProtection="1">
      <alignment horizontal="left" vertical="center"/>
      <protection hidden="1"/>
    </xf>
    <xf numFmtId="165" fontId="12" fillId="3" borderId="0" xfId="1" applyNumberFormat="1" applyFont="1" applyFill="1" applyAlignment="1" applyProtection="1">
      <alignment horizontal="center" vertical="center" wrapText="1"/>
      <protection locked="0"/>
    </xf>
    <xf numFmtId="165" fontId="16" fillId="4" borderId="0" xfId="1" applyNumberFormat="1" applyFont="1" applyFill="1" applyAlignment="1" applyProtection="1">
      <alignment horizontal="center" vertical="center" wrapText="1"/>
      <protection locked="0"/>
    </xf>
  </cellXfs>
  <cellStyles count="5">
    <cellStyle name="Millares" xfId="1" builtinId="3"/>
    <cellStyle name="Millares 2" xfId="4" xr:uid="{0EC5A54C-EAA2-4BE6-BDC3-0FB67B0EEC53}"/>
    <cellStyle name="Normal" xfId="0" builtinId="0"/>
    <cellStyle name="Normal 4" xfId="3" xr:uid="{625CCD94-CE00-4C14-871C-F5F08FB310AC}"/>
    <cellStyle name="Porcentaje" xfId="2" builtinId="5"/>
  </cellStyles>
  <dxfs count="409">
    <dxf>
      <font>
        <color rgb="FFFFC000"/>
      </font>
    </dxf>
    <dxf>
      <font>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FFC00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C000"/>
      </font>
    </dxf>
  </dxfs>
  <tableStyles count="0" defaultTableStyle="TableStyleMedium2" defaultPivotStyle="PivotStyleLight16"/>
  <colors>
    <mruColors>
      <color rgb="FFE8D1BA"/>
      <color rgb="FFDDD2FA"/>
      <color rgb="FFE1C2A3"/>
      <color rgb="FFC18243"/>
      <color rgb="FFB3773B"/>
      <color rgb="FF996633"/>
      <color rgb="FFCFBEF8"/>
      <color rgb="FFA98CF2"/>
      <color rgb="FF396492"/>
      <color rgb="FF19DD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iagrams/colors1.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4AE5A32-AFE0-4688-8E56-7A6E5A0D4258}" type="doc">
      <dgm:prSet loTypeId="urn:microsoft.com/office/officeart/2005/8/layout/hList3" loCatId="list" qsTypeId="urn:microsoft.com/office/officeart/2005/8/quickstyle/simple4" qsCatId="simple" csTypeId="urn:microsoft.com/office/officeart/2005/8/colors/accent0_2" csCatId="mainScheme" phldr="1"/>
      <dgm:spPr/>
      <dgm:t>
        <a:bodyPr/>
        <a:lstStyle/>
        <a:p>
          <a:endParaRPr lang="es-ES"/>
        </a:p>
      </dgm:t>
    </dgm:pt>
    <dgm:pt modelId="{94E24F97-F440-4F0E-8976-E9D5D910178D}">
      <dgm:prSet phldrT="[Texto]" custT="1"/>
      <dgm:spPr>
        <a:solidFill>
          <a:schemeClr val="bg1"/>
        </a:solidFill>
      </dgm:spPr>
      <dgm:t>
        <a:bodyPr/>
        <a:lstStyle/>
        <a:p>
          <a:r>
            <a:rPr lang="es-ES" sz="1400" b="1">
              <a:solidFill>
                <a:schemeClr val="accent2">
                  <a:lumMod val="50000"/>
                </a:schemeClr>
              </a:solidFill>
              <a:latin typeface="Candara" pitchFamily="34" charset="0"/>
            </a:rPr>
            <a:t>IMPORTANTE. FAVOR LEER ANTES DE INICIAR EL USO DEL LIQUIDADOR</a:t>
          </a:r>
          <a:r>
            <a:rPr lang="es-ES" sz="1400" b="1">
              <a:solidFill>
                <a:schemeClr val="accent6">
                  <a:lumMod val="50000"/>
                </a:schemeClr>
              </a:solidFill>
              <a:latin typeface="Candara" pitchFamily="34" charset="0"/>
            </a:rPr>
            <a:t>.</a:t>
          </a:r>
        </a:p>
      </dgm:t>
    </dgm:pt>
    <dgm:pt modelId="{3FDFC48C-E342-4F64-8EE6-1364DB6C81B5}" type="parTrans" cxnId="{75D5250C-69D5-4316-9CDE-8BA4E0D4BC48}">
      <dgm:prSet/>
      <dgm:spPr/>
      <dgm:t>
        <a:bodyPr/>
        <a:lstStyle/>
        <a:p>
          <a:endParaRPr lang="es-ES" sz="1400">
            <a:latin typeface="Candara" pitchFamily="34" charset="0"/>
          </a:endParaRPr>
        </a:p>
      </dgm:t>
    </dgm:pt>
    <dgm:pt modelId="{5FB134EC-D873-418B-8E37-6975CD4B7366}" type="sibTrans" cxnId="{75D5250C-69D5-4316-9CDE-8BA4E0D4BC48}">
      <dgm:prSet/>
      <dgm:spPr/>
      <dgm:t>
        <a:bodyPr/>
        <a:lstStyle/>
        <a:p>
          <a:endParaRPr lang="es-ES" sz="1400">
            <a:latin typeface="Candara" pitchFamily="34" charset="0"/>
          </a:endParaRPr>
        </a:p>
      </dgm:t>
    </dgm:pt>
    <dgm:pt modelId="{0833710D-C9D1-4CF3-9093-54663FAA5FB4}">
      <dgm:prSet phldrT="[Texto]" custT="1"/>
      <dgm:spPr/>
      <dgm:t>
        <a:bodyPr/>
        <a:lstStyle/>
        <a:p>
          <a:r>
            <a:rPr lang="es-ES" sz="1200" b="1">
              <a:solidFill>
                <a:schemeClr val="tx1">
                  <a:lumMod val="85000"/>
                  <a:lumOff val="15000"/>
                </a:schemeClr>
              </a:solidFill>
              <a:effectLst/>
              <a:latin typeface="Candara" pitchFamily="34" charset="0"/>
              <a:ea typeface="+mn-ea"/>
              <a:cs typeface="Myanmar Text" panose="020B0502040204020203" pitchFamily="34" charset="0"/>
            </a:rPr>
            <a:t>1. </a:t>
          </a:r>
          <a:r>
            <a:rPr lang="es-ES" sz="1200">
              <a:solidFill>
                <a:schemeClr val="tx1">
                  <a:lumMod val="85000"/>
                  <a:lumOff val="15000"/>
                </a:schemeClr>
              </a:solidFill>
              <a:effectLst/>
              <a:latin typeface="Candara" pitchFamily="34" charset="0"/>
              <a:ea typeface="+mn-ea"/>
              <a:cs typeface="Myanmar Text" panose="020B0502040204020203" pitchFamily="34" charset="0"/>
            </a:rPr>
            <a:t>Su funcionalidad contiene de manera asertiva la aplicabilidad de las Leyes 2010/2019, 2155/2021, 2277/2022 y Decreto 1625 de 2016.</a:t>
          </a:r>
        </a:p>
      </dgm:t>
    </dgm:pt>
    <dgm:pt modelId="{7C1A9697-10A8-4016-8C32-705327D13B0C}" type="parTrans" cxnId="{9CF81196-C9E6-4C60-B76D-F82891A4F0BD}">
      <dgm:prSet/>
      <dgm:spPr/>
      <dgm:t>
        <a:bodyPr/>
        <a:lstStyle/>
        <a:p>
          <a:endParaRPr lang="es-ES" sz="1400">
            <a:latin typeface="Candara" pitchFamily="34" charset="0"/>
          </a:endParaRPr>
        </a:p>
      </dgm:t>
    </dgm:pt>
    <dgm:pt modelId="{5B1EBC58-95F4-4CAC-B355-9396D1F32E75}" type="sibTrans" cxnId="{9CF81196-C9E6-4C60-B76D-F82891A4F0BD}">
      <dgm:prSet/>
      <dgm:spPr/>
      <dgm:t>
        <a:bodyPr/>
        <a:lstStyle/>
        <a:p>
          <a:endParaRPr lang="es-ES" sz="1400">
            <a:latin typeface="Candara" pitchFamily="34" charset="0"/>
          </a:endParaRPr>
        </a:p>
      </dgm:t>
    </dgm:pt>
    <dgm:pt modelId="{3CFF2EE9-4245-4A25-81A3-7DA493A0F36F}">
      <dgm:prSet phldrT="[Texto]" custT="1"/>
      <dgm:spPr/>
      <dgm:t>
        <a:bodyPr/>
        <a:lstStyle/>
        <a:p>
          <a:r>
            <a:rPr lang="es-ES" sz="1200" b="1">
              <a:solidFill>
                <a:schemeClr val="tx1">
                  <a:lumMod val="85000"/>
                  <a:lumOff val="15000"/>
                </a:schemeClr>
              </a:solidFill>
              <a:effectLst/>
              <a:latin typeface="Candara" pitchFamily="34" charset="0"/>
              <a:ea typeface="+mn-ea"/>
              <a:cs typeface="Myanmar Text" panose="020B0502040204020203" pitchFamily="34" charset="0"/>
            </a:rPr>
            <a:t>2</a:t>
          </a:r>
          <a:r>
            <a:rPr lang="es-ES" sz="1200">
              <a:solidFill>
                <a:schemeClr val="tx1">
                  <a:lumMod val="85000"/>
                  <a:lumOff val="15000"/>
                </a:schemeClr>
              </a:solidFill>
              <a:effectLst/>
              <a:latin typeface="Candara" pitchFamily="34" charset="0"/>
              <a:ea typeface="+mn-ea"/>
              <a:cs typeface="Myanmar Text" panose="020B0502040204020203" pitchFamily="34" charset="0"/>
            </a:rPr>
            <a:t>. Este liquidador lo orienta en la forma como se obtienen los formularios para la declaración del IVA bimestral, cuatrimestral o anual.</a:t>
          </a:r>
        </a:p>
      </dgm:t>
    </dgm:pt>
    <dgm:pt modelId="{AA22E542-2B4E-44EC-80D8-8D32AEBC2E02}" type="parTrans" cxnId="{F76136AF-79D8-4A00-AA45-C1A8E8B8EE5F}">
      <dgm:prSet/>
      <dgm:spPr/>
      <dgm:t>
        <a:bodyPr/>
        <a:lstStyle/>
        <a:p>
          <a:endParaRPr lang="es-ES" sz="1400">
            <a:latin typeface="Candara" pitchFamily="34" charset="0"/>
          </a:endParaRPr>
        </a:p>
      </dgm:t>
    </dgm:pt>
    <dgm:pt modelId="{B5E823D5-C3CD-4912-B1C5-813D381C4BDC}" type="sibTrans" cxnId="{F76136AF-79D8-4A00-AA45-C1A8E8B8EE5F}">
      <dgm:prSet/>
      <dgm:spPr/>
      <dgm:t>
        <a:bodyPr/>
        <a:lstStyle/>
        <a:p>
          <a:endParaRPr lang="es-ES" sz="1400">
            <a:latin typeface="Candara" pitchFamily="34" charset="0"/>
          </a:endParaRPr>
        </a:p>
      </dgm:t>
    </dgm:pt>
    <dgm:pt modelId="{65A157B4-95BC-49F9-885A-F539134942DF}">
      <dgm:prSet phldrT="[Texto]" custT="1"/>
      <dgm:spPr/>
      <dgm:t>
        <a:bodyPr/>
        <a:lstStyle/>
        <a:p>
          <a:r>
            <a:rPr lang="es-ES" sz="1200" b="1">
              <a:solidFill>
                <a:schemeClr val="tx1">
                  <a:lumMod val="85000"/>
                  <a:lumOff val="15000"/>
                </a:schemeClr>
              </a:solidFill>
              <a:effectLst/>
              <a:latin typeface="Candara" pitchFamily="34" charset="0"/>
              <a:ea typeface="+mn-ea"/>
              <a:cs typeface="Myanmar Text" panose="020B0502040204020203" pitchFamily="34" charset="0"/>
            </a:rPr>
            <a:t>3. </a:t>
          </a:r>
          <a:r>
            <a:rPr lang="es-ES" sz="1200">
              <a:solidFill>
                <a:schemeClr val="tx1">
                  <a:lumMod val="85000"/>
                  <a:lumOff val="15000"/>
                </a:schemeClr>
              </a:solidFill>
              <a:effectLst/>
              <a:latin typeface="Candara" pitchFamily="34" charset="0"/>
              <a:ea typeface="+mn-ea"/>
              <a:cs typeface="Myanmar Text" panose="020B0502040204020203" pitchFamily="34" charset="0"/>
            </a:rPr>
            <a:t>Es un liquidador elaborado en Excel que requiere macros. Está protegido en las casillas que no deben ser diligenciables.</a:t>
          </a:r>
        </a:p>
      </dgm:t>
    </dgm:pt>
    <dgm:pt modelId="{4A130347-7CF3-4C0D-ADDB-6BC90C7AC7F4}" type="parTrans" cxnId="{6906CF42-8E29-49B7-866F-D02901E032AB}">
      <dgm:prSet/>
      <dgm:spPr/>
      <dgm:t>
        <a:bodyPr/>
        <a:lstStyle/>
        <a:p>
          <a:endParaRPr lang="es-ES" sz="1400">
            <a:latin typeface="Candara" pitchFamily="34" charset="0"/>
          </a:endParaRPr>
        </a:p>
      </dgm:t>
    </dgm:pt>
    <dgm:pt modelId="{8FE41C2C-A74A-4878-8EBF-C85B45BD79CF}" type="sibTrans" cxnId="{6906CF42-8E29-49B7-866F-D02901E032AB}">
      <dgm:prSet/>
      <dgm:spPr/>
      <dgm:t>
        <a:bodyPr/>
        <a:lstStyle/>
        <a:p>
          <a:endParaRPr lang="es-ES" sz="1400">
            <a:latin typeface="Candara" pitchFamily="34" charset="0"/>
          </a:endParaRPr>
        </a:p>
      </dgm:t>
    </dgm:pt>
    <dgm:pt modelId="{8D1E4218-7722-44B7-96EA-A972930DFD38}">
      <dgm:prSet phldrT="[Texto]" custT="1"/>
      <dgm:spPr/>
      <dgm:t>
        <a:bodyPr/>
        <a:lstStyle/>
        <a:p>
          <a:r>
            <a:rPr lang="es-CO" sz="1200" b="1">
              <a:solidFill>
                <a:schemeClr val="tx1">
                  <a:lumMod val="85000"/>
                  <a:lumOff val="15000"/>
                </a:schemeClr>
              </a:solidFill>
              <a:effectLst/>
              <a:latin typeface="Candara" pitchFamily="34" charset="0"/>
              <a:ea typeface="+mn-ea"/>
              <a:cs typeface="Myanmar Text" panose="020B0502040204020203" pitchFamily="34" charset="0"/>
            </a:rPr>
            <a:t>4. </a:t>
          </a:r>
          <a:r>
            <a:rPr lang="es-CO" sz="1200">
              <a:solidFill>
                <a:schemeClr val="tx1">
                  <a:lumMod val="85000"/>
                  <a:lumOff val="15000"/>
                </a:schemeClr>
              </a:solidFill>
              <a:effectLst/>
              <a:latin typeface="Candara" pitchFamily="34" charset="0"/>
              <a:ea typeface="+mn-ea"/>
              <a:cs typeface="Myanmar Text" panose="020B0502040204020203" pitchFamily="34" charset="0"/>
            </a:rPr>
            <a:t>Se advierte que quien viole alguno de los parámetros de seguridad, podría llegar a resultados muy diferentes a los establecidos en el liquidador.</a:t>
          </a:r>
          <a:endParaRPr lang="es-ES" sz="1200">
            <a:solidFill>
              <a:schemeClr val="tx1">
                <a:lumMod val="85000"/>
                <a:lumOff val="15000"/>
              </a:schemeClr>
            </a:solidFill>
            <a:latin typeface="Candara" pitchFamily="34" charset="0"/>
          </a:endParaRPr>
        </a:p>
      </dgm:t>
    </dgm:pt>
    <dgm:pt modelId="{42DF0AE2-DA9C-42D1-82F9-09B51E0C8AAD}" type="parTrans" cxnId="{8EBB9B43-180F-47F5-ACF2-7AD1AEEABFFC}">
      <dgm:prSet/>
      <dgm:spPr/>
      <dgm:t>
        <a:bodyPr/>
        <a:lstStyle/>
        <a:p>
          <a:endParaRPr lang="es-ES" sz="1400">
            <a:latin typeface="Candara" pitchFamily="34" charset="0"/>
          </a:endParaRPr>
        </a:p>
      </dgm:t>
    </dgm:pt>
    <dgm:pt modelId="{09D21947-D662-43C0-B2CA-15FAE0441B71}" type="sibTrans" cxnId="{8EBB9B43-180F-47F5-ACF2-7AD1AEEABFFC}">
      <dgm:prSet/>
      <dgm:spPr/>
      <dgm:t>
        <a:bodyPr/>
        <a:lstStyle/>
        <a:p>
          <a:endParaRPr lang="es-ES" sz="1400">
            <a:latin typeface="Candara" pitchFamily="34" charset="0"/>
          </a:endParaRPr>
        </a:p>
      </dgm:t>
    </dgm:pt>
    <dgm:pt modelId="{17F21DC0-1B67-4E96-B8C4-0CA91AA1B954}">
      <dgm:prSet phldrT="[Texto]" custT="1"/>
      <dgm:spPr/>
      <dgm:t>
        <a:bodyPr/>
        <a:lstStyle/>
        <a:p>
          <a:r>
            <a:rPr lang="es-CO" sz="1200" b="1">
              <a:solidFill>
                <a:schemeClr val="tx1">
                  <a:lumMod val="85000"/>
                  <a:lumOff val="15000"/>
                </a:schemeClr>
              </a:solidFill>
              <a:effectLst/>
              <a:latin typeface="Candara" pitchFamily="34" charset="0"/>
              <a:ea typeface="+mn-ea"/>
              <a:cs typeface="Myanmar Text" panose="020B0502040204020203" pitchFamily="34" charset="0"/>
            </a:rPr>
            <a:t>5. </a:t>
          </a:r>
          <a:r>
            <a:rPr lang="es-CO" sz="1200">
              <a:solidFill>
                <a:schemeClr val="tx1">
                  <a:lumMod val="85000"/>
                  <a:lumOff val="15000"/>
                </a:schemeClr>
              </a:solidFill>
              <a:effectLst/>
              <a:latin typeface="Candara" pitchFamily="34" charset="0"/>
              <a:ea typeface="+mn-ea"/>
              <a:cs typeface="Myanmar Text" panose="020B0502040204020203" pitchFamily="34" charset="0"/>
            </a:rPr>
            <a:t>Está prohibida la reproducción, transformación, distribución total o parcial, en todo o en parte, en formato impreso o digital del LIQUIDADOR DE IMPUESTO SOBRE LAS VENTAS IVA y sólo serán lícitos en la medida en que cuente con la autorización previa de su autor. </a:t>
          </a:r>
          <a:endParaRPr lang="es-ES" sz="1200">
            <a:solidFill>
              <a:schemeClr val="tx1">
                <a:lumMod val="85000"/>
                <a:lumOff val="15000"/>
              </a:schemeClr>
            </a:solidFill>
            <a:latin typeface="Candara" pitchFamily="34" charset="0"/>
          </a:endParaRPr>
        </a:p>
      </dgm:t>
    </dgm:pt>
    <dgm:pt modelId="{906C3DDE-806B-43F1-A986-990BFCC9B189}" type="parTrans" cxnId="{5EFCF561-2E8C-451F-82CC-6BED17B6F376}">
      <dgm:prSet/>
      <dgm:spPr/>
      <dgm:t>
        <a:bodyPr/>
        <a:lstStyle/>
        <a:p>
          <a:endParaRPr lang="es-ES" sz="1400">
            <a:latin typeface="Candara" pitchFamily="34" charset="0"/>
          </a:endParaRPr>
        </a:p>
      </dgm:t>
    </dgm:pt>
    <dgm:pt modelId="{983EEE99-EA24-47EA-8CAC-AA26FD0D348D}" type="sibTrans" cxnId="{5EFCF561-2E8C-451F-82CC-6BED17B6F376}">
      <dgm:prSet/>
      <dgm:spPr/>
      <dgm:t>
        <a:bodyPr/>
        <a:lstStyle/>
        <a:p>
          <a:endParaRPr lang="es-ES" sz="1400">
            <a:latin typeface="Candara" pitchFamily="34" charset="0"/>
          </a:endParaRPr>
        </a:p>
      </dgm:t>
    </dgm:pt>
    <dgm:pt modelId="{F0E48365-EE74-41AB-8E93-044D4CA3880C}" type="pres">
      <dgm:prSet presAssocID="{44AE5A32-AFE0-4688-8E56-7A6E5A0D4258}" presName="composite" presStyleCnt="0">
        <dgm:presLayoutVars>
          <dgm:chMax val="1"/>
          <dgm:dir/>
          <dgm:resizeHandles val="exact"/>
        </dgm:presLayoutVars>
      </dgm:prSet>
      <dgm:spPr/>
    </dgm:pt>
    <dgm:pt modelId="{BF7155C0-B201-4FB3-9CCD-96A9632895FC}" type="pres">
      <dgm:prSet presAssocID="{94E24F97-F440-4F0E-8976-E9D5D910178D}" presName="roof" presStyleLbl="dkBgShp" presStyleIdx="0" presStyleCnt="2" custScaleY="25916" custLinFactNeighborY="-1462"/>
      <dgm:spPr/>
    </dgm:pt>
    <dgm:pt modelId="{3213DB8A-8830-4007-902C-84CC08B06CC3}" type="pres">
      <dgm:prSet presAssocID="{94E24F97-F440-4F0E-8976-E9D5D910178D}" presName="pillars" presStyleCnt="0"/>
      <dgm:spPr/>
    </dgm:pt>
    <dgm:pt modelId="{9635460A-E22C-4E18-BA88-0DAA1F7ADD8B}" type="pres">
      <dgm:prSet presAssocID="{94E24F97-F440-4F0E-8976-E9D5D910178D}" presName="pillar1" presStyleLbl="node1" presStyleIdx="0" presStyleCnt="5" custScaleX="65067" custScaleY="113640">
        <dgm:presLayoutVars>
          <dgm:bulletEnabled val="1"/>
        </dgm:presLayoutVars>
      </dgm:prSet>
      <dgm:spPr/>
    </dgm:pt>
    <dgm:pt modelId="{08E1C5F4-3416-43FA-847D-98DF2DCA1DCE}" type="pres">
      <dgm:prSet presAssocID="{3CFF2EE9-4245-4A25-81A3-7DA493A0F36F}" presName="pillarX" presStyleLbl="node1" presStyleIdx="1" presStyleCnt="5" custScaleX="83686" custScaleY="113640">
        <dgm:presLayoutVars>
          <dgm:bulletEnabled val="1"/>
        </dgm:presLayoutVars>
      </dgm:prSet>
      <dgm:spPr/>
    </dgm:pt>
    <dgm:pt modelId="{7E5A11DE-8135-4055-991F-E704F4F37549}" type="pres">
      <dgm:prSet presAssocID="{65A157B4-95BC-49F9-885A-F539134942DF}" presName="pillarX" presStyleLbl="node1" presStyleIdx="2" presStyleCnt="5" custScaleX="62334" custScaleY="113640">
        <dgm:presLayoutVars>
          <dgm:bulletEnabled val="1"/>
        </dgm:presLayoutVars>
      </dgm:prSet>
      <dgm:spPr/>
    </dgm:pt>
    <dgm:pt modelId="{273EB37B-392B-4D9B-874B-9405490EC7B9}" type="pres">
      <dgm:prSet presAssocID="{8D1E4218-7722-44B7-96EA-A972930DFD38}" presName="pillarX" presStyleLbl="node1" presStyleIdx="3" presStyleCnt="5" custScaleX="70113" custScaleY="113640">
        <dgm:presLayoutVars>
          <dgm:bulletEnabled val="1"/>
        </dgm:presLayoutVars>
      </dgm:prSet>
      <dgm:spPr/>
    </dgm:pt>
    <dgm:pt modelId="{E6CEFAD4-FA0A-436F-94A0-C27FEDAAE158}" type="pres">
      <dgm:prSet presAssocID="{17F21DC0-1B67-4E96-B8C4-0CA91AA1B954}" presName="pillarX" presStyleLbl="node1" presStyleIdx="4" presStyleCnt="5" custScaleX="123838" custScaleY="113640">
        <dgm:presLayoutVars>
          <dgm:bulletEnabled val="1"/>
        </dgm:presLayoutVars>
      </dgm:prSet>
      <dgm:spPr/>
    </dgm:pt>
    <dgm:pt modelId="{E0314C10-BA4D-49F5-A31D-4BC305ED8F69}" type="pres">
      <dgm:prSet presAssocID="{94E24F97-F440-4F0E-8976-E9D5D910178D}" presName="base" presStyleLbl="dkBgShp" presStyleIdx="1" presStyleCnt="2" custFlipVert="1" custScaleY="53928"/>
      <dgm:spPr>
        <a:solidFill>
          <a:schemeClr val="bg1"/>
        </a:solidFill>
      </dgm:spPr>
    </dgm:pt>
  </dgm:ptLst>
  <dgm:cxnLst>
    <dgm:cxn modelId="{75D5250C-69D5-4316-9CDE-8BA4E0D4BC48}" srcId="{44AE5A32-AFE0-4688-8E56-7A6E5A0D4258}" destId="{94E24F97-F440-4F0E-8976-E9D5D910178D}" srcOrd="0" destOrd="0" parTransId="{3FDFC48C-E342-4F64-8EE6-1364DB6C81B5}" sibTransId="{5FB134EC-D873-418B-8E37-6975CD4B7366}"/>
    <dgm:cxn modelId="{2B1D5B40-E64A-4CEB-8112-ADF6EB36D816}" type="presOf" srcId="{94E24F97-F440-4F0E-8976-E9D5D910178D}" destId="{BF7155C0-B201-4FB3-9CCD-96A9632895FC}" srcOrd="0" destOrd="0" presId="urn:microsoft.com/office/officeart/2005/8/layout/hList3"/>
    <dgm:cxn modelId="{5EFCF561-2E8C-451F-82CC-6BED17B6F376}" srcId="{94E24F97-F440-4F0E-8976-E9D5D910178D}" destId="{17F21DC0-1B67-4E96-B8C4-0CA91AA1B954}" srcOrd="4" destOrd="0" parTransId="{906C3DDE-806B-43F1-A986-990BFCC9B189}" sibTransId="{983EEE99-EA24-47EA-8CAC-AA26FD0D348D}"/>
    <dgm:cxn modelId="{6906CF42-8E29-49B7-866F-D02901E032AB}" srcId="{94E24F97-F440-4F0E-8976-E9D5D910178D}" destId="{65A157B4-95BC-49F9-885A-F539134942DF}" srcOrd="2" destOrd="0" parTransId="{4A130347-7CF3-4C0D-ADDB-6BC90C7AC7F4}" sibTransId="{8FE41C2C-A74A-4878-8EBF-C85B45BD79CF}"/>
    <dgm:cxn modelId="{8EBB9B43-180F-47F5-ACF2-7AD1AEEABFFC}" srcId="{94E24F97-F440-4F0E-8976-E9D5D910178D}" destId="{8D1E4218-7722-44B7-96EA-A972930DFD38}" srcOrd="3" destOrd="0" parTransId="{42DF0AE2-DA9C-42D1-82F9-09B51E0C8AAD}" sibTransId="{09D21947-D662-43C0-B2CA-15FAE0441B71}"/>
    <dgm:cxn modelId="{3E38C378-BF1C-4A2D-94F8-09B3BF440CBC}" type="presOf" srcId="{0833710D-C9D1-4CF3-9093-54663FAA5FB4}" destId="{9635460A-E22C-4E18-BA88-0DAA1F7ADD8B}" srcOrd="0" destOrd="0" presId="urn:microsoft.com/office/officeart/2005/8/layout/hList3"/>
    <dgm:cxn modelId="{75C6C15A-3815-414B-ABFC-788475DBF93D}" type="presOf" srcId="{44AE5A32-AFE0-4688-8E56-7A6E5A0D4258}" destId="{F0E48365-EE74-41AB-8E93-044D4CA3880C}" srcOrd="0" destOrd="0" presId="urn:microsoft.com/office/officeart/2005/8/layout/hList3"/>
    <dgm:cxn modelId="{9CF81196-C9E6-4C60-B76D-F82891A4F0BD}" srcId="{94E24F97-F440-4F0E-8976-E9D5D910178D}" destId="{0833710D-C9D1-4CF3-9093-54663FAA5FB4}" srcOrd="0" destOrd="0" parTransId="{7C1A9697-10A8-4016-8C32-705327D13B0C}" sibTransId="{5B1EBC58-95F4-4CAC-B355-9396D1F32E75}"/>
    <dgm:cxn modelId="{F76136AF-79D8-4A00-AA45-C1A8E8B8EE5F}" srcId="{94E24F97-F440-4F0E-8976-E9D5D910178D}" destId="{3CFF2EE9-4245-4A25-81A3-7DA493A0F36F}" srcOrd="1" destOrd="0" parTransId="{AA22E542-2B4E-44EC-80D8-8D32AEBC2E02}" sibTransId="{B5E823D5-C3CD-4912-B1C5-813D381C4BDC}"/>
    <dgm:cxn modelId="{39719CB4-A373-4D56-B6D3-B53D8CECE2A5}" type="presOf" srcId="{17F21DC0-1B67-4E96-B8C4-0CA91AA1B954}" destId="{E6CEFAD4-FA0A-436F-94A0-C27FEDAAE158}" srcOrd="0" destOrd="0" presId="urn:microsoft.com/office/officeart/2005/8/layout/hList3"/>
    <dgm:cxn modelId="{4EB1DBC3-80F5-4824-BCFD-2C63AEE482D7}" type="presOf" srcId="{65A157B4-95BC-49F9-885A-F539134942DF}" destId="{7E5A11DE-8135-4055-991F-E704F4F37549}" srcOrd="0" destOrd="0" presId="urn:microsoft.com/office/officeart/2005/8/layout/hList3"/>
    <dgm:cxn modelId="{B6E6B2E0-BEE7-44EF-816B-F95D89AD46C7}" type="presOf" srcId="{8D1E4218-7722-44B7-96EA-A972930DFD38}" destId="{273EB37B-392B-4D9B-874B-9405490EC7B9}" srcOrd="0" destOrd="0" presId="urn:microsoft.com/office/officeart/2005/8/layout/hList3"/>
    <dgm:cxn modelId="{18DCB7EA-291A-44C0-9615-DDEFA0CBDE95}" type="presOf" srcId="{3CFF2EE9-4245-4A25-81A3-7DA493A0F36F}" destId="{08E1C5F4-3416-43FA-847D-98DF2DCA1DCE}" srcOrd="0" destOrd="0" presId="urn:microsoft.com/office/officeart/2005/8/layout/hList3"/>
    <dgm:cxn modelId="{6E6408C6-7543-42FD-8964-01FC0A0C904F}" type="presParOf" srcId="{F0E48365-EE74-41AB-8E93-044D4CA3880C}" destId="{BF7155C0-B201-4FB3-9CCD-96A9632895FC}" srcOrd="0" destOrd="0" presId="urn:microsoft.com/office/officeart/2005/8/layout/hList3"/>
    <dgm:cxn modelId="{3B26B367-B979-40E5-B74A-4EA8894873A0}" type="presParOf" srcId="{F0E48365-EE74-41AB-8E93-044D4CA3880C}" destId="{3213DB8A-8830-4007-902C-84CC08B06CC3}" srcOrd="1" destOrd="0" presId="urn:microsoft.com/office/officeart/2005/8/layout/hList3"/>
    <dgm:cxn modelId="{F04DC790-AB30-4C71-BED0-8205E14FDEFF}" type="presParOf" srcId="{3213DB8A-8830-4007-902C-84CC08B06CC3}" destId="{9635460A-E22C-4E18-BA88-0DAA1F7ADD8B}" srcOrd="0" destOrd="0" presId="urn:microsoft.com/office/officeart/2005/8/layout/hList3"/>
    <dgm:cxn modelId="{CDAB72FD-0E0A-4B03-828D-F75F226322E1}" type="presParOf" srcId="{3213DB8A-8830-4007-902C-84CC08B06CC3}" destId="{08E1C5F4-3416-43FA-847D-98DF2DCA1DCE}" srcOrd="1" destOrd="0" presId="urn:microsoft.com/office/officeart/2005/8/layout/hList3"/>
    <dgm:cxn modelId="{85E74382-6AA2-4478-BA12-98E3E39DA084}" type="presParOf" srcId="{3213DB8A-8830-4007-902C-84CC08B06CC3}" destId="{7E5A11DE-8135-4055-991F-E704F4F37549}" srcOrd="2" destOrd="0" presId="urn:microsoft.com/office/officeart/2005/8/layout/hList3"/>
    <dgm:cxn modelId="{80ED63C9-43DF-4B42-BAAD-30225ADCF095}" type="presParOf" srcId="{3213DB8A-8830-4007-902C-84CC08B06CC3}" destId="{273EB37B-392B-4D9B-874B-9405490EC7B9}" srcOrd="3" destOrd="0" presId="urn:microsoft.com/office/officeart/2005/8/layout/hList3"/>
    <dgm:cxn modelId="{309810C2-D8F9-42AC-BB91-605A8F8D87BA}" type="presParOf" srcId="{3213DB8A-8830-4007-902C-84CC08B06CC3}" destId="{E6CEFAD4-FA0A-436F-94A0-C27FEDAAE158}" srcOrd="4" destOrd="0" presId="urn:microsoft.com/office/officeart/2005/8/layout/hList3"/>
    <dgm:cxn modelId="{2D0308C0-6665-4E37-B9F6-8421070121F8}" type="presParOf" srcId="{F0E48365-EE74-41AB-8E93-044D4CA3880C}" destId="{E0314C10-BA4D-49F5-A31D-4BC305ED8F69}" srcOrd="2" destOrd="0" presId="urn:microsoft.com/office/officeart/2005/8/layout/hList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F7155C0-B201-4FB3-9CCD-96A9632895FC}">
      <dsp:nvSpPr>
        <dsp:cNvPr id="0" name=""/>
        <dsp:cNvSpPr/>
      </dsp:nvSpPr>
      <dsp:spPr>
        <a:xfrm>
          <a:off x="0" y="98428"/>
          <a:ext cx="12220288" cy="129181"/>
        </a:xfrm>
        <a:prstGeom prst="rect">
          <a:avLst/>
        </a:prstGeom>
        <a:solidFill>
          <a:schemeClr val="bg1"/>
        </a:solidFill>
        <a:ln>
          <a:noFill/>
        </a:ln>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ES" sz="1400" b="1" kern="1200">
              <a:solidFill>
                <a:schemeClr val="accent2">
                  <a:lumMod val="50000"/>
                </a:schemeClr>
              </a:solidFill>
              <a:latin typeface="Candara" pitchFamily="34" charset="0"/>
            </a:rPr>
            <a:t>IMPORTANTE. FAVOR LEER ANTES DE INICIAR EL USO DEL LIQUIDADOR</a:t>
          </a:r>
          <a:r>
            <a:rPr lang="es-ES" sz="1400" b="1" kern="1200">
              <a:solidFill>
                <a:schemeClr val="accent6">
                  <a:lumMod val="50000"/>
                </a:schemeClr>
              </a:solidFill>
              <a:latin typeface="Candara" pitchFamily="34" charset="0"/>
            </a:rPr>
            <a:t>.</a:t>
          </a:r>
        </a:p>
      </dsp:txBody>
      <dsp:txXfrm>
        <a:off x="0" y="98428"/>
        <a:ext cx="12220288" cy="129181"/>
      </dsp:txXfrm>
    </dsp:sp>
    <dsp:sp modelId="{9635460A-E22C-4E18-BA88-0DAA1F7ADD8B}">
      <dsp:nvSpPr>
        <dsp:cNvPr id="0" name=""/>
        <dsp:cNvSpPr/>
      </dsp:nvSpPr>
      <dsp:spPr>
        <a:xfrm>
          <a:off x="1589" y="348147"/>
          <a:ext cx="1962607"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ES" sz="1200" b="1" kern="1200">
              <a:solidFill>
                <a:schemeClr val="tx1">
                  <a:lumMod val="85000"/>
                  <a:lumOff val="15000"/>
                </a:schemeClr>
              </a:solidFill>
              <a:effectLst/>
              <a:latin typeface="Candara" pitchFamily="34" charset="0"/>
              <a:ea typeface="+mn-ea"/>
              <a:cs typeface="Myanmar Text" panose="020B0502040204020203" pitchFamily="34" charset="0"/>
            </a:rPr>
            <a:t>1. </a:t>
          </a:r>
          <a:r>
            <a:rPr lang="es-ES" sz="1200" kern="1200">
              <a:solidFill>
                <a:schemeClr val="tx1">
                  <a:lumMod val="85000"/>
                  <a:lumOff val="15000"/>
                </a:schemeClr>
              </a:solidFill>
              <a:effectLst/>
              <a:latin typeface="Candara" pitchFamily="34" charset="0"/>
              <a:ea typeface="+mn-ea"/>
              <a:cs typeface="Myanmar Text" panose="020B0502040204020203" pitchFamily="34" charset="0"/>
            </a:rPr>
            <a:t>Su funcionalidad contiene de manera asertiva la aplicabilidad de las Leyes 2010/2019, 2155/2021, 2277/2022 y Decreto 1625 de 2016.</a:t>
          </a:r>
        </a:p>
      </dsp:txBody>
      <dsp:txXfrm>
        <a:off x="1589" y="348147"/>
        <a:ext cx="1962607" cy="1189547"/>
      </dsp:txXfrm>
    </dsp:sp>
    <dsp:sp modelId="{08E1C5F4-3416-43FA-847D-98DF2DCA1DCE}">
      <dsp:nvSpPr>
        <dsp:cNvPr id="0" name=""/>
        <dsp:cNvSpPr/>
      </dsp:nvSpPr>
      <dsp:spPr>
        <a:xfrm>
          <a:off x="1964197" y="348147"/>
          <a:ext cx="2524209"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ES" sz="1200" b="1" kern="1200">
              <a:solidFill>
                <a:schemeClr val="tx1">
                  <a:lumMod val="85000"/>
                  <a:lumOff val="15000"/>
                </a:schemeClr>
              </a:solidFill>
              <a:effectLst/>
              <a:latin typeface="Candara" pitchFamily="34" charset="0"/>
              <a:ea typeface="+mn-ea"/>
              <a:cs typeface="Myanmar Text" panose="020B0502040204020203" pitchFamily="34" charset="0"/>
            </a:rPr>
            <a:t>2</a:t>
          </a:r>
          <a:r>
            <a:rPr lang="es-ES" sz="1200" kern="1200">
              <a:solidFill>
                <a:schemeClr val="tx1">
                  <a:lumMod val="85000"/>
                  <a:lumOff val="15000"/>
                </a:schemeClr>
              </a:solidFill>
              <a:effectLst/>
              <a:latin typeface="Candara" pitchFamily="34" charset="0"/>
              <a:ea typeface="+mn-ea"/>
              <a:cs typeface="Myanmar Text" panose="020B0502040204020203" pitchFamily="34" charset="0"/>
            </a:rPr>
            <a:t>. Este liquidador lo orienta en la forma como se obtienen los formularios para la declaración del IVA bimestral, cuatrimestral o anual.</a:t>
          </a:r>
        </a:p>
      </dsp:txBody>
      <dsp:txXfrm>
        <a:off x="1964197" y="348147"/>
        <a:ext cx="2524209" cy="1189547"/>
      </dsp:txXfrm>
    </dsp:sp>
    <dsp:sp modelId="{7E5A11DE-8135-4055-991F-E704F4F37549}">
      <dsp:nvSpPr>
        <dsp:cNvPr id="0" name=""/>
        <dsp:cNvSpPr/>
      </dsp:nvSpPr>
      <dsp:spPr>
        <a:xfrm>
          <a:off x="4488407" y="348147"/>
          <a:ext cx="1880172"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ES" sz="1200" b="1" kern="1200">
              <a:solidFill>
                <a:schemeClr val="tx1">
                  <a:lumMod val="85000"/>
                  <a:lumOff val="15000"/>
                </a:schemeClr>
              </a:solidFill>
              <a:effectLst/>
              <a:latin typeface="Candara" pitchFamily="34" charset="0"/>
              <a:ea typeface="+mn-ea"/>
              <a:cs typeface="Myanmar Text" panose="020B0502040204020203" pitchFamily="34" charset="0"/>
            </a:rPr>
            <a:t>3. </a:t>
          </a:r>
          <a:r>
            <a:rPr lang="es-ES" sz="1200" kern="1200">
              <a:solidFill>
                <a:schemeClr val="tx1">
                  <a:lumMod val="85000"/>
                  <a:lumOff val="15000"/>
                </a:schemeClr>
              </a:solidFill>
              <a:effectLst/>
              <a:latin typeface="Candara" pitchFamily="34" charset="0"/>
              <a:ea typeface="+mn-ea"/>
              <a:cs typeface="Myanmar Text" panose="020B0502040204020203" pitchFamily="34" charset="0"/>
            </a:rPr>
            <a:t>Es un liquidador elaborado en Excel que requiere macros. Está protegido en las casillas que no deben ser diligenciables.</a:t>
          </a:r>
        </a:p>
      </dsp:txBody>
      <dsp:txXfrm>
        <a:off x="4488407" y="348147"/>
        <a:ext cx="1880172" cy="1189547"/>
      </dsp:txXfrm>
    </dsp:sp>
    <dsp:sp modelId="{273EB37B-392B-4D9B-874B-9405490EC7B9}">
      <dsp:nvSpPr>
        <dsp:cNvPr id="0" name=""/>
        <dsp:cNvSpPr/>
      </dsp:nvSpPr>
      <dsp:spPr>
        <a:xfrm>
          <a:off x="6368579" y="348147"/>
          <a:ext cx="2114809"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CO" sz="1200" b="1" kern="1200">
              <a:solidFill>
                <a:schemeClr val="tx1">
                  <a:lumMod val="85000"/>
                  <a:lumOff val="15000"/>
                </a:schemeClr>
              </a:solidFill>
              <a:effectLst/>
              <a:latin typeface="Candara" pitchFamily="34" charset="0"/>
              <a:ea typeface="+mn-ea"/>
              <a:cs typeface="Myanmar Text" panose="020B0502040204020203" pitchFamily="34" charset="0"/>
            </a:rPr>
            <a:t>4. </a:t>
          </a:r>
          <a:r>
            <a:rPr lang="es-CO" sz="1200" kern="1200">
              <a:solidFill>
                <a:schemeClr val="tx1">
                  <a:lumMod val="85000"/>
                  <a:lumOff val="15000"/>
                </a:schemeClr>
              </a:solidFill>
              <a:effectLst/>
              <a:latin typeface="Candara" pitchFamily="34" charset="0"/>
              <a:ea typeface="+mn-ea"/>
              <a:cs typeface="Myanmar Text" panose="020B0502040204020203" pitchFamily="34" charset="0"/>
            </a:rPr>
            <a:t>Se advierte que quien viole alguno de los parámetros de seguridad, podría llegar a resultados muy diferentes a los establecidos en el liquidador.</a:t>
          </a:r>
          <a:endParaRPr lang="es-ES" sz="1200" kern="1200">
            <a:solidFill>
              <a:schemeClr val="tx1">
                <a:lumMod val="85000"/>
                <a:lumOff val="15000"/>
              </a:schemeClr>
            </a:solidFill>
            <a:latin typeface="Candara" pitchFamily="34" charset="0"/>
          </a:endParaRPr>
        </a:p>
      </dsp:txBody>
      <dsp:txXfrm>
        <a:off x="6368579" y="348147"/>
        <a:ext cx="2114809" cy="1189547"/>
      </dsp:txXfrm>
    </dsp:sp>
    <dsp:sp modelId="{E6CEFAD4-FA0A-436F-94A0-C27FEDAAE158}">
      <dsp:nvSpPr>
        <dsp:cNvPr id="0" name=""/>
        <dsp:cNvSpPr/>
      </dsp:nvSpPr>
      <dsp:spPr>
        <a:xfrm>
          <a:off x="8483388" y="348147"/>
          <a:ext cx="3735309" cy="1189547"/>
        </a:xfrm>
        <a:prstGeom prst="rect">
          <a:avLst/>
        </a:prstGeom>
        <a:gradFill rotWithShape="0">
          <a:gsLst>
            <a:gs pos="0">
              <a:schemeClr val="lt1">
                <a:hueOff val="0"/>
                <a:satOff val="0"/>
                <a:lumOff val="0"/>
                <a:alphaOff val="0"/>
                <a:satMod val="103000"/>
                <a:lumMod val="102000"/>
                <a:tint val="94000"/>
              </a:schemeClr>
            </a:gs>
            <a:gs pos="50000">
              <a:schemeClr val="lt1">
                <a:hueOff val="0"/>
                <a:satOff val="0"/>
                <a:lumOff val="0"/>
                <a:alphaOff val="0"/>
                <a:satMod val="110000"/>
                <a:lumMod val="100000"/>
                <a:shade val="100000"/>
              </a:schemeClr>
            </a:gs>
            <a:gs pos="100000">
              <a:schemeClr val="lt1">
                <a:hueOff val="0"/>
                <a:satOff val="0"/>
                <a:lumOff val="0"/>
                <a:alphaOff val="0"/>
                <a:lumMod val="99000"/>
                <a:satMod val="120000"/>
                <a:shade val="78000"/>
              </a:schemeClr>
            </a:gs>
          </a:gsLst>
          <a:lin ang="5400000" scaled="0"/>
        </a:gradFill>
        <a:ln>
          <a:noFill/>
        </a:ln>
        <a:effectLst/>
      </dsp:spPr>
      <dsp:style>
        <a:lnRef idx="0">
          <a:scrgbClr r="0" g="0" b="0"/>
        </a:lnRef>
        <a:fillRef idx="3">
          <a:scrgbClr r="0" g="0" b="0"/>
        </a:fillRef>
        <a:effectRef idx="2">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es-CO" sz="1200" b="1" kern="1200">
              <a:solidFill>
                <a:schemeClr val="tx1">
                  <a:lumMod val="85000"/>
                  <a:lumOff val="15000"/>
                </a:schemeClr>
              </a:solidFill>
              <a:effectLst/>
              <a:latin typeface="Candara" pitchFamily="34" charset="0"/>
              <a:ea typeface="+mn-ea"/>
              <a:cs typeface="Myanmar Text" panose="020B0502040204020203" pitchFamily="34" charset="0"/>
            </a:rPr>
            <a:t>5. </a:t>
          </a:r>
          <a:r>
            <a:rPr lang="es-CO" sz="1200" kern="1200">
              <a:solidFill>
                <a:schemeClr val="tx1">
                  <a:lumMod val="85000"/>
                  <a:lumOff val="15000"/>
                </a:schemeClr>
              </a:solidFill>
              <a:effectLst/>
              <a:latin typeface="Candara" pitchFamily="34" charset="0"/>
              <a:ea typeface="+mn-ea"/>
              <a:cs typeface="Myanmar Text" panose="020B0502040204020203" pitchFamily="34" charset="0"/>
            </a:rPr>
            <a:t>Está prohibida la reproducción, transformación, distribución total o parcial, en todo o en parte, en formato impreso o digital del LIQUIDADOR DE IMPUESTO SOBRE LAS VENTAS IVA y sólo serán lícitos en la medida en que cuente con la autorización previa de su autor. </a:t>
          </a:r>
          <a:endParaRPr lang="es-ES" sz="1200" kern="1200">
            <a:solidFill>
              <a:schemeClr val="tx1">
                <a:lumMod val="85000"/>
                <a:lumOff val="15000"/>
              </a:schemeClr>
            </a:solidFill>
            <a:latin typeface="Candara" pitchFamily="34" charset="0"/>
          </a:endParaRPr>
        </a:p>
      </dsp:txBody>
      <dsp:txXfrm>
        <a:off x="8483388" y="348147"/>
        <a:ext cx="3735309" cy="1189547"/>
      </dsp:txXfrm>
    </dsp:sp>
    <dsp:sp modelId="{E0314C10-BA4D-49F5-A31D-4BC305ED8F69}">
      <dsp:nvSpPr>
        <dsp:cNvPr id="0" name=""/>
        <dsp:cNvSpPr/>
      </dsp:nvSpPr>
      <dsp:spPr>
        <a:xfrm flipV="1">
          <a:off x="0" y="1493098"/>
          <a:ext cx="12220288" cy="62722"/>
        </a:xfrm>
        <a:prstGeom prst="rect">
          <a:avLst/>
        </a:prstGeom>
        <a:solidFill>
          <a:schemeClr val="bg1"/>
        </a:solidFill>
        <a:ln>
          <a:noFill/>
        </a:ln>
        <a:effectLst/>
      </dsp:spPr>
      <dsp:style>
        <a:lnRef idx="0">
          <a:scrgbClr r="0" g="0" b="0"/>
        </a:lnRef>
        <a:fillRef idx="1">
          <a:scrgbClr r="0" g="0" b="0"/>
        </a:fillRef>
        <a:effectRef idx="2">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hList3">
  <dgm:title val=""/>
  <dgm:desc val=""/>
  <dgm:catLst>
    <dgm:cat type="list" pri="19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1" destId="2" srcOrd="0" destOrd="0"/>
        <dgm:cxn modelId="7" srcId="1" destId="3" srcOrd="1" destOrd="0"/>
        <dgm:cxn modelId="8" srcId="1" destId="4" srcOrd="2" destOrd="0"/>
      </dgm:cxnLst>
      <dgm:bg/>
      <dgm:whole/>
    </dgm:dataModel>
  </dgm:sampData>
  <dgm:styleData>
    <dgm:dataModel>
      <dgm:ptLst>
        <dgm:pt modelId="0" type="doc"/>
        <dgm:pt modelId="1"/>
        <dgm:pt modelId="2"/>
        <dgm:pt modelId="3"/>
      </dgm:ptLst>
      <dgm:cxnLst>
        <dgm:cxn modelId="5" srcId="0" destId="1" srcOrd="0" destOrd="0"/>
        <dgm:cxn modelId="6" srcId="1" destId="2" srcOrd="0" destOrd="0"/>
        <dgm:cxn modelId="7" srcId="1" destId="3" srcOrd="1" destOrd="0"/>
      </dgm:cxnLst>
      <dgm:bg/>
      <dgm:whole/>
    </dgm:dataModel>
  </dgm:styleData>
  <dgm:clrData>
    <dgm:dataModel>
      <dgm:ptLst>
        <dgm:pt modelId="0" type="doc"/>
        <dgm:pt modelId="1"/>
        <dgm:pt modelId="2"/>
        <dgm:pt modelId="3"/>
        <dgm:pt modelId="4"/>
        <dgm:pt modelId="5"/>
      </dgm:ptLst>
      <dgm:cxnLst>
        <dgm:cxn modelId="6" srcId="0" destId="1" srcOrd="0" destOrd="0"/>
        <dgm:cxn modelId="7" srcId="1" destId="2" srcOrd="0" destOrd="0"/>
        <dgm:cxn modelId="8" srcId="1" destId="3" srcOrd="1" destOrd="0"/>
        <dgm:cxn modelId="9" srcId="1" destId="4" srcOrd="2" destOrd="0"/>
        <dgm:cxn modelId="10" srcId="1" destId="5" srcOrd="3" destOrd="0"/>
      </dgm:cxnLst>
      <dgm:bg/>
      <dgm:whole/>
    </dgm:dataModel>
  </dgm:clrData>
  <dgm:layoutNode name="composite">
    <dgm:varLst>
      <dgm:chMax val="1"/>
      <dgm:dir/>
      <dgm:resizeHandles val="exact"/>
    </dgm:varLst>
    <dgm:alg type="composite"/>
    <dgm:shape xmlns:r="http://schemas.openxmlformats.org/officeDocument/2006/relationships" r:blip="">
      <dgm:adjLst/>
    </dgm:shape>
    <dgm:presOf/>
    <dgm:constrLst>
      <dgm:constr type="w" for="ch" forName="roof" refType="w"/>
      <dgm:constr type="h" for="ch" forName="roof" refType="h" fact="0.3"/>
      <dgm:constr type="primFontSz" for="ch" forName="roof" val="65"/>
      <dgm:constr type="w" for="ch" forName="pillars" refType="w"/>
      <dgm:constr type="h" for="ch" forName="pillars" refType="h" fact="0.63"/>
      <dgm:constr type="t" for="ch" forName="pillars" refType="h" fact="0.3"/>
      <dgm:constr type="primFontSz" for="des" forName="pillar1" val="65"/>
      <dgm:constr type="primFontSz" for="des" forName="pillarX" refType="primFontSz" refFor="des" refForName="pillar1" op="equ"/>
      <dgm:constr type="w" for="ch" forName="base" refType="w"/>
      <dgm:constr type="h" for="ch" forName="base" refType="h" fact="0.07"/>
      <dgm:constr type="t" for="ch" forName="base" refType="h" fact="0.93"/>
    </dgm:constrLst>
    <dgm:ruleLst/>
    <dgm:forEach name="Name0" axis="ch" ptType="node" cnt="1">
      <dgm:layoutNode name="roof" styleLbl="dkBgShp">
        <dgm:alg type="tx"/>
        <dgm:shape xmlns:r="http://schemas.openxmlformats.org/officeDocument/2006/relationships" type="rect" r:blip="">
          <dgm:adjLst/>
        </dgm:shape>
        <dgm:presOf axis="self"/>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pillars" styleLbl="node1">
        <dgm:choose name="Name1">
          <dgm:if name="Name2" func="var" arg="dir" op="equ" val="norm">
            <dgm:alg type="lin">
              <dgm:param type="linDir" val="fromL"/>
            </dgm:alg>
          </dgm:if>
          <dgm:else name="Name3">
            <dgm:alg type="lin">
              <dgm:param type="linDir" val="fromR"/>
            </dgm:alg>
          </dgm:else>
        </dgm:choose>
        <dgm:shape xmlns:r="http://schemas.openxmlformats.org/officeDocument/2006/relationships" r:blip="">
          <dgm:adjLst/>
        </dgm:shape>
        <dgm:presOf/>
        <dgm:constrLst>
          <dgm:constr type="w" for="ch" forName="pillar1" refType="w"/>
          <dgm:constr type="h" for="ch" forName="pillar1" refType="h"/>
          <dgm:constr type="w" for="ch" forName="pillarX" refType="w"/>
          <dgm:constr type="h" for="ch" forName="pillarX" refType="h"/>
        </dgm:constrLst>
        <dgm:ruleLst/>
        <dgm:layoutNode name="pillar1" styleLbl="node1">
          <dgm:varLst>
            <dgm:bulletEnabled val="1"/>
          </dgm:varLst>
          <dgm:alg type="tx"/>
          <dgm:shape xmlns:r="http://schemas.openxmlformats.org/officeDocument/2006/relationships" type="rect" r:blip="">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forEach name="Name4" axis="ch" ptType="node" st="2">
          <dgm:layoutNode name="pillarX" styleLbl="node1">
            <dgm:varLst>
              <dgm:bulletEnabled val="1"/>
            </dgm:varLst>
            <dgm:alg type="tx"/>
            <dgm:shape xmlns:r="http://schemas.openxmlformats.org/officeDocument/2006/relationships" type="rect" r:blip="">
              <dgm:adjLst/>
            </dgm:shape>
            <dgm:presOf axis="desOr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forEach>
      </dgm:layoutNode>
      <dgm:layoutNode name="base" styleLbl="dkBgShp">
        <dgm:alg type="sp"/>
        <dgm:shape xmlns:r="http://schemas.openxmlformats.org/officeDocument/2006/relationships" type="rect" r:blip="">
          <dgm:adjLst/>
        </dgm:shape>
        <dgm:presOf/>
        <dgm:constrLst/>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7" Type="http://schemas.microsoft.com/office/2007/relationships/hdphoto" Target="../media/hdphoto1.wdp"/><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3.wdp"/><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287</xdr:colOff>
      <xdr:row>4</xdr:row>
      <xdr:rowOff>43438</xdr:rowOff>
    </xdr:from>
    <xdr:to>
      <xdr:col>12</xdr:col>
      <xdr:colOff>76200</xdr:colOff>
      <xdr:row>12</xdr:row>
      <xdr:rowOff>180975</xdr:rowOff>
    </xdr:to>
    <xdr:graphicFrame macro="">
      <xdr:nvGraphicFramePr>
        <xdr:cNvPr id="3" name="2 Diagram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oneCell">
    <xdr:from>
      <xdr:col>10</xdr:col>
      <xdr:colOff>114299</xdr:colOff>
      <xdr:row>0</xdr:row>
      <xdr:rowOff>28574</xdr:rowOff>
    </xdr:from>
    <xdr:to>
      <xdr:col>11</xdr:col>
      <xdr:colOff>581024</xdr:colOff>
      <xdr:row>2</xdr:row>
      <xdr:rowOff>371474</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0" b="99730" l="946" r="100000">
                      <a14:foregroundMark x1="86351" y1="49189" x2="11351" y2="49730"/>
                      <a14:foregroundMark x1="12973" y1="56892" x2="86351" y2="55946"/>
                    </a14:backgroundRemoval>
                  </a14:imgEffect>
                </a14:imgLayer>
              </a14:imgProps>
            </a:ext>
            <a:ext uri="{28A0092B-C50C-407E-A947-70E740481C1C}">
              <a14:useLocalDpi xmlns:a14="http://schemas.microsoft.com/office/drawing/2010/main" val="0"/>
            </a:ext>
          </a:extLst>
        </a:blip>
        <a:stretch>
          <a:fillRect/>
        </a:stretch>
      </xdr:blipFill>
      <xdr:spPr>
        <a:xfrm>
          <a:off x="10839449" y="28574"/>
          <a:ext cx="1228725" cy="1228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2286000</xdr:colOff>
      <xdr:row>19</xdr:row>
      <xdr:rowOff>252413</xdr:rowOff>
    </xdr:from>
    <xdr:to>
      <xdr:col>3</xdr:col>
      <xdr:colOff>3474000</xdr:colOff>
      <xdr:row>21</xdr:row>
      <xdr:rowOff>25013</xdr:rowOff>
    </xdr:to>
    <xdr:sp macro="[0]!Agregar_Fila_1001" textlink="">
      <xdr:nvSpPr>
        <xdr:cNvPr id="4" name="Rectángulo redondeado 3">
          <a:extLst>
            <a:ext uri="{FF2B5EF4-FFF2-40B4-BE49-F238E27FC236}">
              <a16:creationId xmlns:a16="http://schemas.microsoft.com/office/drawing/2014/main" id="{00000000-0008-0000-0400-000004000000}"/>
            </a:ext>
          </a:extLst>
        </xdr:cNvPr>
        <xdr:cNvSpPr/>
      </xdr:nvSpPr>
      <xdr:spPr>
        <a:xfrm>
          <a:off x="7267575" y="59674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editAs="oneCell">
    <xdr:from>
      <xdr:col>8</xdr:col>
      <xdr:colOff>203827</xdr:colOff>
      <xdr:row>0</xdr:row>
      <xdr:rowOff>23813</xdr:rowOff>
    </xdr:from>
    <xdr:to>
      <xdr:col>8</xdr:col>
      <xdr:colOff>1480177</xdr:colOff>
      <xdr:row>3</xdr:row>
      <xdr:rowOff>2382</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0" b="99730" l="946" r="100000">
                      <a14:foregroundMark x1="86351" y1="49189" x2="11351" y2="49730"/>
                      <a14:foregroundMark x1="12973" y1="56892" x2="86351" y2="55946"/>
                    </a14:backgroundRemoval>
                  </a14:imgEffect>
                </a14:imgLayer>
              </a14:imgProps>
            </a:ext>
            <a:ext uri="{28A0092B-C50C-407E-A947-70E740481C1C}">
              <a14:useLocalDpi xmlns:a14="http://schemas.microsoft.com/office/drawing/2010/main" val="0"/>
            </a:ext>
          </a:extLst>
        </a:blip>
        <a:stretch>
          <a:fillRect/>
        </a:stretch>
      </xdr:blipFill>
      <xdr:spPr>
        <a:xfrm>
          <a:off x="14005552" y="23813"/>
          <a:ext cx="1276350" cy="1235869"/>
        </a:xfrm>
        <a:prstGeom prst="rect">
          <a:avLst/>
        </a:prstGeom>
      </xdr:spPr>
    </xdr:pic>
    <xdr:clientData/>
  </xdr:twoCellAnchor>
  <xdr:twoCellAnchor>
    <xdr:from>
      <xdr:col>6</xdr:col>
      <xdr:colOff>1412095</xdr:colOff>
      <xdr:row>15</xdr:row>
      <xdr:rowOff>81863</xdr:rowOff>
    </xdr:from>
    <xdr:to>
      <xdr:col>8</xdr:col>
      <xdr:colOff>733195</xdr:colOff>
      <xdr:row>15</xdr:row>
      <xdr:rowOff>387863</xdr:rowOff>
    </xdr:to>
    <xdr:sp macro="[0]!Mostrar1000Seccion" textlink="">
      <xdr:nvSpPr>
        <xdr:cNvPr id="2" name="Rectángulo redondeado 8">
          <a:extLst>
            <a:ext uri="{FF2B5EF4-FFF2-40B4-BE49-F238E27FC236}">
              <a16:creationId xmlns:a16="http://schemas.microsoft.com/office/drawing/2014/main" id="{27ABAF9C-3665-4703-B9C7-0D844BD7025E}"/>
            </a:ext>
          </a:extLst>
        </xdr:cNvPr>
        <xdr:cNvSpPr/>
      </xdr:nvSpPr>
      <xdr:spPr>
        <a:xfrm>
          <a:off x="13356445" y="4349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15</xdr:row>
      <xdr:rowOff>81863</xdr:rowOff>
    </xdr:from>
    <xdr:to>
      <xdr:col>9</xdr:col>
      <xdr:colOff>512931</xdr:colOff>
      <xdr:row>15</xdr:row>
      <xdr:rowOff>387863</xdr:rowOff>
    </xdr:to>
    <xdr:sp macro="[0]!Ocultar1000Seccion" textlink="">
      <xdr:nvSpPr>
        <xdr:cNvPr id="3" name="Rectángulo redondeado 9">
          <a:extLst>
            <a:ext uri="{FF2B5EF4-FFF2-40B4-BE49-F238E27FC236}">
              <a16:creationId xmlns:a16="http://schemas.microsoft.com/office/drawing/2014/main" id="{EFC8E975-B8A2-43E6-A0BE-5E0F8A83F8AF}"/>
            </a:ext>
          </a:extLst>
        </xdr:cNvPr>
        <xdr:cNvSpPr/>
      </xdr:nvSpPr>
      <xdr:spPr>
        <a:xfrm>
          <a:off x="14764956" y="4349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17</xdr:row>
      <xdr:rowOff>81863</xdr:rowOff>
    </xdr:from>
    <xdr:to>
      <xdr:col>8</xdr:col>
      <xdr:colOff>723670</xdr:colOff>
      <xdr:row>17</xdr:row>
      <xdr:rowOff>387863</xdr:rowOff>
    </xdr:to>
    <xdr:sp macro="[0]!Mostrar1001Seccion" textlink="">
      <xdr:nvSpPr>
        <xdr:cNvPr id="6" name="Rectángulo redondeado 8">
          <a:extLst>
            <a:ext uri="{FF2B5EF4-FFF2-40B4-BE49-F238E27FC236}">
              <a16:creationId xmlns:a16="http://schemas.microsoft.com/office/drawing/2014/main" id="{95828AE5-F04E-4A1D-8E4F-248E9CCD2D9F}"/>
            </a:ext>
          </a:extLst>
        </xdr:cNvPr>
        <xdr:cNvSpPr/>
      </xdr:nvSpPr>
      <xdr:spPr>
        <a:xfrm>
          <a:off x="13346920" y="507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17</xdr:row>
      <xdr:rowOff>81863</xdr:rowOff>
    </xdr:from>
    <xdr:to>
      <xdr:col>9</xdr:col>
      <xdr:colOff>503406</xdr:colOff>
      <xdr:row>17</xdr:row>
      <xdr:rowOff>387863</xdr:rowOff>
    </xdr:to>
    <xdr:sp macro="[0]!Ocultar1001Seccion" textlink="">
      <xdr:nvSpPr>
        <xdr:cNvPr id="7" name="Rectángulo redondeado 9">
          <a:extLst>
            <a:ext uri="{FF2B5EF4-FFF2-40B4-BE49-F238E27FC236}">
              <a16:creationId xmlns:a16="http://schemas.microsoft.com/office/drawing/2014/main" id="{D52AC709-25BB-4E03-A643-E0D977BF453E}"/>
            </a:ext>
          </a:extLst>
        </xdr:cNvPr>
        <xdr:cNvSpPr/>
      </xdr:nvSpPr>
      <xdr:spPr>
        <a:xfrm>
          <a:off x="14755431" y="507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31</xdr:row>
      <xdr:rowOff>81863</xdr:rowOff>
    </xdr:from>
    <xdr:to>
      <xdr:col>8</xdr:col>
      <xdr:colOff>723670</xdr:colOff>
      <xdr:row>31</xdr:row>
      <xdr:rowOff>387863</xdr:rowOff>
    </xdr:to>
    <xdr:sp macro="[0]!Mostrar1002Seccion" textlink="">
      <xdr:nvSpPr>
        <xdr:cNvPr id="8" name="Rectángulo redondeado 8">
          <a:extLst>
            <a:ext uri="{FF2B5EF4-FFF2-40B4-BE49-F238E27FC236}">
              <a16:creationId xmlns:a16="http://schemas.microsoft.com/office/drawing/2014/main" id="{FE252E6D-873C-4E05-AB85-0E9B32C3952F}"/>
            </a:ext>
          </a:extLst>
        </xdr:cNvPr>
        <xdr:cNvSpPr/>
      </xdr:nvSpPr>
      <xdr:spPr>
        <a:xfrm>
          <a:off x="13346920" y="8959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31</xdr:row>
      <xdr:rowOff>81863</xdr:rowOff>
    </xdr:from>
    <xdr:to>
      <xdr:col>9</xdr:col>
      <xdr:colOff>503406</xdr:colOff>
      <xdr:row>31</xdr:row>
      <xdr:rowOff>387863</xdr:rowOff>
    </xdr:to>
    <xdr:sp macro="[0]!Ocultar1002Seccion" textlink="">
      <xdr:nvSpPr>
        <xdr:cNvPr id="9" name="Rectángulo redondeado 9">
          <a:extLst>
            <a:ext uri="{FF2B5EF4-FFF2-40B4-BE49-F238E27FC236}">
              <a16:creationId xmlns:a16="http://schemas.microsoft.com/office/drawing/2014/main" id="{305C9DA0-A401-4A41-BE19-7EEF9B16CBCC}"/>
            </a:ext>
          </a:extLst>
        </xdr:cNvPr>
        <xdr:cNvSpPr/>
      </xdr:nvSpPr>
      <xdr:spPr>
        <a:xfrm>
          <a:off x="14755431" y="8959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33</xdr:row>
      <xdr:rowOff>223838</xdr:rowOff>
    </xdr:from>
    <xdr:to>
      <xdr:col>3</xdr:col>
      <xdr:colOff>3464475</xdr:colOff>
      <xdr:row>34</xdr:row>
      <xdr:rowOff>263138</xdr:rowOff>
    </xdr:to>
    <xdr:sp macro="[0]!Agregar_Fila_1002" textlink="">
      <xdr:nvSpPr>
        <xdr:cNvPr id="10" name="Rectángulo redondeado 3">
          <a:extLst>
            <a:ext uri="{FF2B5EF4-FFF2-40B4-BE49-F238E27FC236}">
              <a16:creationId xmlns:a16="http://schemas.microsoft.com/office/drawing/2014/main" id="{B128875C-9E5E-4BE1-9188-0BA961B305D5}"/>
            </a:ext>
          </a:extLst>
        </xdr:cNvPr>
        <xdr:cNvSpPr/>
      </xdr:nvSpPr>
      <xdr:spPr>
        <a:xfrm>
          <a:off x="7258050" y="97869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45</xdr:row>
      <xdr:rowOff>81863</xdr:rowOff>
    </xdr:from>
    <xdr:to>
      <xdr:col>8</xdr:col>
      <xdr:colOff>723670</xdr:colOff>
      <xdr:row>45</xdr:row>
      <xdr:rowOff>387863</xdr:rowOff>
    </xdr:to>
    <xdr:sp macro="[0]!Mostrar1003Seccion" textlink="">
      <xdr:nvSpPr>
        <xdr:cNvPr id="11" name="Rectángulo redondeado 8">
          <a:extLst>
            <a:ext uri="{FF2B5EF4-FFF2-40B4-BE49-F238E27FC236}">
              <a16:creationId xmlns:a16="http://schemas.microsoft.com/office/drawing/2014/main" id="{24455FD2-11D9-4730-8464-2622F0AE8EE8}"/>
            </a:ext>
          </a:extLst>
        </xdr:cNvPr>
        <xdr:cNvSpPr/>
      </xdr:nvSpPr>
      <xdr:spPr>
        <a:xfrm>
          <a:off x="13346920" y="12540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45</xdr:row>
      <xdr:rowOff>81863</xdr:rowOff>
    </xdr:from>
    <xdr:to>
      <xdr:col>9</xdr:col>
      <xdr:colOff>503406</xdr:colOff>
      <xdr:row>45</xdr:row>
      <xdr:rowOff>387863</xdr:rowOff>
    </xdr:to>
    <xdr:sp macro="[0]!Ocultar1003Seccion" textlink="">
      <xdr:nvSpPr>
        <xdr:cNvPr id="12" name="Rectángulo redondeado 9">
          <a:extLst>
            <a:ext uri="{FF2B5EF4-FFF2-40B4-BE49-F238E27FC236}">
              <a16:creationId xmlns:a16="http://schemas.microsoft.com/office/drawing/2014/main" id="{833E696B-ACA3-4378-804F-45D122197FA0}"/>
            </a:ext>
          </a:extLst>
        </xdr:cNvPr>
        <xdr:cNvSpPr/>
      </xdr:nvSpPr>
      <xdr:spPr>
        <a:xfrm>
          <a:off x="14755431" y="12540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47</xdr:row>
      <xdr:rowOff>233363</xdr:rowOff>
    </xdr:from>
    <xdr:to>
      <xdr:col>3</xdr:col>
      <xdr:colOff>3464475</xdr:colOff>
      <xdr:row>49</xdr:row>
      <xdr:rowOff>5963</xdr:rowOff>
    </xdr:to>
    <xdr:sp macro="[0]!Agregar_Fila_1003" textlink="">
      <xdr:nvSpPr>
        <xdr:cNvPr id="13" name="Rectángulo redondeado 3">
          <a:extLst>
            <a:ext uri="{FF2B5EF4-FFF2-40B4-BE49-F238E27FC236}">
              <a16:creationId xmlns:a16="http://schemas.microsoft.com/office/drawing/2014/main" id="{15CA1526-5721-45A2-B567-D5A8767F9BAD}"/>
            </a:ext>
          </a:extLst>
        </xdr:cNvPr>
        <xdr:cNvSpPr/>
      </xdr:nvSpPr>
      <xdr:spPr>
        <a:xfrm>
          <a:off x="7258050" y="136445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59</xdr:row>
      <xdr:rowOff>81863</xdr:rowOff>
    </xdr:from>
    <xdr:to>
      <xdr:col>8</xdr:col>
      <xdr:colOff>723670</xdr:colOff>
      <xdr:row>59</xdr:row>
      <xdr:rowOff>387863</xdr:rowOff>
    </xdr:to>
    <xdr:sp macro="[0]!Mostrar1004Seccion" textlink="">
      <xdr:nvSpPr>
        <xdr:cNvPr id="14" name="Rectángulo redondeado 8">
          <a:extLst>
            <a:ext uri="{FF2B5EF4-FFF2-40B4-BE49-F238E27FC236}">
              <a16:creationId xmlns:a16="http://schemas.microsoft.com/office/drawing/2014/main" id="{BDDB217E-5FAB-486D-9DF9-20141EC151C1}"/>
            </a:ext>
          </a:extLst>
        </xdr:cNvPr>
        <xdr:cNvSpPr/>
      </xdr:nvSpPr>
      <xdr:spPr>
        <a:xfrm>
          <a:off x="13346920" y="1612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59</xdr:row>
      <xdr:rowOff>81863</xdr:rowOff>
    </xdr:from>
    <xdr:to>
      <xdr:col>9</xdr:col>
      <xdr:colOff>503406</xdr:colOff>
      <xdr:row>59</xdr:row>
      <xdr:rowOff>387863</xdr:rowOff>
    </xdr:to>
    <xdr:sp macro="[0]!Ocultar1004Seccion" textlink="">
      <xdr:nvSpPr>
        <xdr:cNvPr id="15" name="Rectángulo redondeado 9">
          <a:extLst>
            <a:ext uri="{FF2B5EF4-FFF2-40B4-BE49-F238E27FC236}">
              <a16:creationId xmlns:a16="http://schemas.microsoft.com/office/drawing/2014/main" id="{3DEE3667-6D3B-4B3A-99DF-A62E0B632373}"/>
            </a:ext>
          </a:extLst>
        </xdr:cNvPr>
        <xdr:cNvSpPr/>
      </xdr:nvSpPr>
      <xdr:spPr>
        <a:xfrm>
          <a:off x="14755431" y="1612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61</xdr:row>
      <xdr:rowOff>119063</xdr:rowOff>
    </xdr:from>
    <xdr:to>
      <xdr:col>3</xdr:col>
      <xdr:colOff>3464475</xdr:colOff>
      <xdr:row>62</xdr:row>
      <xdr:rowOff>158363</xdr:rowOff>
    </xdr:to>
    <xdr:sp macro="[0]!Agregar_Fila_1004" textlink="">
      <xdr:nvSpPr>
        <xdr:cNvPr id="16" name="Rectángulo redondeado 3">
          <a:extLst>
            <a:ext uri="{FF2B5EF4-FFF2-40B4-BE49-F238E27FC236}">
              <a16:creationId xmlns:a16="http://schemas.microsoft.com/office/drawing/2014/main" id="{48A9EF00-4D84-495A-BBAE-9E2C3261781B}"/>
            </a:ext>
          </a:extLst>
        </xdr:cNvPr>
        <xdr:cNvSpPr/>
      </xdr:nvSpPr>
      <xdr:spPr>
        <a:xfrm>
          <a:off x="2390775" y="11930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72</xdr:row>
      <xdr:rowOff>81863</xdr:rowOff>
    </xdr:from>
    <xdr:to>
      <xdr:col>8</xdr:col>
      <xdr:colOff>723670</xdr:colOff>
      <xdr:row>72</xdr:row>
      <xdr:rowOff>387863</xdr:rowOff>
    </xdr:to>
    <xdr:sp macro="[0]!Mostrar1005Seccion" textlink="">
      <xdr:nvSpPr>
        <xdr:cNvPr id="17" name="Rectángulo redondeado 8">
          <a:extLst>
            <a:ext uri="{FF2B5EF4-FFF2-40B4-BE49-F238E27FC236}">
              <a16:creationId xmlns:a16="http://schemas.microsoft.com/office/drawing/2014/main" id="{AF42B801-F3C5-4837-969C-E716DE03F434}"/>
            </a:ext>
          </a:extLst>
        </xdr:cNvPr>
        <xdr:cNvSpPr/>
      </xdr:nvSpPr>
      <xdr:spPr>
        <a:xfrm>
          <a:off x="13346920" y="19703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72</xdr:row>
      <xdr:rowOff>81863</xdr:rowOff>
    </xdr:from>
    <xdr:to>
      <xdr:col>9</xdr:col>
      <xdr:colOff>503406</xdr:colOff>
      <xdr:row>72</xdr:row>
      <xdr:rowOff>387863</xdr:rowOff>
    </xdr:to>
    <xdr:sp macro="[0]!Ocultar1005Seccion" textlink="">
      <xdr:nvSpPr>
        <xdr:cNvPr id="18" name="Rectángulo redondeado 9">
          <a:extLst>
            <a:ext uri="{FF2B5EF4-FFF2-40B4-BE49-F238E27FC236}">
              <a16:creationId xmlns:a16="http://schemas.microsoft.com/office/drawing/2014/main" id="{BE66F362-2C0F-4CFB-8B05-07E10738DB28}"/>
            </a:ext>
          </a:extLst>
        </xdr:cNvPr>
        <xdr:cNvSpPr/>
      </xdr:nvSpPr>
      <xdr:spPr>
        <a:xfrm>
          <a:off x="14755431" y="19703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74</xdr:row>
      <xdr:rowOff>119063</xdr:rowOff>
    </xdr:from>
    <xdr:to>
      <xdr:col>3</xdr:col>
      <xdr:colOff>3464475</xdr:colOff>
      <xdr:row>75</xdr:row>
      <xdr:rowOff>158363</xdr:rowOff>
    </xdr:to>
    <xdr:sp macro="[0]!Agregar_Fila_1005" textlink="">
      <xdr:nvSpPr>
        <xdr:cNvPr id="19" name="Rectángulo redondeado 3">
          <a:extLst>
            <a:ext uri="{FF2B5EF4-FFF2-40B4-BE49-F238E27FC236}">
              <a16:creationId xmlns:a16="http://schemas.microsoft.com/office/drawing/2014/main" id="{8805D218-E222-4B73-AA33-77DEE3C71E0C}"/>
            </a:ext>
          </a:extLst>
        </xdr:cNvPr>
        <xdr:cNvSpPr/>
      </xdr:nvSpPr>
      <xdr:spPr>
        <a:xfrm>
          <a:off x="2390775" y="14978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85</xdr:row>
      <xdr:rowOff>81863</xdr:rowOff>
    </xdr:from>
    <xdr:to>
      <xdr:col>8</xdr:col>
      <xdr:colOff>723670</xdr:colOff>
      <xdr:row>85</xdr:row>
      <xdr:rowOff>387863</xdr:rowOff>
    </xdr:to>
    <xdr:sp macro="[0]!Mostrar1006Seccion" textlink="">
      <xdr:nvSpPr>
        <xdr:cNvPr id="20" name="Rectángulo redondeado 8">
          <a:extLst>
            <a:ext uri="{FF2B5EF4-FFF2-40B4-BE49-F238E27FC236}">
              <a16:creationId xmlns:a16="http://schemas.microsoft.com/office/drawing/2014/main" id="{69FC5045-CF2B-4C29-872D-E840F42C90D6}"/>
            </a:ext>
          </a:extLst>
        </xdr:cNvPr>
        <xdr:cNvSpPr/>
      </xdr:nvSpPr>
      <xdr:spPr>
        <a:xfrm>
          <a:off x="13346920" y="23284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85</xdr:row>
      <xdr:rowOff>81863</xdr:rowOff>
    </xdr:from>
    <xdr:to>
      <xdr:col>9</xdr:col>
      <xdr:colOff>503406</xdr:colOff>
      <xdr:row>85</xdr:row>
      <xdr:rowOff>387863</xdr:rowOff>
    </xdr:to>
    <xdr:sp macro="[0]!Ocultar1006Seccion" textlink="">
      <xdr:nvSpPr>
        <xdr:cNvPr id="21" name="Rectángulo redondeado 9">
          <a:extLst>
            <a:ext uri="{FF2B5EF4-FFF2-40B4-BE49-F238E27FC236}">
              <a16:creationId xmlns:a16="http://schemas.microsoft.com/office/drawing/2014/main" id="{CD278E6E-094D-4ACE-B925-FD9506A4092D}"/>
            </a:ext>
          </a:extLst>
        </xdr:cNvPr>
        <xdr:cNvSpPr/>
      </xdr:nvSpPr>
      <xdr:spPr>
        <a:xfrm>
          <a:off x="14755431" y="23284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87</xdr:row>
      <xdr:rowOff>119063</xdr:rowOff>
    </xdr:from>
    <xdr:to>
      <xdr:col>3</xdr:col>
      <xdr:colOff>3464475</xdr:colOff>
      <xdr:row>88</xdr:row>
      <xdr:rowOff>158363</xdr:rowOff>
    </xdr:to>
    <xdr:sp macro="[0]!Agregar_Fila_1006" textlink="">
      <xdr:nvSpPr>
        <xdr:cNvPr id="22" name="Rectángulo redondeado 3">
          <a:extLst>
            <a:ext uri="{FF2B5EF4-FFF2-40B4-BE49-F238E27FC236}">
              <a16:creationId xmlns:a16="http://schemas.microsoft.com/office/drawing/2014/main" id="{4E34D547-52F2-4768-9E21-529FD084016F}"/>
            </a:ext>
          </a:extLst>
        </xdr:cNvPr>
        <xdr:cNvSpPr/>
      </xdr:nvSpPr>
      <xdr:spPr>
        <a:xfrm>
          <a:off x="2390775" y="18026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98</xdr:row>
      <xdr:rowOff>81863</xdr:rowOff>
    </xdr:from>
    <xdr:to>
      <xdr:col>8</xdr:col>
      <xdr:colOff>723670</xdr:colOff>
      <xdr:row>98</xdr:row>
      <xdr:rowOff>387863</xdr:rowOff>
    </xdr:to>
    <xdr:sp macro="[0]!Mostrar1007Seccion" textlink="">
      <xdr:nvSpPr>
        <xdr:cNvPr id="23" name="Rectángulo redondeado 8">
          <a:extLst>
            <a:ext uri="{FF2B5EF4-FFF2-40B4-BE49-F238E27FC236}">
              <a16:creationId xmlns:a16="http://schemas.microsoft.com/office/drawing/2014/main" id="{DF7F36F8-E0CC-493C-9CDA-8C30B54E7415}"/>
            </a:ext>
          </a:extLst>
        </xdr:cNvPr>
        <xdr:cNvSpPr/>
      </xdr:nvSpPr>
      <xdr:spPr>
        <a:xfrm>
          <a:off x="13346920" y="26866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98</xdr:row>
      <xdr:rowOff>81863</xdr:rowOff>
    </xdr:from>
    <xdr:to>
      <xdr:col>9</xdr:col>
      <xdr:colOff>503406</xdr:colOff>
      <xdr:row>98</xdr:row>
      <xdr:rowOff>387863</xdr:rowOff>
    </xdr:to>
    <xdr:sp macro="[0]!Ocultar1007Seccion" textlink="">
      <xdr:nvSpPr>
        <xdr:cNvPr id="24" name="Rectángulo redondeado 9">
          <a:extLst>
            <a:ext uri="{FF2B5EF4-FFF2-40B4-BE49-F238E27FC236}">
              <a16:creationId xmlns:a16="http://schemas.microsoft.com/office/drawing/2014/main" id="{A13468D8-5269-4783-86CA-28F5CC8F3925}"/>
            </a:ext>
          </a:extLst>
        </xdr:cNvPr>
        <xdr:cNvSpPr/>
      </xdr:nvSpPr>
      <xdr:spPr>
        <a:xfrm>
          <a:off x="14755431" y="26866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100</xdr:row>
      <xdr:rowOff>119063</xdr:rowOff>
    </xdr:from>
    <xdr:to>
      <xdr:col>3</xdr:col>
      <xdr:colOff>3464475</xdr:colOff>
      <xdr:row>101</xdr:row>
      <xdr:rowOff>158363</xdr:rowOff>
    </xdr:to>
    <xdr:sp macro="[0]!Agregar_Fila_1007" textlink="">
      <xdr:nvSpPr>
        <xdr:cNvPr id="25" name="Rectángulo redondeado 3">
          <a:extLst>
            <a:ext uri="{FF2B5EF4-FFF2-40B4-BE49-F238E27FC236}">
              <a16:creationId xmlns:a16="http://schemas.microsoft.com/office/drawing/2014/main" id="{0B109E44-1CA0-43D6-9FB2-9CDE44B411FD}"/>
            </a:ext>
          </a:extLst>
        </xdr:cNvPr>
        <xdr:cNvSpPr/>
      </xdr:nvSpPr>
      <xdr:spPr>
        <a:xfrm>
          <a:off x="2390775" y="21074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111</xdr:row>
      <xdr:rowOff>81863</xdr:rowOff>
    </xdr:from>
    <xdr:to>
      <xdr:col>8</xdr:col>
      <xdr:colOff>723670</xdr:colOff>
      <xdr:row>111</xdr:row>
      <xdr:rowOff>387863</xdr:rowOff>
    </xdr:to>
    <xdr:sp macro="[0]!Mostrar1008Seccion" textlink="">
      <xdr:nvSpPr>
        <xdr:cNvPr id="26" name="Rectángulo redondeado 8">
          <a:extLst>
            <a:ext uri="{FF2B5EF4-FFF2-40B4-BE49-F238E27FC236}">
              <a16:creationId xmlns:a16="http://schemas.microsoft.com/office/drawing/2014/main" id="{01A4B2B9-58F8-4C48-8DD1-2BD24F1A3544}"/>
            </a:ext>
          </a:extLst>
        </xdr:cNvPr>
        <xdr:cNvSpPr/>
      </xdr:nvSpPr>
      <xdr:spPr>
        <a:xfrm>
          <a:off x="13346920" y="30447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111</xdr:row>
      <xdr:rowOff>81863</xdr:rowOff>
    </xdr:from>
    <xdr:to>
      <xdr:col>9</xdr:col>
      <xdr:colOff>503406</xdr:colOff>
      <xdr:row>111</xdr:row>
      <xdr:rowOff>387863</xdr:rowOff>
    </xdr:to>
    <xdr:sp macro="[0]!Ocultar1008Seccion" textlink="">
      <xdr:nvSpPr>
        <xdr:cNvPr id="27" name="Rectángulo redondeado 9">
          <a:extLst>
            <a:ext uri="{FF2B5EF4-FFF2-40B4-BE49-F238E27FC236}">
              <a16:creationId xmlns:a16="http://schemas.microsoft.com/office/drawing/2014/main" id="{93BB405B-E32C-4854-9865-EE0967459935}"/>
            </a:ext>
          </a:extLst>
        </xdr:cNvPr>
        <xdr:cNvSpPr/>
      </xdr:nvSpPr>
      <xdr:spPr>
        <a:xfrm>
          <a:off x="14755431" y="30447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113</xdr:row>
      <xdr:rowOff>242888</xdr:rowOff>
    </xdr:from>
    <xdr:to>
      <xdr:col>3</xdr:col>
      <xdr:colOff>3464475</xdr:colOff>
      <xdr:row>115</xdr:row>
      <xdr:rowOff>15488</xdr:rowOff>
    </xdr:to>
    <xdr:sp macro="[0]!Agregar_Fila_1008" textlink="">
      <xdr:nvSpPr>
        <xdr:cNvPr id="28" name="Rectángulo redondeado 3">
          <a:extLst>
            <a:ext uri="{FF2B5EF4-FFF2-40B4-BE49-F238E27FC236}">
              <a16:creationId xmlns:a16="http://schemas.microsoft.com/office/drawing/2014/main" id="{FD505321-439D-406E-92CD-0A5841FE8A27}"/>
            </a:ext>
          </a:extLst>
        </xdr:cNvPr>
        <xdr:cNvSpPr/>
      </xdr:nvSpPr>
      <xdr:spPr>
        <a:xfrm>
          <a:off x="7258050" y="318277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125</xdr:row>
      <xdr:rowOff>81863</xdr:rowOff>
    </xdr:from>
    <xdr:to>
      <xdr:col>8</xdr:col>
      <xdr:colOff>723670</xdr:colOff>
      <xdr:row>125</xdr:row>
      <xdr:rowOff>387863</xdr:rowOff>
    </xdr:to>
    <xdr:sp macro="[0]!Mostrar1009Seccion" textlink="">
      <xdr:nvSpPr>
        <xdr:cNvPr id="29" name="Rectángulo redondeado 8">
          <a:extLst>
            <a:ext uri="{FF2B5EF4-FFF2-40B4-BE49-F238E27FC236}">
              <a16:creationId xmlns:a16="http://schemas.microsoft.com/office/drawing/2014/main" id="{E1370066-9C1A-44AE-8E34-B49172433F06}"/>
            </a:ext>
          </a:extLst>
        </xdr:cNvPr>
        <xdr:cNvSpPr/>
      </xdr:nvSpPr>
      <xdr:spPr>
        <a:xfrm>
          <a:off x="13346920" y="34028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125</xdr:row>
      <xdr:rowOff>81863</xdr:rowOff>
    </xdr:from>
    <xdr:to>
      <xdr:col>9</xdr:col>
      <xdr:colOff>503406</xdr:colOff>
      <xdr:row>125</xdr:row>
      <xdr:rowOff>387863</xdr:rowOff>
    </xdr:to>
    <xdr:sp macro="[0]!Ocultar1009Seccion" textlink="">
      <xdr:nvSpPr>
        <xdr:cNvPr id="30" name="Rectángulo redondeado 9">
          <a:extLst>
            <a:ext uri="{FF2B5EF4-FFF2-40B4-BE49-F238E27FC236}">
              <a16:creationId xmlns:a16="http://schemas.microsoft.com/office/drawing/2014/main" id="{D3FFBC98-897C-4315-9EB0-B085C7F43139}"/>
            </a:ext>
          </a:extLst>
        </xdr:cNvPr>
        <xdr:cNvSpPr/>
      </xdr:nvSpPr>
      <xdr:spPr>
        <a:xfrm>
          <a:off x="14755431" y="34028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127</xdr:row>
      <xdr:rowOff>119063</xdr:rowOff>
    </xdr:from>
    <xdr:to>
      <xdr:col>3</xdr:col>
      <xdr:colOff>3464475</xdr:colOff>
      <xdr:row>128</xdr:row>
      <xdr:rowOff>158363</xdr:rowOff>
    </xdr:to>
    <xdr:sp macro="[0]!Agregar_Fila_1009" textlink="">
      <xdr:nvSpPr>
        <xdr:cNvPr id="31" name="Rectángulo redondeado 3">
          <a:extLst>
            <a:ext uri="{FF2B5EF4-FFF2-40B4-BE49-F238E27FC236}">
              <a16:creationId xmlns:a16="http://schemas.microsoft.com/office/drawing/2014/main" id="{8CC7BB97-5BDE-4EAE-93EB-74D4032A0662}"/>
            </a:ext>
          </a:extLst>
        </xdr:cNvPr>
        <xdr:cNvSpPr/>
      </xdr:nvSpPr>
      <xdr:spPr>
        <a:xfrm>
          <a:off x="2390775" y="27170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138</xdr:row>
      <xdr:rowOff>81863</xdr:rowOff>
    </xdr:from>
    <xdr:to>
      <xdr:col>8</xdr:col>
      <xdr:colOff>723670</xdr:colOff>
      <xdr:row>138</xdr:row>
      <xdr:rowOff>387863</xdr:rowOff>
    </xdr:to>
    <xdr:sp macro="[0]!Mostrar1010Seccion" textlink="">
      <xdr:nvSpPr>
        <xdr:cNvPr id="32" name="Rectángulo redondeado 8">
          <a:extLst>
            <a:ext uri="{FF2B5EF4-FFF2-40B4-BE49-F238E27FC236}">
              <a16:creationId xmlns:a16="http://schemas.microsoft.com/office/drawing/2014/main" id="{B4EE4C7A-FF71-4AC0-AE35-CF4073FF6F0F}"/>
            </a:ext>
          </a:extLst>
        </xdr:cNvPr>
        <xdr:cNvSpPr/>
      </xdr:nvSpPr>
      <xdr:spPr>
        <a:xfrm>
          <a:off x="13346920" y="3761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138</xdr:row>
      <xdr:rowOff>81863</xdr:rowOff>
    </xdr:from>
    <xdr:to>
      <xdr:col>9</xdr:col>
      <xdr:colOff>503406</xdr:colOff>
      <xdr:row>138</xdr:row>
      <xdr:rowOff>387863</xdr:rowOff>
    </xdr:to>
    <xdr:sp macro="[0]!Ocultar1010Seccion" textlink="">
      <xdr:nvSpPr>
        <xdr:cNvPr id="33" name="Rectángulo redondeado 9">
          <a:extLst>
            <a:ext uri="{FF2B5EF4-FFF2-40B4-BE49-F238E27FC236}">
              <a16:creationId xmlns:a16="http://schemas.microsoft.com/office/drawing/2014/main" id="{D86FD2FE-9CA4-4C7B-A20D-E8C157B6DB17}"/>
            </a:ext>
          </a:extLst>
        </xdr:cNvPr>
        <xdr:cNvSpPr/>
      </xdr:nvSpPr>
      <xdr:spPr>
        <a:xfrm>
          <a:off x="14755431" y="3761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140</xdr:row>
      <xdr:rowOff>119063</xdr:rowOff>
    </xdr:from>
    <xdr:to>
      <xdr:col>3</xdr:col>
      <xdr:colOff>3464475</xdr:colOff>
      <xdr:row>141</xdr:row>
      <xdr:rowOff>158363</xdr:rowOff>
    </xdr:to>
    <xdr:sp macro="[0]!Agregar_Fila_1010" textlink="">
      <xdr:nvSpPr>
        <xdr:cNvPr id="34" name="Rectángulo redondeado 3">
          <a:extLst>
            <a:ext uri="{FF2B5EF4-FFF2-40B4-BE49-F238E27FC236}">
              <a16:creationId xmlns:a16="http://schemas.microsoft.com/office/drawing/2014/main" id="{541F7F34-6705-465C-BB58-0282DD25C3B9}"/>
            </a:ext>
          </a:extLst>
        </xdr:cNvPr>
        <xdr:cNvSpPr/>
      </xdr:nvSpPr>
      <xdr:spPr>
        <a:xfrm>
          <a:off x="2390775" y="30218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152</xdr:row>
      <xdr:rowOff>81863</xdr:rowOff>
    </xdr:from>
    <xdr:to>
      <xdr:col>8</xdr:col>
      <xdr:colOff>723670</xdr:colOff>
      <xdr:row>152</xdr:row>
      <xdr:rowOff>387863</xdr:rowOff>
    </xdr:to>
    <xdr:sp macro="[0]!Mostrar1011Seccion" textlink="">
      <xdr:nvSpPr>
        <xdr:cNvPr id="35" name="Rectángulo redondeado 8">
          <a:extLst>
            <a:ext uri="{FF2B5EF4-FFF2-40B4-BE49-F238E27FC236}">
              <a16:creationId xmlns:a16="http://schemas.microsoft.com/office/drawing/2014/main" id="{EA2E28CA-0BE3-451D-8CD1-8F8C59859185}"/>
            </a:ext>
          </a:extLst>
        </xdr:cNvPr>
        <xdr:cNvSpPr/>
      </xdr:nvSpPr>
      <xdr:spPr>
        <a:xfrm>
          <a:off x="13346920" y="41191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152</xdr:row>
      <xdr:rowOff>81863</xdr:rowOff>
    </xdr:from>
    <xdr:to>
      <xdr:col>9</xdr:col>
      <xdr:colOff>503406</xdr:colOff>
      <xdr:row>152</xdr:row>
      <xdr:rowOff>387863</xdr:rowOff>
    </xdr:to>
    <xdr:sp macro="[0]!Ocultar1011Seccion" textlink="">
      <xdr:nvSpPr>
        <xdr:cNvPr id="36" name="Rectángulo redondeado 9">
          <a:extLst>
            <a:ext uri="{FF2B5EF4-FFF2-40B4-BE49-F238E27FC236}">
              <a16:creationId xmlns:a16="http://schemas.microsoft.com/office/drawing/2014/main" id="{48F1537C-69EE-4B5F-8658-9084468C4F58}"/>
            </a:ext>
          </a:extLst>
        </xdr:cNvPr>
        <xdr:cNvSpPr/>
      </xdr:nvSpPr>
      <xdr:spPr>
        <a:xfrm>
          <a:off x="14755431" y="41191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154</xdr:row>
      <xdr:rowOff>223838</xdr:rowOff>
    </xdr:from>
    <xdr:to>
      <xdr:col>3</xdr:col>
      <xdr:colOff>3464475</xdr:colOff>
      <xdr:row>155</xdr:row>
      <xdr:rowOff>263138</xdr:rowOff>
    </xdr:to>
    <xdr:sp macro="[0]!Agregar_Fila_1011" textlink="">
      <xdr:nvSpPr>
        <xdr:cNvPr id="37" name="Rectángulo redondeado 3">
          <a:extLst>
            <a:ext uri="{FF2B5EF4-FFF2-40B4-BE49-F238E27FC236}">
              <a16:creationId xmlns:a16="http://schemas.microsoft.com/office/drawing/2014/main" id="{AED19D0B-04C8-4F02-A4FA-877EE3750703}"/>
            </a:ext>
          </a:extLst>
        </xdr:cNvPr>
        <xdr:cNvSpPr/>
      </xdr:nvSpPr>
      <xdr:spPr>
        <a:xfrm>
          <a:off x="7258050" y="430863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166</xdr:row>
      <xdr:rowOff>81863</xdr:rowOff>
    </xdr:from>
    <xdr:to>
      <xdr:col>8</xdr:col>
      <xdr:colOff>723670</xdr:colOff>
      <xdr:row>166</xdr:row>
      <xdr:rowOff>387863</xdr:rowOff>
    </xdr:to>
    <xdr:sp macro="[0]!Mostrar1012Seccion" textlink="">
      <xdr:nvSpPr>
        <xdr:cNvPr id="38" name="Rectángulo redondeado 8">
          <a:extLst>
            <a:ext uri="{FF2B5EF4-FFF2-40B4-BE49-F238E27FC236}">
              <a16:creationId xmlns:a16="http://schemas.microsoft.com/office/drawing/2014/main" id="{95A2BC4E-C683-4D0F-8BAB-443EF625BDA5}"/>
            </a:ext>
          </a:extLst>
        </xdr:cNvPr>
        <xdr:cNvSpPr/>
      </xdr:nvSpPr>
      <xdr:spPr>
        <a:xfrm>
          <a:off x="13346920" y="44773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166</xdr:row>
      <xdr:rowOff>81863</xdr:rowOff>
    </xdr:from>
    <xdr:to>
      <xdr:col>9</xdr:col>
      <xdr:colOff>503406</xdr:colOff>
      <xdr:row>166</xdr:row>
      <xdr:rowOff>387863</xdr:rowOff>
    </xdr:to>
    <xdr:sp macro="[0]!Ocultar1012Seccion" textlink="">
      <xdr:nvSpPr>
        <xdr:cNvPr id="39" name="Rectángulo redondeado 9">
          <a:extLst>
            <a:ext uri="{FF2B5EF4-FFF2-40B4-BE49-F238E27FC236}">
              <a16:creationId xmlns:a16="http://schemas.microsoft.com/office/drawing/2014/main" id="{85668C30-23EC-4F7C-9C61-CF73B70859DD}"/>
            </a:ext>
          </a:extLst>
        </xdr:cNvPr>
        <xdr:cNvSpPr/>
      </xdr:nvSpPr>
      <xdr:spPr>
        <a:xfrm>
          <a:off x="14755431" y="44773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168</xdr:row>
      <xdr:rowOff>223838</xdr:rowOff>
    </xdr:from>
    <xdr:to>
      <xdr:col>3</xdr:col>
      <xdr:colOff>3464475</xdr:colOff>
      <xdr:row>169</xdr:row>
      <xdr:rowOff>263138</xdr:rowOff>
    </xdr:to>
    <xdr:sp macro="[0]!Agregar_Fila_1012" textlink="">
      <xdr:nvSpPr>
        <xdr:cNvPr id="40" name="Rectángulo redondeado 3">
          <a:extLst>
            <a:ext uri="{FF2B5EF4-FFF2-40B4-BE49-F238E27FC236}">
              <a16:creationId xmlns:a16="http://schemas.microsoft.com/office/drawing/2014/main" id="{1DA3F7A8-F30A-4997-AF79-C837AB8F8678}"/>
            </a:ext>
          </a:extLst>
        </xdr:cNvPr>
        <xdr:cNvSpPr/>
      </xdr:nvSpPr>
      <xdr:spPr>
        <a:xfrm>
          <a:off x="7258050" y="469344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180</xdr:row>
      <xdr:rowOff>81863</xdr:rowOff>
    </xdr:from>
    <xdr:to>
      <xdr:col>8</xdr:col>
      <xdr:colOff>723670</xdr:colOff>
      <xdr:row>180</xdr:row>
      <xdr:rowOff>387863</xdr:rowOff>
    </xdr:to>
    <xdr:sp macro="[0]!Mostrar1013Seccion" textlink="">
      <xdr:nvSpPr>
        <xdr:cNvPr id="41" name="Rectángulo redondeado 8">
          <a:extLst>
            <a:ext uri="{FF2B5EF4-FFF2-40B4-BE49-F238E27FC236}">
              <a16:creationId xmlns:a16="http://schemas.microsoft.com/office/drawing/2014/main" id="{1D0DAB04-2AFD-4035-9522-DE025EC96439}"/>
            </a:ext>
          </a:extLst>
        </xdr:cNvPr>
        <xdr:cNvSpPr/>
      </xdr:nvSpPr>
      <xdr:spPr>
        <a:xfrm>
          <a:off x="13346920" y="4835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180</xdr:row>
      <xdr:rowOff>81863</xdr:rowOff>
    </xdr:from>
    <xdr:to>
      <xdr:col>9</xdr:col>
      <xdr:colOff>503406</xdr:colOff>
      <xdr:row>180</xdr:row>
      <xdr:rowOff>387863</xdr:rowOff>
    </xdr:to>
    <xdr:sp macro="[0]!Ocultar1013Seccion" textlink="">
      <xdr:nvSpPr>
        <xdr:cNvPr id="42" name="Rectángulo redondeado 9">
          <a:extLst>
            <a:ext uri="{FF2B5EF4-FFF2-40B4-BE49-F238E27FC236}">
              <a16:creationId xmlns:a16="http://schemas.microsoft.com/office/drawing/2014/main" id="{EADC1411-2A1F-4FAE-95D1-BCFE24993F11}"/>
            </a:ext>
          </a:extLst>
        </xdr:cNvPr>
        <xdr:cNvSpPr/>
      </xdr:nvSpPr>
      <xdr:spPr>
        <a:xfrm>
          <a:off x="14755431" y="4835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182</xdr:row>
      <xdr:rowOff>119063</xdr:rowOff>
    </xdr:from>
    <xdr:to>
      <xdr:col>3</xdr:col>
      <xdr:colOff>3464475</xdr:colOff>
      <xdr:row>183</xdr:row>
      <xdr:rowOff>158363</xdr:rowOff>
    </xdr:to>
    <xdr:sp macro="[0]!Agregar_Fila_1013" textlink="">
      <xdr:nvSpPr>
        <xdr:cNvPr id="43" name="Rectángulo redondeado 3">
          <a:extLst>
            <a:ext uri="{FF2B5EF4-FFF2-40B4-BE49-F238E27FC236}">
              <a16:creationId xmlns:a16="http://schemas.microsoft.com/office/drawing/2014/main" id="{DEB26C0B-3ABD-4C0C-B569-75D63A33761A}"/>
            </a:ext>
          </a:extLst>
        </xdr:cNvPr>
        <xdr:cNvSpPr/>
      </xdr:nvSpPr>
      <xdr:spPr>
        <a:xfrm>
          <a:off x="2390775" y="39362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193</xdr:row>
      <xdr:rowOff>81863</xdr:rowOff>
    </xdr:from>
    <xdr:to>
      <xdr:col>8</xdr:col>
      <xdr:colOff>723670</xdr:colOff>
      <xdr:row>193</xdr:row>
      <xdr:rowOff>387863</xdr:rowOff>
    </xdr:to>
    <xdr:sp macro="[0]!Mostrar1014Seccion" textlink="">
      <xdr:nvSpPr>
        <xdr:cNvPr id="44" name="Rectángulo redondeado 8">
          <a:extLst>
            <a:ext uri="{FF2B5EF4-FFF2-40B4-BE49-F238E27FC236}">
              <a16:creationId xmlns:a16="http://schemas.microsoft.com/office/drawing/2014/main" id="{4E9CFCBC-691B-4225-8B14-A6308B73B41A}"/>
            </a:ext>
          </a:extLst>
        </xdr:cNvPr>
        <xdr:cNvSpPr/>
      </xdr:nvSpPr>
      <xdr:spPr>
        <a:xfrm>
          <a:off x="13346920" y="51935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193</xdr:row>
      <xdr:rowOff>81863</xdr:rowOff>
    </xdr:from>
    <xdr:to>
      <xdr:col>9</xdr:col>
      <xdr:colOff>503406</xdr:colOff>
      <xdr:row>193</xdr:row>
      <xdr:rowOff>387863</xdr:rowOff>
    </xdr:to>
    <xdr:sp macro="[0]!Ocultar1014Seccion" textlink="">
      <xdr:nvSpPr>
        <xdr:cNvPr id="45" name="Rectángulo redondeado 9">
          <a:extLst>
            <a:ext uri="{FF2B5EF4-FFF2-40B4-BE49-F238E27FC236}">
              <a16:creationId xmlns:a16="http://schemas.microsoft.com/office/drawing/2014/main" id="{C85AE3C5-DE49-41AC-BCDB-2FF81ECF0F16}"/>
            </a:ext>
          </a:extLst>
        </xdr:cNvPr>
        <xdr:cNvSpPr/>
      </xdr:nvSpPr>
      <xdr:spPr>
        <a:xfrm>
          <a:off x="14755431" y="51935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195</xdr:row>
      <xdr:rowOff>119063</xdr:rowOff>
    </xdr:from>
    <xdr:to>
      <xdr:col>3</xdr:col>
      <xdr:colOff>3464475</xdr:colOff>
      <xdr:row>196</xdr:row>
      <xdr:rowOff>158363</xdr:rowOff>
    </xdr:to>
    <xdr:sp macro="[0]!Agregar_Fila_1014" textlink="">
      <xdr:nvSpPr>
        <xdr:cNvPr id="46" name="Rectángulo redondeado 3">
          <a:extLst>
            <a:ext uri="{FF2B5EF4-FFF2-40B4-BE49-F238E27FC236}">
              <a16:creationId xmlns:a16="http://schemas.microsoft.com/office/drawing/2014/main" id="{3ED30B7D-1505-4307-B51E-6B293EE233F2}"/>
            </a:ext>
          </a:extLst>
        </xdr:cNvPr>
        <xdr:cNvSpPr/>
      </xdr:nvSpPr>
      <xdr:spPr>
        <a:xfrm>
          <a:off x="2390775" y="424100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206</xdr:row>
      <xdr:rowOff>81863</xdr:rowOff>
    </xdr:from>
    <xdr:to>
      <xdr:col>8</xdr:col>
      <xdr:colOff>723670</xdr:colOff>
      <xdr:row>206</xdr:row>
      <xdr:rowOff>387863</xdr:rowOff>
    </xdr:to>
    <xdr:sp macro="[0]!Mostrar1015Seccion" textlink="">
      <xdr:nvSpPr>
        <xdr:cNvPr id="47" name="Rectángulo redondeado 8">
          <a:extLst>
            <a:ext uri="{FF2B5EF4-FFF2-40B4-BE49-F238E27FC236}">
              <a16:creationId xmlns:a16="http://schemas.microsoft.com/office/drawing/2014/main" id="{242FE5CA-473B-473E-B1AF-019A33B1B5A8}"/>
            </a:ext>
          </a:extLst>
        </xdr:cNvPr>
        <xdr:cNvSpPr/>
      </xdr:nvSpPr>
      <xdr:spPr>
        <a:xfrm>
          <a:off x="13346920" y="55517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206</xdr:row>
      <xdr:rowOff>81863</xdr:rowOff>
    </xdr:from>
    <xdr:to>
      <xdr:col>9</xdr:col>
      <xdr:colOff>503406</xdr:colOff>
      <xdr:row>206</xdr:row>
      <xdr:rowOff>387863</xdr:rowOff>
    </xdr:to>
    <xdr:sp macro="[0]!Ocultar1015Seccion" textlink="">
      <xdr:nvSpPr>
        <xdr:cNvPr id="48" name="Rectángulo redondeado 9">
          <a:extLst>
            <a:ext uri="{FF2B5EF4-FFF2-40B4-BE49-F238E27FC236}">
              <a16:creationId xmlns:a16="http://schemas.microsoft.com/office/drawing/2014/main" id="{36967D2F-8A18-47F1-8F2A-069EAC232C61}"/>
            </a:ext>
          </a:extLst>
        </xdr:cNvPr>
        <xdr:cNvSpPr/>
      </xdr:nvSpPr>
      <xdr:spPr>
        <a:xfrm>
          <a:off x="14755431" y="55517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208</xdr:row>
      <xdr:rowOff>233363</xdr:rowOff>
    </xdr:from>
    <xdr:to>
      <xdr:col>3</xdr:col>
      <xdr:colOff>3464475</xdr:colOff>
      <xdr:row>210</xdr:row>
      <xdr:rowOff>5963</xdr:rowOff>
    </xdr:to>
    <xdr:sp macro="[0]!Agregar_Fila_1015" textlink="">
      <xdr:nvSpPr>
        <xdr:cNvPr id="49" name="Rectángulo redondeado 3">
          <a:extLst>
            <a:ext uri="{FF2B5EF4-FFF2-40B4-BE49-F238E27FC236}">
              <a16:creationId xmlns:a16="http://schemas.microsoft.com/office/drawing/2014/main" id="{629FDD63-9682-4C8C-B4EC-3EDB4171E7A9}"/>
            </a:ext>
          </a:extLst>
        </xdr:cNvPr>
        <xdr:cNvSpPr/>
      </xdr:nvSpPr>
      <xdr:spPr>
        <a:xfrm>
          <a:off x="7258050" y="57954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220</xdr:row>
      <xdr:rowOff>81863</xdr:rowOff>
    </xdr:from>
    <xdr:to>
      <xdr:col>8</xdr:col>
      <xdr:colOff>723670</xdr:colOff>
      <xdr:row>220</xdr:row>
      <xdr:rowOff>387863</xdr:rowOff>
    </xdr:to>
    <xdr:sp macro="[0]!Mostrar2000Seccion" textlink="">
      <xdr:nvSpPr>
        <xdr:cNvPr id="52" name="Rectángulo redondeado 8">
          <a:extLst>
            <a:ext uri="{FF2B5EF4-FFF2-40B4-BE49-F238E27FC236}">
              <a16:creationId xmlns:a16="http://schemas.microsoft.com/office/drawing/2014/main" id="{D753318F-259C-4312-92D8-BF4753D88A7F}"/>
            </a:ext>
          </a:extLst>
        </xdr:cNvPr>
        <xdr:cNvSpPr/>
      </xdr:nvSpPr>
      <xdr:spPr>
        <a:xfrm>
          <a:off x="13346920" y="6096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220</xdr:row>
      <xdr:rowOff>81863</xdr:rowOff>
    </xdr:from>
    <xdr:to>
      <xdr:col>9</xdr:col>
      <xdr:colOff>503406</xdr:colOff>
      <xdr:row>220</xdr:row>
      <xdr:rowOff>387863</xdr:rowOff>
    </xdr:to>
    <xdr:sp macro="[0]!Ocultar2000Seccion" textlink="">
      <xdr:nvSpPr>
        <xdr:cNvPr id="53" name="Rectángulo redondeado 9">
          <a:extLst>
            <a:ext uri="{FF2B5EF4-FFF2-40B4-BE49-F238E27FC236}">
              <a16:creationId xmlns:a16="http://schemas.microsoft.com/office/drawing/2014/main" id="{176DC8CE-F10B-45D6-87D2-19D022157BFB}"/>
            </a:ext>
          </a:extLst>
        </xdr:cNvPr>
        <xdr:cNvSpPr/>
      </xdr:nvSpPr>
      <xdr:spPr>
        <a:xfrm>
          <a:off x="14755431" y="6096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222</xdr:row>
      <xdr:rowOff>81863</xdr:rowOff>
    </xdr:from>
    <xdr:to>
      <xdr:col>8</xdr:col>
      <xdr:colOff>723670</xdr:colOff>
      <xdr:row>222</xdr:row>
      <xdr:rowOff>387863</xdr:rowOff>
    </xdr:to>
    <xdr:sp macro="[0]!Mostrar2001Seccion" textlink="">
      <xdr:nvSpPr>
        <xdr:cNvPr id="54" name="Rectángulo redondeado 8">
          <a:extLst>
            <a:ext uri="{FF2B5EF4-FFF2-40B4-BE49-F238E27FC236}">
              <a16:creationId xmlns:a16="http://schemas.microsoft.com/office/drawing/2014/main" id="{535CCC3C-9B46-4A98-94EC-2CF810B5A57A}"/>
            </a:ext>
          </a:extLst>
        </xdr:cNvPr>
        <xdr:cNvSpPr/>
      </xdr:nvSpPr>
      <xdr:spPr>
        <a:xfrm>
          <a:off x="13346920" y="61651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222</xdr:row>
      <xdr:rowOff>81863</xdr:rowOff>
    </xdr:from>
    <xdr:to>
      <xdr:col>9</xdr:col>
      <xdr:colOff>503406</xdr:colOff>
      <xdr:row>222</xdr:row>
      <xdr:rowOff>387863</xdr:rowOff>
    </xdr:to>
    <xdr:sp macro="[0]!Ocultar2001Seccion" textlink="">
      <xdr:nvSpPr>
        <xdr:cNvPr id="55" name="Rectángulo redondeado 9">
          <a:extLst>
            <a:ext uri="{FF2B5EF4-FFF2-40B4-BE49-F238E27FC236}">
              <a16:creationId xmlns:a16="http://schemas.microsoft.com/office/drawing/2014/main" id="{1444D315-D66D-4D13-8894-4B2FD28FB287}"/>
            </a:ext>
          </a:extLst>
        </xdr:cNvPr>
        <xdr:cNvSpPr/>
      </xdr:nvSpPr>
      <xdr:spPr>
        <a:xfrm>
          <a:off x="14755431" y="61651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224</xdr:row>
      <xdr:rowOff>242888</xdr:rowOff>
    </xdr:from>
    <xdr:to>
      <xdr:col>3</xdr:col>
      <xdr:colOff>3464475</xdr:colOff>
      <xdr:row>226</xdr:row>
      <xdr:rowOff>15488</xdr:rowOff>
    </xdr:to>
    <xdr:sp macro="[0]!Agregar_Fila_2001" textlink="">
      <xdr:nvSpPr>
        <xdr:cNvPr id="56" name="Rectángulo redondeado 3">
          <a:extLst>
            <a:ext uri="{FF2B5EF4-FFF2-40B4-BE49-F238E27FC236}">
              <a16:creationId xmlns:a16="http://schemas.microsoft.com/office/drawing/2014/main" id="{22F1C6BD-D8BA-4D6B-8443-B7A994058A4B}"/>
            </a:ext>
          </a:extLst>
        </xdr:cNvPr>
        <xdr:cNvSpPr/>
      </xdr:nvSpPr>
      <xdr:spPr>
        <a:xfrm>
          <a:off x="7258050" y="624982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236</xdr:row>
      <xdr:rowOff>81863</xdr:rowOff>
    </xdr:from>
    <xdr:to>
      <xdr:col>8</xdr:col>
      <xdr:colOff>723670</xdr:colOff>
      <xdr:row>236</xdr:row>
      <xdr:rowOff>387863</xdr:rowOff>
    </xdr:to>
    <xdr:sp macro="[0]!Mostrar2002Seccion" textlink="">
      <xdr:nvSpPr>
        <xdr:cNvPr id="50" name="Rectángulo redondeado 8">
          <a:extLst>
            <a:ext uri="{FF2B5EF4-FFF2-40B4-BE49-F238E27FC236}">
              <a16:creationId xmlns:a16="http://schemas.microsoft.com/office/drawing/2014/main" id="{D38A1531-E92F-48FA-B6FF-C27218C64280}"/>
            </a:ext>
          </a:extLst>
        </xdr:cNvPr>
        <xdr:cNvSpPr/>
      </xdr:nvSpPr>
      <xdr:spPr>
        <a:xfrm>
          <a:off x="13346920" y="65232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236</xdr:row>
      <xdr:rowOff>81863</xdr:rowOff>
    </xdr:from>
    <xdr:to>
      <xdr:col>9</xdr:col>
      <xdr:colOff>503406</xdr:colOff>
      <xdr:row>236</xdr:row>
      <xdr:rowOff>387863</xdr:rowOff>
    </xdr:to>
    <xdr:sp macro="[0]!Ocultar2002Seccion" textlink="">
      <xdr:nvSpPr>
        <xdr:cNvPr id="51" name="Rectángulo redondeado 9">
          <a:extLst>
            <a:ext uri="{FF2B5EF4-FFF2-40B4-BE49-F238E27FC236}">
              <a16:creationId xmlns:a16="http://schemas.microsoft.com/office/drawing/2014/main" id="{8E75F1BA-137E-4F66-89E9-D9095EBC1971}"/>
            </a:ext>
          </a:extLst>
        </xdr:cNvPr>
        <xdr:cNvSpPr/>
      </xdr:nvSpPr>
      <xdr:spPr>
        <a:xfrm>
          <a:off x="14755431" y="65232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238</xdr:row>
      <xdr:rowOff>233363</xdr:rowOff>
    </xdr:from>
    <xdr:to>
      <xdr:col>3</xdr:col>
      <xdr:colOff>3464475</xdr:colOff>
      <xdr:row>240</xdr:row>
      <xdr:rowOff>5963</xdr:rowOff>
    </xdr:to>
    <xdr:sp macro="[0]!Agregar_Fila_2002" textlink="">
      <xdr:nvSpPr>
        <xdr:cNvPr id="57" name="Rectángulo redondeado 3">
          <a:extLst>
            <a:ext uri="{FF2B5EF4-FFF2-40B4-BE49-F238E27FC236}">
              <a16:creationId xmlns:a16="http://schemas.microsoft.com/office/drawing/2014/main" id="{64410E6A-EFB2-4868-8ECF-DA5B265AAF19}"/>
            </a:ext>
          </a:extLst>
        </xdr:cNvPr>
        <xdr:cNvSpPr/>
      </xdr:nvSpPr>
      <xdr:spPr>
        <a:xfrm>
          <a:off x="7258050" y="66336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250</xdr:row>
      <xdr:rowOff>81863</xdr:rowOff>
    </xdr:from>
    <xdr:to>
      <xdr:col>8</xdr:col>
      <xdr:colOff>723670</xdr:colOff>
      <xdr:row>250</xdr:row>
      <xdr:rowOff>387863</xdr:rowOff>
    </xdr:to>
    <xdr:sp macro="[0]!Mostrar2003Seccion" textlink="">
      <xdr:nvSpPr>
        <xdr:cNvPr id="58" name="Rectángulo redondeado 8">
          <a:extLst>
            <a:ext uri="{FF2B5EF4-FFF2-40B4-BE49-F238E27FC236}">
              <a16:creationId xmlns:a16="http://schemas.microsoft.com/office/drawing/2014/main" id="{FCC72434-2194-40D2-AE94-E608D6BBB698}"/>
            </a:ext>
          </a:extLst>
        </xdr:cNvPr>
        <xdr:cNvSpPr/>
      </xdr:nvSpPr>
      <xdr:spPr>
        <a:xfrm>
          <a:off x="13346920" y="688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250</xdr:row>
      <xdr:rowOff>81863</xdr:rowOff>
    </xdr:from>
    <xdr:to>
      <xdr:col>9</xdr:col>
      <xdr:colOff>503406</xdr:colOff>
      <xdr:row>250</xdr:row>
      <xdr:rowOff>387863</xdr:rowOff>
    </xdr:to>
    <xdr:sp macro="[0]!Ocultar2003Seccion" textlink="">
      <xdr:nvSpPr>
        <xdr:cNvPr id="59" name="Rectángulo redondeado 9">
          <a:extLst>
            <a:ext uri="{FF2B5EF4-FFF2-40B4-BE49-F238E27FC236}">
              <a16:creationId xmlns:a16="http://schemas.microsoft.com/office/drawing/2014/main" id="{6456F382-0B6C-4782-911E-9C6D71B84E9C}"/>
            </a:ext>
          </a:extLst>
        </xdr:cNvPr>
        <xdr:cNvSpPr/>
      </xdr:nvSpPr>
      <xdr:spPr>
        <a:xfrm>
          <a:off x="14755431" y="688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252</xdr:row>
      <xdr:rowOff>252413</xdr:rowOff>
    </xdr:from>
    <xdr:to>
      <xdr:col>3</xdr:col>
      <xdr:colOff>3464475</xdr:colOff>
      <xdr:row>254</xdr:row>
      <xdr:rowOff>25013</xdr:rowOff>
    </xdr:to>
    <xdr:sp macro="[0]!Agregar_Fila_2003" textlink="">
      <xdr:nvSpPr>
        <xdr:cNvPr id="60" name="Rectángulo redondeado 3">
          <a:extLst>
            <a:ext uri="{FF2B5EF4-FFF2-40B4-BE49-F238E27FC236}">
              <a16:creationId xmlns:a16="http://schemas.microsoft.com/office/drawing/2014/main" id="{D99A021B-41F3-4173-A237-007DD8727441}"/>
            </a:ext>
          </a:extLst>
        </xdr:cNvPr>
        <xdr:cNvSpPr/>
      </xdr:nvSpPr>
      <xdr:spPr>
        <a:xfrm>
          <a:off x="7258050" y="702040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264</xdr:row>
      <xdr:rowOff>81863</xdr:rowOff>
    </xdr:from>
    <xdr:to>
      <xdr:col>8</xdr:col>
      <xdr:colOff>723670</xdr:colOff>
      <xdr:row>264</xdr:row>
      <xdr:rowOff>387863</xdr:rowOff>
    </xdr:to>
    <xdr:sp macro="[0]!Mostrar2004Seccion" textlink="">
      <xdr:nvSpPr>
        <xdr:cNvPr id="61" name="Rectángulo redondeado 8">
          <a:extLst>
            <a:ext uri="{FF2B5EF4-FFF2-40B4-BE49-F238E27FC236}">
              <a16:creationId xmlns:a16="http://schemas.microsoft.com/office/drawing/2014/main" id="{A2114DD5-CC20-480B-9876-351985A151C8}"/>
            </a:ext>
          </a:extLst>
        </xdr:cNvPr>
        <xdr:cNvSpPr/>
      </xdr:nvSpPr>
      <xdr:spPr>
        <a:xfrm>
          <a:off x="13346920" y="7239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264</xdr:row>
      <xdr:rowOff>81863</xdr:rowOff>
    </xdr:from>
    <xdr:to>
      <xdr:col>9</xdr:col>
      <xdr:colOff>503406</xdr:colOff>
      <xdr:row>264</xdr:row>
      <xdr:rowOff>387863</xdr:rowOff>
    </xdr:to>
    <xdr:sp macro="[0]!Ocultar2004Seccion" textlink="">
      <xdr:nvSpPr>
        <xdr:cNvPr id="62" name="Rectángulo redondeado 9">
          <a:extLst>
            <a:ext uri="{FF2B5EF4-FFF2-40B4-BE49-F238E27FC236}">
              <a16:creationId xmlns:a16="http://schemas.microsoft.com/office/drawing/2014/main" id="{24CE0B03-F8A0-482C-93C6-309C6D1B8AD5}"/>
            </a:ext>
          </a:extLst>
        </xdr:cNvPr>
        <xdr:cNvSpPr/>
      </xdr:nvSpPr>
      <xdr:spPr>
        <a:xfrm>
          <a:off x="14755431" y="72395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266</xdr:row>
      <xdr:rowOff>119063</xdr:rowOff>
    </xdr:from>
    <xdr:to>
      <xdr:col>3</xdr:col>
      <xdr:colOff>3464475</xdr:colOff>
      <xdr:row>267</xdr:row>
      <xdr:rowOff>158363</xdr:rowOff>
    </xdr:to>
    <xdr:sp macro="[0]!Agregar_Fila_2004" textlink="">
      <xdr:nvSpPr>
        <xdr:cNvPr id="63" name="Rectángulo redondeado 3">
          <a:extLst>
            <a:ext uri="{FF2B5EF4-FFF2-40B4-BE49-F238E27FC236}">
              <a16:creationId xmlns:a16="http://schemas.microsoft.com/office/drawing/2014/main" id="{AFDD0926-3B15-4437-A91A-D821CA410A7B}"/>
            </a:ext>
          </a:extLst>
        </xdr:cNvPr>
        <xdr:cNvSpPr/>
      </xdr:nvSpPr>
      <xdr:spPr>
        <a:xfrm>
          <a:off x="2390775" y="58335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277</xdr:row>
      <xdr:rowOff>81863</xdr:rowOff>
    </xdr:from>
    <xdr:to>
      <xdr:col>8</xdr:col>
      <xdr:colOff>723670</xdr:colOff>
      <xdr:row>277</xdr:row>
      <xdr:rowOff>387863</xdr:rowOff>
    </xdr:to>
    <xdr:sp macro="[0]!Mostrar2005Seccion" textlink="">
      <xdr:nvSpPr>
        <xdr:cNvPr id="64" name="Rectángulo redondeado 8">
          <a:extLst>
            <a:ext uri="{FF2B5EF4-FFF2-40B4-BE49-F238E27FC236}">
              <a16:creationId xmlns:a16="http://schemas.microsoft.com/office/drawing/2014/main" id="{7A124654-C6CD-4D61-B1B5-AE8980AD68A3}"/>
            </a:ext>
          </a:extLst>
        </xdr:cNvPr>
        <xdr:cNvSpPr/>
      </xdr:nvSpPr>
      <xdr:spPr>
        <a:xfrm>
          <a:off x="13346920" y="75977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277</xdr:row>
      <xdr:rowOff>81863</xdr:rowOff>
    </xdr:from>
    <xdr:to>
      <xdr:col>9</xdr:col>
      <xdr:colOff>503406</xdr:colOff>
      <xdr:row>277</xdr:row>
      <xdr:rowOff>387863</xdr:rowOff>
    </xdr:to>
    <xdr:sp macro="[0]!Ocultar2005Seccion" textlink="">
      <xdr:nvSpPr>
        <xdr:cNvPr id="65" name="Rectángulo redondeado 9">
          <a:extLst>
            <a:ext uri="{FF2B5EF4-FFF2-40B4-BE49-F238E27FC236}">
              <a16:creationId xmlns:a16="http://schemas.microsoft.com/office/drawing/2014/main" id="{40BFBDB4-849F-4B5E-B793-92D74706D23E}"/>
            </a:ext>
          </a:extLst>
        </xdr:cNvPr>
        <xdr:cNvSpPr/>
      </xdr:nvSpPr>
      <xdr:spPr>
        <a:xfrm>
          <a:off x="14755431" y="75977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279</xdr:row>
      <xdr:rowOff>119063</xdr:rowOff>
    </xdr:from>
    <xdr:to>
      <xdr:col>3</xdr:col>
      <xdr:colOff>3464475</xdr:colOff>
      <xdr:row>280</xdr:row>
      <xdr:rowOff>158363</xdr:rowOff>
    </xdr:to>
    <xdr:sp macro="[0]!Agregar_Fila_2005" textlink="">
      <xdr:nvSpPr>
        <xdr:cNvPr id="66" name="Rectángulo redondeado 3">
          <a:extLst>
            <a:ext uri="{FF2B5EF4-FFF2-40B4-BE49-F238E27FC236}">
              <a16:creationId xmlns:a16="http://schemas.microsoft.com/office/drawing/2014/main" id="{2DFCDE3C-06F9-4B41-B7A9-F768ABD5394A}"/>
            </a:ext>
          </a:extLst>
        </xdr:cNvPr>
        <xdr:cNvSpPr/>
      </xdr:nvSpPr>
      <xdr:spPr>
        <a:xfrm>
          <a:off x="2390775" y="61383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290</xdr:row>
      <xdr:rowOff>81863</xdr:rowOff>
    </xdr:from>
    <xdr:to>
      <xdr:col>8</xdr:col>
      <xdr:colOff>723670</xdr:colOff>
      <xdr:row>290</xdr:row>
      <xdr:rowOff>387863</xdr:rowOff>
    </xdr:to>
    <xdr:sp macro="[0]!Mostrar2006Seccion" textlink="">
      <xdr:nvSpPr>
        <xdr:cNvPr id="67" name="Rectángulo redondeado 8">
          <a:extLst>
            <a:ext uri="{FF2B5EF4-FFF2-40B4-BE49-F238E27FC236}">
              <a16:creationId xmlns:a16="http://schemas.microsoft.com/office/drawing/2014/main" id="{D994E20E-EEDC-4155-94FA-36F7A77353DA}"/>
            </a:ext>
          </a:extLst>
        </xdr:cNvPr>
        <xdr:cNvSpPr/>
      </xdr:nvSpPr>
      <xdr:spPr>
        <a:xfrm>
          <a:off x="13346920" y="79558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290</xdr:row>
      <xdr:rowOff>81863</xdr:rowOff>
    </xdr:from>
    <xdr:to>
      <xdr:col>9</xdr:col>
      <xdr:colOff>503406</xdr:colOff>
      <xdr:row>290</xdr:row>
      <xdr:rowOff>387863</xdr:rowOff>
    </xdr:to>
    <xdr:sp macro="[0]!Ocultar2006Seccion" textlink="">
      <xdr:nvSpPr>
        <xdr:cNvPr id="68" name="Rectángulo redondeado 9">
          <a:extLst>
            <a:ext uri="{FF2B5EF4-FFF2-40B4-BE49-F238E27FC236}">
              <a16:creationId xmlns:a16="http://schemas.microsoft.com/office/drawing/2014/main" id="{ABA0B2AD-9CF7-4F1E-BBF3-3A857FAAFFDD}"/>
            </a:ext>
          </a:extLst>
        </xdr:cNvPr>
        <xdr:cNvSpPr/>
      </xdr:nvSpPr>
      <xdr:spPr>
        <a:xfrm>
          <a:off x="14755431" y="79558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292</xdr:row>
      <xdr:rowOff>233363</xdr:rowOff>
    </xdr:from>
    <xdr:to>
      <xdr:col>3</xdr:col>
      <xdr:colOff>3464475</xdr:colOff>
      <xdr:row>294</xdr:row>
      <xdr:rowOff>5963</xdr:rowOff>
    </xdr:to>
    <xdr:sp macro="[0]!Agregar_Fila_2006" textlink="">
      <xdr:nvSpPr>
        <xdr:cNvPr id="69" name="Rectángulo redondeado 3">
          <a:extLst>
            <a:ext uri="{FF2B5EF4-FFF2-40B4-BE49-F238E27FC236}">
              <a16:creationId xmlns:a16="http://schemas.microsoft.com/office/drawing/2014/main" id="{321AB2BD-9053-4C7A-914D-C122FCD52831}"/>
            </a:ext>
          </a:extLst>
        </xdr:cNvPr>
        <xdr:cNvSpPr/>
      </xdr:nvSpPr>
      <xdr:spPr>
        <a:xfrm>
          <a:off x="7258050" y="81195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304</xdr:row>
      <xdr:rowOff>81863</xdr:rowOff>
    </xdr:from>
    <xdr:to>
      <xdr:col>8</xdr:col>
      <xdr:colOff>723670</xdr:colOff>
      <xdr:row>304</xdr:row>
      <xdr:rowOff>387863</xdr:rowOff>
    </xdr:to>
    <xdr:sp macro="[0]!Mostrar2007Seccion" textlink="">
      <xdr:nvSpPr>
        <xdr:cNvPr id="70" name="Rectángulo redondeado 8">
          <a:extLst>
            <a:ext uri="{FF2B5EF4-FFF2-40B4-BE49-F238E27FC236}">
              <a16:creationId xmlns:a16="http://schemas.microsoft.com/office/drawing/2014/main" id="{24D0871B-C5F2-4190-B30E-6220E6B447A8}"/>
            </a:ext>
          </a:extLst>
        </xdr:cNvPr>
        <xdr:cNvSpPr/>
      </xdr:nvSpPr>
      <xdr:spPr>
        <a:xfrm>
          <a:off x="13346920" y="83139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304</xdr:row>
      <xdr:rowOff>81863</xdr:rowOff>
    </xdr:from>
    <xdr:to>
      <xdr:col>9</xdr:col>
      <xdr:colOff>503406</xdr:colOff>
      <xdr:row>304</xdr:row>
      <xdr:rowOff>387863</xdr:rowOff>
    </xdr:to>
    <xdr:sp macro="[0]!Ocultar2007Seccion" textlink="">
      <xdr:nvSpPr>
        <xdr:cNvPr id="71" name="Rectángulo redondeado 9">
          <a:extLst>
            <a:ext uri="{FF2B5EF4-FFF2-40B4-BE49-F238E27FC236}">
              <a16:creationId xmlns:a16="http://schemas.microsoft.com/office/drawing/2014/main" id="{1C4611A2-31C9-45DE-B56E-9E5C2167F5EE}"/>
            </a:ext>
          </a:extLst>
        </xdr:cNvPr>
        <xdr:cNvSpPr/>
      </xdr:nvSpPr>
      <xdr:spPr>
        <a:xfrm>
          <a:off x="14755431" y="83139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306</xdr:row>
      <xdr:rowOff>223838</xdr:rowOff>
    </xdr:from>
    <xdr:to>
      <xdr:col>3</xdr:col>
      <xdr:colOff>3464475</xdr:colOff>
      <xdr:row>307</xdr:row>
      <xdr:rowOff>263138</xdr:rowOff>
    </xdr:to>
    <xdr:sp macro="[0]!Agregar_Fila_2007" textlink="">
      <xdr:nvSpPr>
        <xdr:cNvPr id="72" name="Rectángulo redondeado 3">
          <a:extLst>
            <a:ext uri="{FF2B5EF4-FFF2-40B4-BE49-F238E27FC236}">
              <a16:creationId xmlns:a16="http://schemas.microsoft.com/office/drawing/2014/main" id="{0C33C806-2AC7-4787-981A-7148DF30D861}"/>
            </a:ext>
          </a:extLst>
        </xdr:cNvPr>
        <xdr:cNvSpPr/>
      </xdr:nvSpPr>
      <xdr:spPr>
        <a:xfrm>
          <a:off x="7258050" y="850344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318</xdr:row>
      <xdr:rowOff>81863</xdr:rowOff>
    </xdr:from>
    <xdr:to>
      <xdr:col>8</xdr:col>
      <xdr:colOff>723670</xdr:colOff>
      <xdr:row>318</xdr:row>
      <xdr:rowOff>387863</xdr:rowOff>
    </xdr:to>
    <xdr:sp macro="[0]!Mostrar2008Seccion" textlink="">
      <xdr:nvSpPr>
        <xdr:cNvPr id="73" name="Rectángulo redondeado 8">
          <a:extLst>
            <a:ext uri="{FF2B5EF4-FFF2-40B4-BE49-F238E27FC236}">
              <a16:creationId xmlns:a16="http://schemas.microsoft.com/office/drawing/2014/main" id="{A0739AE8-8B1F-4C3B-A0A4-82ED4C08C455}"/>
            </a:ext>
          </a:extLst>
        </xdr:cNvPr>
        <xdr:cNvSpPr/>
      </xdr:nvSpPr>
      <xdr:spPr>
        <a:xfrm>
          <a:off x="13346920" y="86721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318</xdr:row>
      <xdr:rowOff>81863</xdr:rowOff>
    </xdr:from>
    <xdr:to>
      <xdr:col>9</xdr:col>
      <xdr:colOff>503406</xdr:colOff>
      <xdr:row>318</xdr:row>
      <xdr:rowOff>387863</xdr:rowOff>
    </xdr:to>
    <xdr:sp macro="[0]!Ocultar2008Seccion" textlink="">
      <xdr:nvSpPr>
        <xdr:cNvPr id="74" name="Rectángulo redondeado 9">
          <a:extLst>
            <a:ext uri="{FF2B5EF4-FFF2-40B4-BE49-F238E27FC236}">
              <a16:creationId xmlns:a16="http://schemas.microsoft.com/office/drawing/2014/main" id="{4AA3D78D-3DD1-41EF-8575-A516B2DC81BD}"/>
            </a:ext>
          </a:extLst>
        </xdr:cNvPr>
        <xdr:cNvSpPr/>
      </xdr:nvSpPr>
      <xdr:spPr>
        <a:xfrm>
          <a:off x="14755431" y="86721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320</xdr:row>
      <xdr:rowOff>223838</xdr:rowOff>
    </xdr:from>
    <xdr:to>
      <xdr:col>3</xdr:col>
      <xdr:colOff>3464475</xdr:colOff>
      <xdr:row>321</xdr:row>
      <xdr:rowOff>263138</xdr:rowOff>
    </xdr:to>
    <xdr:sp macro="[0]!Agregar_Fila_2008" textlink="">
      <xdr:nvSpPr>
        <xdr:cNvPr id="75" name="Rectángulo redondeado 3">
          <a:extLst>
            <a:ext uri="{FF2B5EF4-FFF2-40B4-BE49-F238E27FC236}">
              <a16:creationId xmlns:a16="http://schemas.microsoft.com/office/drawing/2014/main" id="{BEB82015-8FDB-4E62-8D96-B3CC6F92DD65}"/>
            </a:ext>
          </a:extLst>
        </xdr:cNvPr>
        <xdr:cNvSpPr/>
      </xdr:nvSpPr>
      <xdr:spPr>
        <a:xfrm>
          <a:off x="7258050" y="888825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332</xdr:row>
      <xdr:rowOff>81863</xdr:rowOff>
    </xdr:from>
    <xdr:to>
      <xdr:col>8</xdr:col>
      <xdr:colOff>723670</xdr:colOff>
      <xdr:row>332</xdr:row>
      <xdr:rowOff>387863</xdr:rowOff>
    </xdr:to>
    <xdr:sp macro="[0]!Mostrar2009Seccion" textlink="">
      <xdr:nvSpPr>
        <xdr:cNvPr id="76" name="Rectángulo redondeado 8">
          <a:extLst>
            <a:ext uri="{FF2B5EF4-FFF2-40B4-BE49-F238E27FC236}">
              <a16:creationId xmlns:a16="http://schemas.microsoft.com/office/drawing/2014/main" id="{8D769EEF-D05B-4E4B-B262-E4DD7A0DB655}"/>
            </a:ext>
          </a:extLst>
        </xdr:cNvPr>
        <xdr:cNvSpPr/>
      </xdr:nvSpPr>
      <xdr:spPr>
        <a:xfrm>
          <a:off x="13346920" y="90302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332</xdr:row>
      <xdr:rowOff>81863</xdr:rowOff>
    </xdr:from>
    <xdr:to>
      <xdr:col>9</xdr:col>
      <xdr:colOff>503406</xdr:colOff>
      <xdr:row>332</xdr:row>
      <xdr:rowOff>387863</xdr:rowOff>
    </xdr:to>
    <xdr:sp macro="[0]!Ocultar2009Seccion" textlink="">
      <xdr:nvSpPr>
        <xdr:cNvPr id="77" name="Rectángulo redondeado 9">
          <a:extLst>
            <a:ext uri="{FF2B5EF4-FFF2-40B4-BE49-F238E27FC236}">
              <a16:creationId xmlns:a16="http://schemas.microsoft.com/office/drawing/2014/main" id="{6A6B840D-1278-438A-BDFC-7CE352DA2D0F}"/>
            </a:ext>
          </a:extLst>
        </xdr:cNvPr>
        <xdr:cNvSpPr/>
      </xdr:nvSpPr>
      <xdr:spPr>
        <a:xfrm>
          <a:off x="14755431" y="903026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334</xdr:row>
      <xdr:rowOff>233363</xdr:rowOff>
    </xdr:from>
    <xdr:to>
      <xdr:col>3</xdr:col>
      <xdr:colOff>3464475</xdr:colOff>
      <xdr:row>336</xdr:row>
      <xdr:rowOff>5963</xdr:rowOff>
    </xdr:to>
    <xdr:sp macro="[0]!Agregar_Fila_2009" textlink="">
      <xdr:nvSpPr>
        <xdr:cNvPr id="78" name="Rectángulo redondeado 3">
          <a:extLst>
            <a:ext uri="{FF2B5EF4-FFF2-40B4-BE49-F238E27FC236}">
              <a16:creationId xmlns:a16="http://schemas.microsoft.com/office/drawing/2014/main" id="{F084FF09-BFE4-4F34-8C34-E5DA32A562ED}"/>
            </a:ext>
          </a:extLst>
        </xdr:cNvPr>
        <xdr:cNvSpPr/>
      </xdr:nvSpPr>
      <xdr:spPr>
        <a:xfrm>
          <a:off x="7258050" y="927401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346</xdr:row>
      <xdr:rowOff>81863</xdr:rowOff>
    </xdr:from>
    <xdr:to>
      <xdr:col>8</xdr:col>
      <xdr:colOff>723670</xdr:colOff>
      <xdr:row>346</xdr:row>
      <xdr:rowOff>387863</xdr:rowOff>
    </xdr:to>
    <xdr:sp macro="[0]!Mostrar2010Seccion" textlink="">
      <xdr:nvSpPr>
        <xdr:cNvPr id="79" name="Rectángulo redondeado 8">
          <a:extLst>
            <a:ext uri="{FF2B5EF4-FFF2-40B4-BE49-F238E27FC236}">
              <a16:creationId xmlns:a16="http://schemas.microsoft.com/office/drawing/2014/main" id="{1B530EDD-13AD-469B-A97C-37F52DA0CA1C}"/>
            </a:ext>
          </a:extLst>
        </xdr:cNvPr>
        <xdr:cNvSpPr/>
      </xdr:nvSpPr>
      <xdr:spPr>
        <a:xfrm>
          <a:off x="13346920" y="93884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346</xdr:row>
      <xdr:rowOff>81863</xdr:rowOff>
    </xdr:from>
    <xdr:to>
      <xdr:col>9</xdr:col>
      <xdr:colOff>503406</xdr:colOff>
      <xdr:row>346</xdr:row>
      <xdr:rowOff>387863</xdr:rowOff>
    </xdr:to>
    <xdr:sp macro="[0]!Ocultar2010Seccion" textlink="">
      <xdr:nvSpPr>
        <xdr:cNvPr id="80" name="Rectángulo redondeado 9">
          <a:extLst>
            <a:ext uri="{FF2B5EF4-FFF2-40B4-BE49-F238E27FC236}">
              <a16:creationId xmlns:a16="http://schemas.microsoft.com/office/drawing/2014/main" id="{43EF974D-7063-4F3F-9A85-D385E29A413E}"/>
            </a:ext>
          </a:extLst>
        </xdr:cNvPr>
        <xdr:cNvSpPr/>
      </xdr:nvSpPr>
      <xdr:spPr>
        <a:xfrm>
          <a:off x="14755431" y="93884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348</xdr:row>
      <xdr:rowOff>214313</xdr:rowOff>
    </xdr:from>
    <xdr:to>
      <xdr:col>3</xdr:col>
      <xdr:colOff>3464475</xdr:colOff>
      <xdr:row>349</xdr:row>
      <xdr:rowOff>253613</xdr:rowOff>
    </xdr:to>
    <xdr:sp macro="[0]!Agregar_Fila_2010" textlink="">
      <xdr:nvSpPr>
        <xdr:cNvPr id="81" name="Rectángulo redondeado 3">
          <a:extLst>
            <a:ext uri="{FF2B5EF4-FFF2-40B4-BE49-F238E27FC236}">
              <a16:creationId xmlns:a16="http://schemas.microsoft.com/office/drawing/2014/main" id="{AC6E74B9-B1F1-417D-BD04-7AAAC56B2692}"/>
            </a:ext>
          </a:extLst>
        </xdr:cNvPr>
        <xdr:cNvSpPr/>
      </xdr:nvSpPr>
      <xdr:spPr>
        <a:xfrm>
          <a:off x="7258050" y="965692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360</xdr:row>
      <xdr:rowOff>81863</xdr:rowOff>
    </xdr:from>
    <xdr:to>
      <xdr:col>8</xdr:col>
      <xdr:colOff>723670</xdr:colOff>
      <xdr:row>360</xdr:row>
      <xdr:rowOff>387863</xdr:rowOff>
    </xdr:to>
    <xdr:sp macro="[0]!Mostrar2011Seccion" textlink="">
      <xdr:nvSpPr>
        <xdr:cNvPr id="82" name="Rectángulo redondeado 8">
          <a:extLst>
            <a:ext uri="{FF2B5EF4-FFF2-40B4-BE49-F238E27FC236}">
              <a16:creationId xmlns:a16="http://schemas.microsoft.com/office/drawing/2014/main" id="{ACA708AC-D7EB-4742-80AE-081036A588DA}"/>
            </a:ext>
          </a:extLst>
        </xdr:cNvPr>
        <xdr:cNvSpPr/>
      </xdr:nvSpPr>
      <xdr:spPr>
        <a:xfrm>
          <a:off x="13346920" y="9746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360</xdr:row>
      <xdr:rowOff>81863</xdr:rowOff>
    </xdr:from>
    <xdr:to>
      <xdr:col>9</xdr:col>
      <xdr:colOff>503406</xdr:colOff>
      <xdr:row>360</xdr:row>
      <xdr:rowOff>387863</xdr:rowOff>
    </xdr:to>
    <xdr:sp macro="[0]!Ocultar2011Seccion" textlink="">
      <xdr:nvSpPr>
        <xdr:cNvPr id="83" name="Rectángulo redondeado 9">
          <a:extLst>
            <a:ext uri="{FF2B5EF4-FFF2-40B4-BE49-F238E27FC236}">
              <a16:creationId xmlns:a16="http://schemas.microsoft.com/office/drawing/2014/main" id="{47E45D7F-E400-4DF8-AEF4-F1741022F5BC}"/>
            </a:ext>
          </a:extLst>
        </xdr:cNvPr>
        <xdr:cNvSpPr/>
      </xdr:nvSpPr>
      <xdr:spPr>
        <a:xfrm>
          <a:off x="14755431" y="9746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362</xdr:row>
      <xdr:rowOff>119063</xdr:rowOff>
    </xdr:from>
    <xdr:to>
      <xdr:col>3</xdr:col>
      <xdr:colOff>3464475</xdr:colOff>
      <xdr:row>363</xdr:row>
      <xdr:rowOff>158363</xdr:rowOff>
    </xdr:to>
    <xdr:sp macro="[0]!Agregar_Fila_2011" textlink="">
      <xdr:nvSpPr>
        <xdr:cNvPr id="84" name="Rectángulo redondeado 3">
          <a:extLst>
            <a:ext uri="{FF2B5EF4-FFF2-40B4-BE49-F238E27FC236}">
              <a16:creationId xmlns:a16="http://schemas.microsoft.com/office/drawing/2014/main" id="{452C56F9-5D2D-412C-B4FC-6AC8BECBE388}"/>
            </a:ext>
          </a:extLst>
        </xdr:cNvPr>
        <xdr:cNvSpPr/>
      </xdr:nvSpPr>
      <xdr:spPr>
        <a:xfrm>
          <a:off x="2390775" y="796718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373</xdr:row>
      <xdr:rowOff>81863</xdr:rowOff>
    </xdr:from>
    <xdr:to>
      <xdr:col>8</xdr:col>
      <xdr:colOff>723670</xdr:colOff>
      <xdr:row>373</xdr:row>
      <xdr:rowOff>387863</xdr:rowOff>
    </xdr:to>
    <xdr:sp macro="[0]!Mostrar2012Seccion" textlink="">
      <xdr:nvSpPr>
        <xdr:cNvPr id="85" name="Rectángulo redondeado 8">
          <a:extLst>
            <a:ext uri="{FF2B5EF4-FFF2-40B4-BE49-F238E27FC236}">
              <a16:creationId xmlns:a16="http://schemas.microsoft.com/office/drawing/2014/main" id="{17F1E7F8-E9C9-4458-A48B-2B5DD1459F54}"/>
            </a:ext>
          </a:extLst>
        </xdr:cNvPr>
        <xdr:cNvSpPr/>
      </xdr:nvSpPr>
      <xdr:spPr>
        <a:xfrm>
          <a:off x="13346920" y="101046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373</xdr:row>
      <xdr:rowOff>81863</xdr:rowOff>
    </xdr:from>
    <xdr:to>
      <xdr:col>9</xdr:col>
      <xdr:colOff>503406</xdr:colOff>
      <xdr:row>373</xdr:row>
      <xdr:rowOff>387863</xdr:rowOff>
    </xdr:to>
    <xdr:sp macro="[0]!Ocultar2012Seccion" textlink="">
      <xdr:nvSpPr>
        <xdr:cNvPr id="86" name="Rectángulo redondeado 9">
          <a:extLst>
            <a:ext uri="{FF2B5EF4-FFF2-40B4-BE49-F238E27FC236}">
              <a16:creationId xmlns:a16="http://schemas.microsoft.com/office/drawing/2014/main" id="{FDA6D268-8764-4616-8494-9849755A1591}"/>
            </a:ext>
          </a:extLst>
        </xdr:cNvPr>
        <xdr:cNvSpPr/>
      </xdr:nvSpPr>
      <xdr:spPr>
        <a:xfrm>
          <a:off x="14755431" y="101046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375</xdr:row>
      <xdr:rowOff>233363</xdr:rowOff>
    </xdr:from>
    <xdr:to>
      <xdr:col>3</xdr:col>
      <xdr:colOff>3464475</xdr:colOff>
      <xdr:row>377</xdr:row>
      <xdr:rowOff>5963</xdr:rowOff>
    </xdr:to>
    <xdr:sp macro="[0]!Agregar_Fila_2012" textlink="">
      <xdr:nvSpPr>
        <xdr:cNvPr id="87" name="Rectángulo redondeado 3">
          <a:extLst>
            <a:ext uri="{FF2B5EF4-FFF2-40B4-BE49-F238E27FC236}">
              <a16:creationId xmlns:a16="http://schemas.microsoft.com/office/drawing/2014/main" id="{3B4F53A0-1B6B-460E-97DA-40F3766F1C16}"/>
            </a:ext>
          </a:extLst>
        </xdr:cNvPr>
        <xdr:cNvSpPr/>
      </xdr:nvSpPr>
      <xdr:spPr>
        <a:xfrm>
          <a:off x="7258050" y="10401776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1402570</xdr:colOff>
      <xdr:row>387</xdr:row>
      <xdr:rowOff>81863</xdr:rowOff>
    </xdr:from>
    <xdr:to>
      <xdr:col>8</xdr:col>
      <xdr:colOff>723670</xdr:colOff>
      <xdr:row>387</xdr:row>
      <xdr:rowOff>387863</xdr:rowOff>
    </xdr:to>
    <xdr:sp macro="[0]!Mostrar3000Seccion" textlink="">
      <xdr:nvSpPr>
        <xdr:cNvPr id="88" name="Rectángulo redondeado 8">
          <a:extLst>
            <a:ext uri="{FF2B5EF4-FFF2-40B4-BE49-F238E27FC236}">
              <a16:creationId xmlns:a16="http://schemas.microsoft.com/office/drawing/2014/main" id="{84E64FAA-5A92-4BFE-BF62-E5D4B4BFCE8B}"/>
            </a:ext>
          </a:extLst>
        </xdr:cNvPr>
        <xdr:cNvSpPr/>
      </xdr:nvSpPr>
      <xdr:spPr>
        <a:xfrm>
          <a:off x="13346920" y="10702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387</xdr:row>
      <xdr:rowOff>81863</xdr:rowOff>
    </xdr:from>
    <xdr:to>
      <xdr:col>9</xdr:col>
      <xdr:colOff>503406</xdr:colOff>
      <xdr:row>387</xdr:row>
      <xdr:rowOff>387863</xdr:rowOff>
    </xdr:to>
    <xdr:sp macro="[0]!Ocultar3000Seccion" textlink="">
      <xdr:nvSpPr>
        <xdr:cNvPr id="89" name="Rectángulo redondeado 9">
          <a:extLst>
            <a:ext uri="{FF2B5EF4-FFF2-40B4-BE49-F238E27FC236}">
              <a16:creationId xmlns:a16="http://schemas.microsoft.com/office/drawing/2014/main" id="{00644799-DD44-4857-B6B0-3614853C5A89}"/>
            </a:ext>
          </a:extLst>
        </xdr:cNvPr>
        <xdr:cNvSpPr/>
      </xdr:nvSpPr>
      <xdr:spPr>
        <a:xfrm>
          <a:off x="14755431" y="10702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391</xdr:row>
      <xdr:rowOff>242888</xdr:rowOff>
    </xdr:from>
    <xdr:to>
      <xdr:col>3</xdr:col>
      <xdr:colOff>3464475</xdr:colOff>
      <xdr:row>393</xdr:row>
      <xdr:rowOff>15488</xdr:rowOff>
    </xdr:to>
    <xdr:sp macro="[0]!Agregar_Fila_3001" textlink="">
      <xdr:nvSpPr>
        <xdr:cNvPr id="90" name="Rectángulo redondeado 3">
          <a:extLst>
            <a:ext uri="{FF2B5EF4-FFF2-40B4-BE49-F238E27FC236}">
              <a16:creationId xmlns:a16="http://schemas.microsoft.com/office/drawing/2014/main" id="{80169417-47C9-4E9A-BEDB-4E4ED3B720AE}"/>
            </a:ext>
          </a:extLst>
        </xdr:cNvPr>
        <xdr:cNvSpPr/>
      </xdr:nvSpPr>
      <xdr:spPr>
        <a:xfrm>
          <a:off x="7258050" y="1085611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389</xdr:row>
      <xdr:rowOff>81863</xdr:rowOff>
    </xdr:from>
    <xdr:to>
      <xdr:col>8</xdr:col>
      <xdr:colOff>714145</xdr:colOff>
      <xdr:row>389</xdr:row>
      <xdr:rowOff>387863</xdr:rowOff>
    </xdr:to>
    <xdr:sp macro="[0]!Mostrar3001Seccion" textlink="">
      <xdr:nvSpPr>
        <xdr:cNvPr id="91" name="Rectángulo redondeado 8">
          <a:extLst>
            <a:ext uri="{FF2B5EF4-FFF2-40B4-BE49-F238E27FC236}">
              <a16:creationId xmlns:a16="http://schemas.microsoft.com/office/drawing/2014/main" id="{A5E41878-0FAB-4D3B-899F-7C040B9F5E37}"/>
            </a:ext>
          </a:extLst>
        </xdr:cNvPr>
        <xdr:cNvSpPr/>
      </xdr:nvSpPr>
      <xdr:spPr>
        <a:xfrm>
          <a:off x="13337395" y="107714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389</xdr:row>
      <xdr:rowOff>81863</xdr:rowOff>
    </xdr:from>
    <xdr:to>
      <xdr:col>9</xdr:col>
      <xdr:colOff>493881</xdr:colOff>
      <xdr:row>389</xdr:row>
      <xdr:rowOff>387863</xdr:rowOff>
    </xdr:to>
    <xdr:sp macro="[0]!Ocultar3001Seccion" textlink="">
      <xdr:nvSpPr>
        <xdr:cNvPr id="92" name="Rectángulo redondeado 9">
          <a:extLst>
            <a:ext uri="{FF2B5EF4-FFF2-40B4-BE49-F238E27FC236}">
              <a16:creationId xmlns:a16="http://schemas.microsoft.com/office/drawing/2014/main" id="{8E0C8875-0476-4EF1-86D6-CE9FB14B65AD}"/>
            </a:ext>
          </a:extLst>
        </xdr:cNvPr>
        <xdr:cNvSpPr/>
      </xdr:nvSpPr>
      <xdr:spPr>
        <a:xfrm>
          <a:off x="14745906" y="107714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405</xdr:row>
      <xdr:rowOff>223838</xdr:rowOff>
    </xdr:from>
    <xdr:to>
      <xdr:col>3</xdr:col>
      <xdr:colOff>3464475</xdr:colOff>
      <xdr:row>406</xdr:row>
      <xdr:rowOff>263138</xdr:rowOff>
    </xdr:to>
    <xdr:sp macro="[0]!Agregar_Fila_3002" textlink="">
      <xdr:nvSpPr>
        <xdr:cNvPr id="93" name="Rectángulo redondeado 3">
          <a:extLst>
            <a:ext uri="{FF2B5EF4-FFF2-40B4-BE49-F238E27FC236}">
              <a16:creationId xmlns:a16="http://schemas.microsoft.com/office/drawing/2014/main" id="{C876A02E-1BCB-4A27-A243-FB0DC4F07F27}"/>
            </a:ext>
          </a:extLst>
        </xdr:cNvPr>
        <xdr:cNvSpPr/>
      </xdr:nvSpPr>
      <xdr:spPr>
        <a:xfrm>
          <a:off x="7258050" y="1123902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403</xdr:row>
      <xdr:rowOff>81863</xdr:rowOff>
    </xdr:from>
    <xdr:to>
      <xdr:col>8</xdr:col>
      <xdr:colOff>714145</xdr:colOff>
      <xdr:row>403</xdr:row>
      <xdr:rowOff>387863</xdr:rowOff>
    </xdr:to>
    <xdr:sp macro="[0]!Mostrar3002Seccion" textlink="">
      <xdr:nvSpPr>
        <xdr:cNvPr id="94" name="Rectángulo redondeado 8">
          <a:extLst>
            <a:ext uri="{FF2B5EF4-FFF2-40B4-BE49-F238E27FC236}">
              <a16:creationId xmlns:a16="http://schemas.microsoft.com/office/drawing/2014/main" id="{D5CDDB38-83AA-4327-B8A0-9457EAADEC26}"/>
            </a:ext>
          </a:extLst>
        </xdr:cNvPr>
        <xdr:cNvSpPr/>
      </xdr:nvSpPr>
      <xdr:spPr>
        <a:xfrm>
          <a:off x="13337395" y="111295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403</xdr:row>
      <xdr:rowOff>81863</xdr:rowOff>
    </xdr:from>
    <xdr:to>
      <xdr:col>9</xdr:col>
      <xdr:colOff>493881</xdr:colOff>
      <xdr:row>403</xdr:row>
      <xdr:rowOff>387863</xdr:rowOff>
    </xdr:to>
    <xdr:sp macro="[0]!Ocultar3002Seccion" textlink="">
      <xdr:nvSpPr>
        <xdr:cNvPr id="95" name="Rectángulo redondeado 9">
          <a:extLst>
            <a:ext uri="{FF2B5EF4-FFF2-40B4-BE49-F238E27FC236}">
              <a16:creationId xmlns:a16="http://schemas.microsoft.com/office/drawing/2014/main" id="{E293460D-464D-4860-BE61-00F1A7D472BB}"/>
            </a:ext>
          </a:extLst>
        </xdr:cNvPr>
        <xdr:cNvSpPr/>
      </xdr:nvSpPr>
      <xdr:spPr>
        <a:xfrm>
          <a:off x="14745906" y="111295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419</xdr:row>
      <xdr:rowOff>252413</xdr:rowOff>
    </xdr:from>
    <xdr:to>
      <xdr:col>3</xdr:col>
      <xdr:colOff>3464475</xdr:colOff>
      <xdr:row>421</xdr:row>
      <xdr:rowOff>25013</xdr:rowOff>
    </xdr:to>
    <xdr:sp macro="[0]!Agregar_Fila_3003" textlink="">
      <xdr:nvSpPr>
        <xdr:cNvPr id="99" name="Rectángulo redondeado 3">
          <a:extLst>
            <a:ext uri="{FF2B5EF4-FFF2-40B4-BE49-F238E27FC236}">
              <a16:creationId xmlns:a16="http://schemas.microsoft.com/office/drawing/2014/main" id="{5388F369-3DB2-4337-B34B-DAB1FA9FB90D}"/>
            </a:ext>
          </a:extLst>
        </xdr:cNvPr>
        <xdr:cNvSpPr/>
      </xdr:nvSpPr>
      <xdr:spPr>
        <a:xfrm>
          <a:off x="7258050" y="1162669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417</xdr:row>
      <xdr:rowOff>81863</xdr:rowOff>
    </xdr:from>
    <xdr:to>
      <xdr:col>8</xdr:col>
      <xdr:colOff>714145</xdr:colOff>
      <xdr:row>417</xdr:row>
      <xdr:rowOff>387863</xdr:rowOff>
    </xdr:to>
    <xdr:sp macro="[0]!Mostrar3003Seccion" textlink="">
      <xdr:nvSpPr>
        <xdr:cNvPr id="100" name="Rectángulo redondeado 8">
          <a:extLst>
            <a:ext uri="{FF2B5EF4-FFF2-40B4-BE49-F238E27FC236}">
              <a16:creationId xmlns:a16="http://schemas.microsoft.com/office/drawing/2014/main" id="{688E3FB4-0580-4CDE-8B37-11C6E2F3D7C9}"/>
            </a:ext>
          </a:extLst>
        </xdr:cNvPr>
        <xdr:cNvSpPr/>
      </xdr:nvSpPr>
      <xdr:spPr>
        <a:xfrm>
          <a:off x="13337395" y="114877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417</xdr:row>
      <xdr:rowOff>81863</xdr:rowOff>
    </xdr:from>
    <xdr:to>
      <xdr:col>9</xdr:col>
      <xdr:colOff>493881</xdr:colOff>
      <xdr:row>417</xdr:row>
      <xdr:rowOff>387863</xdr:rowOff>
    </xdr:to>
    <xdr:sp macro="[0]!Ocultar3003Seccion" textlink="">
      <xdr:nvSpPr>
        <xdr:cNvPr id="101" name="Rectángulo redondeado 9">
          <a:extLst>
            <a:ext uri="{FF2B5EF4-FFF2-40B4-BE49-F238E27FC236}">
              <a16:creationId xmlns:a16="http://schemas.microsoft.com/office/drawing/2014/main" id="{51B2DB4A-0CDB-4DC3-B7D9-633ED773DFD4}"/>
            </a:ext>
          </a:extLst>
        </xdr:cNvPr>
        <xdr:cNvSpPr/>
      </xdr:nvSpPr>
      <xdr:spPr>
        <a:xfrm>
          <a:off x="14745906" y="114877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433</xdr:row>
      <xdr:rowOff>261938</xdr:rowOff>
    </xdr:from>
    <xdr:to>
      <xdr:col>3</xdr:col>
      <xdr:colOff>3464475</xdr:colOff>
      <xdr:row>435</xdr:row>
      <xdr:rowOff>34538</xdr:rowOff>
    </xdr:to>
    <xdr:sp macro="[0]!Agregar_Fila_3004" textlink="">
      <xdr:nvSpPr>
        <xdr:cNvPr id="105" name="Rectángulo redondeado 3">
          <a:extLst>
            <a:ext uri="{FF2B5EF4-FFF2-40B4-BE49-F238E27FC236}">
              <a16:creationId xmlns:a16="http://schemas.microsoft.com/office/drawing/2014/main" id="{8F209213-C0C5-4CF2-8F34-B7ED930ECF1C}"/>
            </a:ext>
          </a:extLst>
        </xdr:cNvPr>
        <xdr:cNvSpPr/>
      </xdr:nvSpPr>
      <xdr:spPr>
        <a:xfrm>
          <a:off x="7258050" y="12012453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431</xdr:row>
      <xdr:rowOff>81863</xdr:rowOff>
    </xdr:from>
    <xdr:to>
      <xdr:col>8</xdr:col>
      <xdr:colOff>714145</xdr:colOff>
      <xdr:row>431</xdr:row>
      <xdr:rowOff>387863</xdr:rowOff>
    </xdr:to>
    <xdr:sp macro="[0]!Mostrar3004Seccion" textlink="">
      <xdr:nvSpPr>
        <xdr:cNvPr id="106" name="Rectángulo redondeado 8">
          <a:extLst>
            <a:ext uri="{FF2B5EF4-FFF2-40B4-BE49-F238E27FC236}">
              <a16:creationId xmlns:a16="http://schemas.microsoft.com/office/drawing/2014/main" id="{6FE97FD9-B845-422A-B7A4-C35F871D4A23}"/>
            </a:ext>
          </a:extLst>
        </xdr:cNvPr>
        <xdr:cNvSpPr/>
      </xdr:nvSpPr>
      <xdr:spPr>
        <a:xfrm>
          <a:off x="13337395" y="11845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431</xdr:row>
      <xdr:rowOff>81863</xdr:rowOff>
    </xdr:from>
    <xdr:to>
      <xdr:col>9</xdr:col>
      <xdr:colOff>493881</xdr:colOff>
      <xdr:row>431</xdr:row>
      <xdr:rowOff>387863</xdr:rowOff>
    </xdr:to>
    <xdr:sp macro="[0]!Ocultar3004Seccion" textlink="">
      <xdr:nvSpPr>
        <xdr:cNvPr id="107" name="Rectángulo redondeado 9">
          <a:extLst>
            <a:ext uri="{FF2B5EF4-FFF2-40B4-BE49-F238E27FC236}">
              <a16:creationId xmlns:a16="http://schemas.microsoft.com/office/drawing/2014/main" id="{8BAF0C26-18E7-46E0-A2E8-348F3A316566}"/>
            </a:ext>
          </a:extLst>
        </xdr:cNvPr>
        <xdr:cNvSpPr/>
      </xdr:nvSpPr>
      <xdr:spPr>
        <a:xfrm>
          <a:off x="14745906" y="11845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461</xdr:row>
      <xdr:rowOff>242888</xdr:rowOff>
    </xdr:from>
    <xdr:to>
      <xdr:col>3</xdr:col>
      <xdr:colOff>3464475</xdr:colOff>
      <xdr:row>463</xdr:row>
      <xdr:rowOff>15488</xdr:rowOff>
    </xdr:to>
    <xdr:sp macro="[0]!Agregar_Fila_3006" textlink="">
      <xdr:nvSpPr>
        <xdr:cNvPr id="111" name="Rectángulo redondeado 3">
          <a:extLst>
            <a:ext uri="{FF2B5EF4-FFF2-40B4-BE49-F238E27FC236}">
              <a16:creationId xmlns:a16="http://schemas.microsoft.com/office/drawing/2014/main" id="{A59525EE-1988-4857-86E9-A98D0EC2E9CD}"/>
            </a:ext>
          </a:extLst>
        </xdr:cNvPr>
        <xdr:cNvSpPr/>
      </xdr:nvSpPr>
      <xdr:spPr>
        <a:xfrm>
          <a:off x="7258050" y="127801688"/>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459</xdr:row>
      <xdr:rowOff>81863</xdr:rowOff>
    </xdr:from>
    <xdr:to>
      <xdr:col>8</xdr:col>
      <xdr:colOff>714145</xdr:colOff>
      <xdr:row>459</xdr:row>
      <xdr:rowOff>387863</xdr:rowOff>
    </xdr:to>
    <xdr:sp macro="[0]!Mostrar3006Seccion" textlink="">
      <xdr:nvSpPr>
        <xdr:cNvPr id="112" name="Rectángulo redondeado 8">
          <a:extLst>
            <a:ext uri="{FF2B5EF4-FFF2-40B4-BE49-F238E27FC236}">
              <a16:creationId xmlns:a16="http://schemas.microsoft.com/office/drawing/2014/main" id="{905F36FB-7965-4B06-9CE2-ECA705FDE7A7}"/>
            </a:ext>
          </a:extLst>
        </xdr:cNvPr>
        <xdr:cNvSpPr/>
      </xdr:nvSpPr>
      <xdr:spPr>
        <a:xfrm>
          <a:off x="13337395" y="125621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459</xdr:row>
      <xdr:rowOff>81863</xdr:rowOff>
    </xdr:from>
    <xdr:to>
      <xdr:col>9</xdr:col>
      <xdr:colOff>493881</xdr:colOff>
      <xdr:row>459</xdr:row>
      <xdr:rowOff>387863</xdr:rowOff>
    </xdr:to>
    <xdr:sp macro="[0]!Ocultar3006Seccion" textlink="">
      <xdr:nvSpPr>
        <xdr:cNvPr id="113" name="Rectángulo redondeado 9">
          <a:extLst>
            <a:ext uri="{FF2B5EF4-FFF2-40B4-BE49-F238E27FC236}">
              <a16:creationId xmlns:a16="http://schemas.microsoft.com/office/drawing/2014/main" id="{D684C134-4490-4742-A34C-E9EA085750DC}"/>
            </a:ext>
          </a:extLst>
        </xdr:cNvPr>
        <xdr:cNvSpPr/>
      </xdr:nvSpPr>
      <xdr:spPr>
        <a:xfrm>
          <a:off x="14745906" y="125621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1412095</xdr:colOff>
      <xdr:row>879</xdr:row>
      <xdr:rowOff>81863</xdr:rowOff>
    </xdr:from>
    <xdr:to>
      <xdr:col>8</xdr:col>
      <xdr:colOff>733195</xdr:colOff>
      <xdr:row>879</xdr:row>
      <xdr:rowOff>387863</xdr:rowOff>
    </xdr:to>
    <xdr:sp macro="[0]!Mostrar5000Seccion" textlink="">
      <xdr:nvSpPr>
        <xdr:cNvPr id="114" name="Rectángulo redondeado 8">
          <a:extLst>
            <a:ext uri="{FF2B5EF4-FFF2-40B4-BE49-F238E27FC236}">
              <a16:creationId xmlns:a16="http://schemas.microsoft.com/office/drawing/2014/main" id="{ADB21684-A523-49D3-A985-2407D1087D76}"/>
            </a:ext>
          </a:extLst>
        </xdr:cNvPr>
        <xdr:cNvSpPr/>
      </xdr:nvSpPr>
      <xdr:spPr>
        <a:xfrm>
          <a:off x="13356445" y="136289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879</xdr:row>
      <xdr:rowOff>81863</xdr:rowOff>
    </xdr:from>
    <xdr:to>
      <xdr:col>9</xdr:col>
      <xdr:colOff>512931</xdr:colOff>
      <xdr:row>879</xdr:row>
      <xdr:rowOff>387863</xdr:rowOff>
    </xdr:to>
    <xdr:sp macro="[0]!Ocultar5000Seccion" textlink="">
      <xdr:nvSpPr>
        <xdr:cNvPr id="115" name="Rectángulo redondeado 9">
          <a:extLst>
            <a:ext uri="{FF2B5EF4-FFF2-40B4-BE49-F238E27FC236}">
              <a16:creationId xmlns:a16="http://schemas.microsoft.com/office/drawing/2014/main" id="{77441CE8-7E02-48F2-BFCC-9580C5D73670}"/>
            </a:ext>
          </a:extLst>
        </xdr:cNvPr>
        <xdr:cNvSpPr/>
      </xdr:nvSpPr>
      <xdr:spPr>
        <a:xfrm>
          <a:off x="14764956" y="136289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3</xdr:col>
      <xdr:colOff>2276475</xdr:colOff>
      <xdr:row>447</xdr:row>
      <xdr:rowOff>252413</xdr:rowOff>
    </xdr:from>
    <xdr:to>
      <xdr:col>3</xdr:col>
      <xdr:colOff>3464475</xdr:colOff>
      <xdr:row>449</xdr:row>
      <xdr:rowOff>25013</xdr:rowOff>
    </xdr:to>
    <xdr:sp macro="[0]!Agregar_Fila_3005" textlink="">
      <xdr:nvSpPr>
        <xdr:cNvPr id="119" name="Rectángulo redondeado 3">
          <a:extLst>
            <a:ext uri="{FF2B5EF4-FFF2-40B4-BE49-F238E27FC236}">
              <a16:creationId xmlns:a16="http://schemas.microsoft.com/office/drawing/2014/main" id="{71E63DD0-F1AA-43CD-A47A-0A6273580849}"/>
            </a:ext>
          </a:extLst>
        </xdr:cNvPr>
        <xdr:cNvSpPr/>
      </xdr:nvSpPr>
      <xdr:spPr>
        <a:xfrm>
          <a:off x="7258050" y="123963113"/>
          <a:ext cx="1188000" cy="306000"/>
        </a:xfrm>
        <a:prstGeom prst="roundRect">
          <a:avLst/>
        </a:prstGeom>
        <a:solidFill>
          <a:schemeClr val="tx1">
            <a:lumMod val="75000"/>
            <a:lumOff val="25000"/>
          </a:schemeClr>
        </a:solidFill>
        <a:ln>
          <a:solidFill>
            <a:schemeClr val="tx1">
              <a:lumMod val="75000"/>
              <a:lumOff val="2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0">
              <a:solidFill>
                <a:schemeClr val="bg1"/>
              </a:solidFill>
              <a:latin typeface="Candara" panose="020E0502030303020204" pitchFamily="34" charset="0"/>
            </a:rPr>
            <a:t>Agregar</a:t>
          </a:r>
          <a:r>
            <a:rPr lang="es-ES" sz="1200" b="0" baseline="0">
              <a:solidFill>
                <a:schemeClr val="bg1"/>
              </a:solidFill>
              <a:latin typeface="Candara" panose="020E0502030303020204" pitchFamily="34" charset="0"/>
            </a:rPr>
            <a:t> fila</a:t>
          </a:r>
          <a:endParaRPr lang="es-ES" sz="1200" b="0">
            <a:solidFill>
              <a:schemeClr val="bg1"/>
            </a:solidFill>
            <a:latin typeface="Candara" panose="020E0502030303020204" pitchFamily="34" charset="0"/>
          </a:endParaRPr>
        </a:p>
      </xdr:txBody>
    </xdr:sp>
    <xdr:clientData/>
  </xdr:twoCellAnchor>
  <xdr:twoCellAnchor>
    <xdr:from>
      <xdr:col>6</xdr:col>
      <xdr:colOff>1393045</xdr:colOff>
      <xdr:row>445</xdr:row>
      <xdr:rowOff>81863</xdr:rowOff>
    </xdr:from>
    <xdr:to>
      <xdr:col>8</xdr:col>
      <xdr:colOff>714145</xdr:colOff>
      <xdr:row>445</xdr:row>
      <xdr:rowOff>387863</xdr:rowOff>
    </xdr:to>
    <xdr:sp macro="[0]!Mostrar3005Seccion" textlink="">
      <xdr:nvSpPr>
        <xdr:cNvPr id="120" name="Rectángulo redondeado 8">
          <a:extLst>
            <a:ext uri="{FF2B5EF4-FFF2-40B4-BE49-F238E27FC236}">
              <a16:creationId xmlns:a16="http://schemas.microsoft.com/office/drawing/2014/main" id="{F6765C2E-8075-47B4-9650-9DF52A57BBF0}"/>
            </a:ext>
          </a:extLst>
        </xdr:cNvPr>
        <xdr:cNvSpPr/>
      </xdr:nvSpPr>
      <xdr:spPr>
        <a:xfrm>
          <a:off x="13337395" y="122039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934656</xdr:colOff>
      <xdr:row>445</xdr:row>
      <xdr:rowOff>81863</xdr:rowOff>
    </xdr:from>
    <xdr:to>
      <xdr:col>9</xdr:col>
      <xdr:colOff>493881</xdr:colOff>
      <xdr:row>445</xdr:row>
      <xdr:rowOff>387863</xdr:rowOff>
    </xdr:to>
    <xdr:sp macro="[0]!Ocultar3005Seccion" textlink="">
      <xdr:nvSpPr>
        <xdr:cNvPr id="121" name="Rectángulo redondeado 9">
          <a:extLst>
            <a:ext uri="{FF2B5EF4-FFF2-40B4-BE49-F238E27FC236}">
              <a16:creationId xmlns:a16="http://schemas.microsoft.com/office/drawing/2014/main" id="{00EA2DE2-BF51-4FBE-BA45-C28A73363B03}"/>
            </a:ext>
          </a:extLst>
        </xdr:cNvPr>
        <xdr:cNvSpPr/>
      </xdr:nvSpPr>
      <xdr:spPr>
        <a:xfrm>
          <a:off x="14745906" y="122039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1412095</xdr:colOff>
      <xdr:row>881</xdr:row>
      <xdr:rowOff>81863</xdr:rowOff>
    </xdr:from>
    <xdr:to>
      <xdr:col>8</xdr:col>
      <xdr:colOff>733195</xdr:colOff>
      <xdr:row>881</xdr:row>
      <xdr:rowOff>387863</xdr:rowOff>
    </xdr:to>
    <xdr:sp macro="[0]!Mostrar5001Seccion" textlink="">
      <xdr:nvSpPr>
        <xdr:cNvPr id="124" name="Rectángulo redondeado 8">
          <a:extLst>
            <a:ext uri="{FF2B5EF4-FFF2-40B4-BE49-F238E27FC236}">
              <a16:creationId xmlns:a16="http://schemas.microsoft.com/office/drawing/2014/main" id="{C55C33A1-AC34-4226-B0A2-819AF7F5B7F5}"/>
            </a:ext>
          </a:extLst>
        </xdr:cNvPr>
        <xdr:cNvSpPr/>
      </xdr:nvSpPr>
      <xdr:spPr>
        <a:xfrm>
          <a:off x="13356445" y="136975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881</xdr:row>
      <xdr:rowOff>81863</xdr:rowOff>
    </xdr:from>
    <xdr:to>
      <xdr:col>9</xdr:col>
      <xdr:colOff>512931</xdr:colOff>
      <xdr:row>881</xdr:row>
      <xdr:rowOff>387863</xdr:rowOff>
    </xdr:to>
    <xdr:sp macro="[0]!Ocultar5001Seccion" textlink="">
      <xdr:nvSpPr>
        <xdr:cNvPr id="125" name="Rectángulo redondeado 9">
          <a:extLst>
            <a:ext uri="{FF2B5EF4-FFF2-40B4-BE49-F238E27FC236}">
              <a16:creationId xmlns:a16="http://schemas.microsoft.com/office/drawing/2014/main" id="{9AA73FBF-941B-4B10-95D3-B19E074C7F44}"/>
            </a:ext>
          </a:extLst>
        </xdr:cNvPr>
        <xdr:cNvSpPr/>
      </xdr:nvSpPr>
      <xdr:spPr>
        <a:xfrm>
          <a:off x="14764956" y="1369751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1412095</xdr:colOff>
      <xdr:row>916</xdr:row>
      <xdr:rowOff>81863</xdr:rowOff>
    </xdr:from>
    <xdr:to>
      <xdr:col>8</xdr:col>
      <xdr:colOff>733195</xdr:colOff>
      <xdr:row>916</xdr:row>
      <xdr:rowOff>387863</xdr:rowOff>
    </xdr:to>
    <xdr:sp macro="[0]!Mostrar5002Seccion" textlink="">
      <xdr:nvSpPr>
        <xdr:cNvPr id="136" name="Rectángulo redondeado 8">
          <a:extLst>
            <a:ext uri="{FF2B5EF4-FFF2-40B4-BE49-F238E27FC236}">
              <a16:creationId xmlns:a16="http://schemas.microsoft.com/office/drawing/2014/main" id="{D3784BC4-4077-4602-9F44-B5E1275820DD}"/>
            </a:ext>
          </a:extLst>
        </xdr:cNvPr>
        <xdr:cNvSpPr/>
      </xdr:nvSpPr>
      <xdr:spPr>
        <a:xfrm>
          <a:off x="13356445" y="145700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953706</xdr:colOff>
      <xdr:row>916</xdr:row>
      <xdr:rowOff>81863</xdr:rowOff>
    </xdr:from>
    <xdr:to>
      <xdr:col>9</xdr:col>
      <xdr:colOff>512931</xdr:colOff>
      <xdr:row>916</xdr:row>
      <xdr:rowOff>387863</xdr:rowOff>
    </xdr:to>
    <xdr:sp macro="[0]!Ocultar5002Seccion" textlink="">
      <xdr:nvSpPr>
        <xdr:cNvPr id="137" name="Rectángulo redondeado 9">
          <a:extLst>
            <a:ext uri="{FF2B5EF4-FFF2-40B4-BE49-F238E27FC236}">
              <a16:creationId xmlns:a16="http://schemas.microsoft.com/office/drawing/2014/main" id="{376F9F35-C156-42FC-872E-90F39480AAF1}"/>
            </a:ext>
          </a:extLst>
        </xdr:cNvPr>
        <xdr:cNvSpPr/>
      </xdr:nvSpPr>
      <xdr:spPr>
        <a:xfrm>
          <a:off x="14764956" y="1457000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5</xdr:col>
      <xdr:colOff>57150</xdr:colOff>
      <xdr:row>904</xdr:row>
      <xdr:rowOff>142875</xdr:rowOff>
    </xdr:from>
    <xdr:to>
      <xdr:col>5</xdr:col>
      <xdr:colOff>1790700</xdr:colOff>
      <xdr:row>914</xdr:row>
      <xdr:rowOff>200025</xdr:rowOff>
    </xdr:to>
    <xdr:cxnSp macro="">
      <xdr:nvCxnSpPr>
        <xdr:cNvPr id="127" name="Conector recto de flecha 126">
          <a:extLst>
            <a:ext uri="{FF2B5EF4-FFF2-40B4-BE49-F238E27FC236}">
              <a16:creationId xmlns:a16="http://schemas.microsoft.com/office/drawing/2014/main" id="{9FCBB175-7E99-4D35-6FE3-52C72B174C40}"/>
            </a:ext>
          </a:extLst>
        </xdr:cNvPr>
        <xdr:cNvCxnSpPr/>
      </xdr:nvCxnSpPr>
      <xdr:spPr>
        <a:xfrm flipV="1">
          <a:off x="10039350" y="142713075"/>
          <a:ext cx="1733550" cy="24003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908</xdr:row>
      <xdr:rowOff>28575</xdr:rowOff>
    </xdr:from>
    <xdr:to>
      <xdr:col>5</xdr:col>
      <xdr:colOff>1762125</xdr:colOff>
      <xdr:row>914</xdr:row>
      <xdr:rowOff>200025</xdr:rowOff>
    </xdr:to>
    <xdr:cxnSp macro="">
      <xdr:nvCxnSpPr>
        <xdr:cNvPr id="131" name="Conector recto de flecha 130">
          <a:extLst>
            <a:ext uri="{FF2B5EF4-FFF2-40B4-BE49-F238E27FC236}">
              <a16:creationId xmlns:a16="http://schemas.microsoft.com/office/drawing/2014/main" id="{D1104AFF-0666-412B-8BB2-BED9E95A763C}"/>
            </a:ext>
          </a:extLst>
        </xdr:cNvPr>
        <xdr:cNvCxnSpPr/>
      </xdr:nvCxnSpPr>
      <xdr:spPr>
        <a:xfrm flipV="1">
          <a:off x="10039350" y="143551275"/>
          <a:ext cx="1704975" cy="15621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911</xdr:row>
      <xdr:rowOff>209550</xdr:rowOff>
    </xdr:from>
    <xdr:to>
      <xdr:col>5</xdr:col>
      <xdr:colOff>1781175</xdr:colOff>
      <xdr:row>914</xdr:row>
      <xdr:rowOff>200025</xdr:rowOff>
    </xdr:to>
    <xdr:cxnSp macro="">
      <xdr:nvCxnSpPr>
        <xdr:cNvPr id="138" name="Conector recto de flecha 137">
          <a:extLst>
            <a:ext uri="{FF2B5EF4-FFF2-40B4-BE49-F238E27FC236}">
              <a16:creationId xmlns:a16="http://schemas.microsoft.com/office/drawing/2014/main" id="{71CBCB6C-247D-4F4A-BC47-3CACBC2EFDFF}"/>
            </a:ext>
          </a:extLst>
        </xdr:cNvPr>
        <xdr:cNvCxnSpPr/>
      </xdr:nvCxnSpPr>
      <xdr:spPr>
        <a:xfrm flipV="1">
          <a:off x="10039350" y="144437100"/>
          <a:ext cx="1724025" cy="6762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934</xdr:row>
      <xdr:rowOff>104775</xdr:rowOff>
    </xdr:from>
    <xdr:to>
      <xdr:col>5</xdr:col>
      <xdr:colOff>1790700</xdr:colOff>
      <xdr:row>944</xdr:row>
      <xdr:rowOff>219075</xdr:rowOff>
    </xdr:to>
    <xdr:cxnSp macro="">
      <xdr:nvCxnSpPr>
        <xdr:cNvPr id="142" name="Conector recto de flecha 141">
          <a:extLst>
            <a:ext uri="{FF2B5EF4-FFF2-40B4-BE49-F238E27FC236}">
              <a16:creationId xmlns:a16="http://schemas.microsoft.com/office/drawing/2014/main" id="{7A79C50D-E759-4D07-AD2D-299F97888834}"/>
            </a:ext>
          </a:extLst>
        </xdr:cNvPr>
        <xdr:cNvCxnSpPr/>
      </xdr:nvCxnSpPr>
      <xdr:spPr>
        <a:xfrm flipV="1">
          <a:off x="10039350" y="150066375"/>
          <a:ext cx="1733550" cy="24003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938</xdr:row>
      <xdr:rowOff>28575</xdr:rowOff>
    </xdr:from>
    <xdr:to>
      <xdr:col>5</xdr:col>
      <xdr:colOff>1762125</xdr:colOff>
      <xdr:row>944</xdr:row>
      <xdr:rowOff>219075</xdr:rowOff>
    </xdr:to>
    <xdr:cxnSp macro="">
      <xdr:nvCxnSpPr>
        <xdr:cNvPr id="143" name="Conector recto de flecha 142">
          <a:extLst>
            <a:ext uri="{FF2B5EF4-FFF2-40B4-BE49-F238E27FC236}">
              <a16:creationId xmlns:a16="http://schemas.microsoft.com/office/drawing/2014/main" id="{06CCF0D6-F94D-41F0-9644-76FF95E54723}"/>
            </a:ext>
          </a:extLst>
        </xdr:cNvPr>
        <xdr:cNvCxnSpPr/>
      </xdr:nvCxnSpPr>
      <xdr:spPr>
        <a:xfrm flipV="1">
          <a:off x="10039350" y="150904575"/>
          <a:ext cx="1704975" cy="156210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942</xdr:row>
      <xdr:rowOff>0</xdr:rowOff>
    </xdr:from>
    <xdr:to>
      <xdr:col>5</xdr:col>
      <xdr:colOff>1781175</xdr:colOff>
      <xdr:row>944</xdr:row>
      <xdr:rowOff>219075</xdr:rowOff>
    </xdr:to>
    <xdr:cxnSp macro="">
      <xdr:nvCxnSpPr>
        <xdr:cNvPr id="144" name="Conector recto de flecha 143">
          <a:extLst>
            <a:ext uri="{FF2B5EF4-FFF2-40B4-BE49-F238E27FC236}">
              <a16:creationId xmlns:a16="http://schemas.microsoft.com/office/drawing/2014/main" id="{26D37D47-1F0E-4004-A0BF-8FB690A8CB48}"/>
            </a:ext>
          </a:extLst>
        </xdr:cNvPr>
        <xdr:cNvCxnSpPr/>
      </xdr:nvCxnSpPr>
      <xdr:spPr>
        <a:xfrm flipV="1">
          <a:off x="10039350" y="151790400"/>
          <a:ext cx="1724025" cy="6762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1402570</xdr:colOff>
      <xdr:row>946</xdr:row>
      <xdr:rowOff>81863</xdr:rowOff>
    </xdr:from>
    <xdr:to>
      <xdr:col>8</xdr:col>
      <xdr:colOff>723670</xdr:colOff>
      <xdr:row>946</xdr:row>
      <xdr:rowOff>387863</xdr:rowOff>
    </xdr:to>
    <xdr:sp macro="[0]!Mostrar6000Seccion" textlink="">
      <xdr:nvSpPr>
        <xdr:cNvPr id="149" name="Rectángulo redondeado 8">
          <a:extLst>
            <a:ext uri="{FF2B5EF4-FFF2-40B4-BE49-F238E27FC236}">
              <a16:creationId xmlns:a16="http://schemas.microsoft.com/office/drawing/2014/main" id="{6D4FA716-CE0D-4DDC-8305-0664E2DFDF45}"/>
            </a:ext>
          </a:extLst>
        </xdr:cNvPr>
        <xdr:cNvSpPr/>
      </xdr:nvSpPr>
      <xdr:spPr>
        <a:xfrm>
          <a:off x="13346920" y="1530343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946</xdr:row>
      <xdr:rowOff>81863</xdr:rowOff>
    </xdr:from>
    <xdr:to>
      <xdr:col>9</xdr:col>
      <xdr:colOff>503406</xdr:colOff>
      <xdr:row>946</xdr:row>
      <xdr:rowOff>387863</xdr:rowOff>
    </xdr:to>
    <xdr:sp macro="[0]!Ocultar6000Seccion" textlink="">
      <xdr:nvSpPr>
        <xdr:cNvPr id="150" name="Rectángulo redondeado 9">
          <a:extLst>
            <a:ext uri="{FF2B5EF4-FFF2-40B4-BE49-F238E27FC236}">
              <a16:creationId xmlns:a16="http://schemas.microsoft.com/office/drawing/2014/main" id="{76FE5535-BC04-4FCD-8466-487F783B2FFD}"/>
            </a:ext>
          </a:extLst>
        </xdr:cNvPr>
        <xdr:cNvSpPr/>
      </xdr:nvSpPr>
      <xdr:spPr>
        <a:xfrm>
          <a:off x="14755431" y="1530343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948</xdr:row>
      <xdr:rowOff>81863</xdr:rowOff>
    </xdr:from>
    <xdr:to>
      <xdr:col>8</xdr:col>
      <xdr:colOff>723670</xdr:colOff>
      <xdr:row>948</xdr:row>
      <xdr:rowOff>387863</xdr:rowOff>
    </xdr:to>
    <xdr:sp macro="[0]!Mostrar6001Seccion" textlink="">
      <xdr:nvSpPr>
        <xdr:cNvPr id="139" name="Rectángulo redondeado 8">
          <a:extLst>
            <a:ext uri="{FF2B5EF4-FFF2-40B4-BE49-F238E27FC236}">
              <a16:creationId xmlns:a16="http://schemas.microsoft.com/office/drawing/2014/main" id="{FE38A496-CF4B-4D98-9FB2-BCD1296434AE}"/>
            </a:ext>
          </a:extLst>
        </xdr:cNvPr>
        <xdr:cNvSpPr/>
      </xdr:nvSpPr>
      <xdr:spPr>
        <a:xfrm>
          <a:off x="13346920" y="1537201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948</xdr:row>
      <xdr:rowOff>81863</xdr:rowOff>
    </xdr:from>
    <xdr:to>
      <xdr:col>9</xdr:col>
      <xdr:colOff>503406</xdr:colOff>
      <xdr:row>948</xdr:row>
      <xdr:rowOff>387863</xdr:rowOff>
    </xdr:to>
    <xdr:sp macro="[0]!Ocultar6001Seccion" textlink="">
      <xdr:nvSpPr>
        <xdr:cNvPr id="140" name="Rectángulo redondeado 9">
          <a:extLst>
            <a:ext uri="{FF2B5EF4-FFF2-40B4-BE49-F238E27FC236}">
              <a16:creationId xmlns:a16="http://schemas.microsoft.com/office/drawing/2014/main" id="{A5AD93FC-DA42-48BC-BEB0-68C578B69B7D}"/>
            </a:ext>
          </a:extLst>
        </xdr:cNvPr>
        <xdr:cNvSpPr/>
      </xdr:nvSpPr>
      <xdr:spPr>
        <a:xfrm>
          <a:off x="14755431" y="1537201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968</xdr:row>
      <xdr:rowOff>81863</xdr:rowOff>
    </xdr:from>
    <xdr:to>
      <xdr:col>8</xdr:col>
      <xdr:colOff>723670</xdr:colOff>
      <xdr:row>968</xdr:row>
      <xdr:rowOff>387863</xdr:rowOff>
    </xdr:to>
    <xdr:sp macro="[0]!Mostrar6002Seccion" textlink="">
      <xdr:nvSpPr>
        <xdr:cNvPr id="148" name="Rectángulo redondeado 8">
          <a:extLst>
            <a:ext uri="{FF2B5EF4-FFF2-40B4-BE49-F238E27FC236}">
              <a16:creationId xmlns:a16="http://schemas.microsoft.com/office/drawing/2014/main" id="{B3CC5DEF-6B3E-49B3-843E-FE6854C83B33}"/>
            </a:ext>
          </a:extLst>
        </xdr:cNvPr>
        <xdr:cNvSpPr/>
      </xdr:nvSpPr>
      <xdr:spPr>
        <a:xfrm>
          <a:off x="13346920" y="1570729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968</xdr:row>
      <xdr:rowOff>81863</xdr:rowOff>
    </xdr:from>
    <xdr:to>
      <xdr:col>9</xdr:col>
      <xdr:colOff>503406</xdr:colOff>
      <xdr:row>968</xdr:row>
      <xdr:rowOff>387863</xdr:rowOff>
    </xdr:to>
    <xdr:sp macro="[0]!Ocultar6002Seccion" textlink="">
      <xdr:nvSpPr>
        <xdr:cNvPr id="151" name="Rectángulo redondeado 9">
          <a:extLst>
            <a:ext uri="{FF2B5EF4-FFF2-40B4-BE49-F238E27FC236}">
              <a16:creationId xmlns:a16="http://schemas.microsoft.com/office/drawing/2014/main" id="{E343F380-31EA-4374-9BF9-4DC36E189881}"/>
            </a:ext>
          </a:extLst>
        </xdr:cNvPr>
        <xdr:cNvSpPr/>
      </xdr:nvSpPr>
      <xdr:spPr>
        <a:xfrm>
          <a:off x="14755431" y="1570729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985</xdr:row>
      <xdr:rowOff>81863</xdr:rowOff>
    </xdr:from>
    <xdr:to>
      <xdr:col>8</xdr:col>
      <xdr:colOff>723670</xdr:colOff>
      <xdr:row>985</xdr:row>
      <xdr:rowOff>387863</xdr:rowOff>
    </xdr:to>
    <xdr:sp macro="[0]!Mostrar6003Seccion" textlink="">
      <xdr:nvSpPr>
        <xdr:cNvPr id="154" name="Rectángulo redondeado 8">
          <a:extLst>
            <a:ext uri="{FF2B5EF4-FFF2-40B4-BE49-F238E27FC236}">
              <a16:creationId xmlns:a16="http://schemas.microsoft.com/office/drawing/2014/main" id="{BD6E804E-D98F-4417-80F8-D4B936640995}"/>
            </a:ext>
          </a:extLst>
        </xdr:cNvPr>
        <xdr:cNvSpPr/>
      </xdr:nvSpPr>
      <xdr:spPr>
        <a:xfrm>
          <a:off x="13346920" y="1604638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985</xdr:row>
      <xdr:rowOff>81863</xdr:rowOff>
    </xdr:from>
    <xdr:to>
      <xdr:col>9</xdr:col>
      <xdr:colOff>503406</xdr:colOff>
      <xdr:row>985</xdr:row>
      <xdr:rowOff>387863</xdr:rowOff>
    </xdr:to>
    <xdr:sp macro="[0]!Ocultar6003Seccion" textlink="">
      <xdr:nvSpPr>
        <xdr:cNvPr id="155" name="Rectángulo redondeado 9">
          <a:extLst>
            <a:ext uri="{FF2B5EF4-FFF2-40B4-BE49-F238E27FC236}">
              <a16:creationId xmlns:a16="http://schemas.microsoft.com/office/drawing/2014/main" id="{32582235-DAB3-4BA5-8C61-B9D900B30FD9}"/>
            </a:ext>
          </a:extLst>
        </xdr:cNvPr>
        <xdr:cNvSpPr/>
      </xdr:nvSpPr>
      <xdr:spPr>
        <a:xfrm>
          <a:off x="14755431" y="16046381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473</xdr:row>
      <xdr:rowOff>81863</xdr:rowOff>
    </xdr:from>
    <xdr:to>
      <xdr:col>8</xdr:col>
      <xdr:colOff>723670</xdr:colOff>
      <xdr:row>473</xdr:row>
      <xdr:rowOff>387863</xdr:rowOff>
    </xdr:to>
    <xdr:sp macro="[0]!Mostrar4000Seccion" textlink="">
      <xdr:nvSpPr>
        <xdr:cNvPr id="156" name="Rectángulo redondeado 8">
          <a:extLst>
            <a:ext uri="{FF2B5EF4-FFF2-40B4-BE49-F238E27FC236}">
              <a16:creationId xmlns:a16="http://schemas.microsoft.com/office/drawing/2014/main" id="{825316D7-8EF9-4E7B-9A36-10FC90B33D62}"/>
            </a:ext>
          </a:extLst>
        </xdr:cNvPr>
        <xdr:cNvSpPr/>
      </xdr:nvSpPr>
      <xdr:spPr>
        <a:xfrm>
          <a:off x="13346920" y="13080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473</xdr:row>
      <xdr:rowOff>81863</xdr:rowOff>
    </xdr:from>
    <xdr:to>
      <xdr:col>9</xdr:col>
      <xdr:colOff>503406</xdr:colOff>
      <xdr:row>473</xdr:row>
      <xdr:rowOff>387863</xdr:rowOff>
    </xdr:to>
    <xdr:sp macro="[0]!Ocultar4000Seccion" textlink="">
      <xdr:nvSpPr>
        <xdr:cNvPr id="157" name="Rectángulo redondeado 9">
          <a:extLst>
            <a:ext uri="{FF2B5EF4-FFF2-40B4-BE49-F238E27FC236}">
              <a16:creationId xmlns:a16="http://schemas.microsoft.com/office/drawing/2014/main" id="{5C86D839-B6DD-45D3-9231-32D9BDA65A82}"/>
            </a:ext>
          </a:extLst>
        </xdr:cNvPr>
        <xdr:cNvSpPr/>
      </xdr:nvSpPr>
      <xdr:spPr>
        <a:xfrm>
          <a:off x="14755431" y="130802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477</xdr:row>
      <xdr:rowOff>81863</xdr:rowOff>
    </xdr:from>
    <xdr:to>
      <xdr:col>8</xdr:col>
      <xdr:colOff>723670</xdr:colOff>
      <xdr:row>477</xdr:row>
      <xdr:rowOff>387863</xdr:rowOff>
    </xdr:to>
    <xdr:sp macro="[0]!Mostrar4002Seccion" textlink="">
      <xdr:nvSpPr>
        <xdr:cNvPr id="96" name="Rectángulo redondeado 8">
          <a:extLst>
            <a:ext uri="{FF2B5EF4-FFF2-40B4-BE49-F238E27FC236}">
              <a16:creationId xmlns:a16="http://schemas.microsoft.com/office/drawing/2014/main" id="{4890F25F-9217-4867-97C4-BEB294629AB2}"/>
            </a:ext>
          </a:extLst>
        </xdr:cNvPr>
        <xdr:cNvSpPr/>
      </xdr:nvSpPr>
      <xdr:spPr>
        <a:xfrm>
          <a:off x="13346920" y="644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477</xdr:row>
      <xdr:rowOff>81863</xdr:rowOff>
    </xdr:from>
    <xdr:to>
      <xdr:col>9</xdr:col>
      <xdr:colOff>503406</xdr:colOff>
      <xdr:row>477</xdr:row>
      <xdr:rowOff>387863</xdr:rowOff>
    </xdr:to>
    <xdr:sp macro="[0]!Ocultar4002Seccion" textlink="">
      <xdr:nvSpPr>
        <xdr:cNvPr id="97" name="Rectángulo redondeado 9">
          <a:extLst>
            <a:ext uri="{FF2B5EF4-FFF2-40B4-BE49-F238E27FC236}">
              <a16:creationId xmlns:a16="http://schemas.microsoft.com/office/drawing/2014/main" id="{B3B76D26-9CD8-4B87-9BF3-76AAAD217B24}"/>
            </a:ext>
          </a:extLst>
        </xdr:cNvPr>
        <xdr:cNvSpPr/>
      </xdr:nvSpPr>
      <xdr:spPr>
        <a:xfrm>
          <a:off x="14755431" y="6444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517</xdr:row>
      <xdr:rowOff>81863</xdr:rowOff>
    </xdr:from>
    <xdr:to>
      <xdr:col>8</xdr:col>
      <xdr:colOff>723670</xdr:colOff>
      <xdr:row>517</xdr:row>
      <xdr:rowOff>387863</xdr:rowOff>
    </xdr:to>
    <xdr:sp macro="[0]!Mostrar4003Seccion" textlink="">
      <xdr:nvSpPr>
        <xdr:cNvPr id="98" name="Rectángulo redondeado 8">
          <a:extLst>
            <a:ext uri="{FF2B5EF4-FFF2-40B4-BE49-F238E27FC236}">
              <a16:creationId xmlns:a16="http://schemas.microsoft.com/office/drawing/2014/main" id="{F3433274-45F8-4673-AD61-8C7DEFECF2AB}"/>
            </a:ext>
          </a:extLst>
        </xdr:cNvPr>
        <xdr:cNvSpPr/>
      </xdr:nvSpPr>
      <xdr:spPr>
        <a:xfrm>
          <a:off x="13346920" y="5871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517</xdr:row>
      <xdr:rowOff>81863</xdr:rowOff>
    </xdr:from>
    <xdr:to>
      <xdr:col>9</xdr:col>
      <xdr:colOff>503406</xdr:colOff>
      <xdr:row>517</xdr:row>
      <xdr:rowOff>387863</xdr:rowOff>
    </xdr:to>
    <xdr:sp macro="[0]!Ocultar4003Seccion" textlink="">
      <xdr:nvSpPr>
        <xdr:cNvPr id="102" name="Rectángulo redondeado 9">
          <a:extLst>
            <a:ext uri="{FF2B5EF4-FFF2-40B4-BE49-F238E27FC236}">
              <a16:creationId xmlns:a16="http://schemas.microsoft.com/office/drawing/2014/main" id="{22585D4D-1758-4286-A895-EBC6C8677D1C}"/>
            </a:ext>
          </a:extLst>
        </xdr:cNvPr>
        <xdr:cNvSpPr/>
      </xdr:nvSpPr>
      <xdr:spPr>
        <a:xfrm>
          <a:off x="14755431" y="5871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557</xdr:row>
      <xdr:rowOff>81863</xdr:rowOff>
    </xdr:from>
    <xdr:to>
      <xdr:col>8</xdr:col>
      <xdr:colOff>723670</xdr:colOff>
      <xdr:row>557</xdr:row>
      <xdr:rowOff>387863</xdr:rowOff>
    </xdr:to>
    <xdr:sp macro="[0]!Mostrar4004Seccion" textlink="">
      <xdr:nvSpPr>
        <xdr:cNvPr id="103" name="Rectángulo redondeado 8">
          <a:extLst>
            <a:ext uri="{FF2B5EF4-FFF2-40B4-BE49-F238E27FC236}">
              <a16:creationId xmlns:a16="http://schemas.microsoft.com/office/drawing/2014/main" id="{8F031F52-C5D3-4E6A-8C85-B3D7FDA54705}"/>
            </a:ext>
          </a:extLst>
        </xdr:cNvPr>
        <xdr:cNvSpPr/>
      </xdr:nvSpPr>
      <xdr:spPr>
        <a:xfrm>
          <a:off x="13346920" y="7273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557</xdr:row>
      <xdr:rowOff>81863</xdr:rowOff>
    </xdr:from>
    <xdr:to>
      <xdr:col>9</xdr:col>
      <xdr:colOff>503406</xdr:colOff>
      <xdr:row>557</xdr:row>
      <xdr:rowOff>387863</xdr:rowOff>
    </xdr:to>
    <xdr:sp macro="[0]!Ocultar4004Seccion" textlink="">
      <xdr:nvSpPr>
        <xdr:cNvPr id="104" name="Rectángulo redondeado 9">
          <a:extLst>
            <a:ext uri="{FF2B5EF4-FFF2-40B4-BE49-F238E27FC236}">
              <a16:creationId xmlns:a16="http://schemas.microsoft.com/office/drawing/2014/main" id="{52997335-C03C-459C-B212-189F2D65020A}"/>
            </a:ext>
          </a:extLst>
        </xdr:cNvPr>
        <xdr:cNvSpPr/>
      </xdr:nvSpPr>
      <xdr:spPr>
        <a:xfrm>
          <a:off x="14755431" y="72738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597</xdr:row>
      <xdr:rowOff>81863</xdr:rowOff>
    </xdr:from>
    <xdr:to>
      <xdr:col>8</xdr:col>
      <xdr:colOff>723670</xdr:colOff>
      <xdr:row>597</xdr:row>
      <xdr:rowOff>387863</xdr:rowOff>
    </xdr:to>
    <xdr:sp macro="[0]!Mostrar4005Seccion" textlink="">
      <xdr:nvSpPr>
        <xdr:cNvPr id="108" name="Rectángulo redondeado 8">
          <a:extLst>
            <a:ext uri="{FF2B5EF4-FFF2-40B4-BE49-F238E27FC236}">
              <a16:creationId xmlns:a16="http://schemas.microsoft.com/office/drawing/2014/main" id="{A05E0BD8-4836-4601-A84B-4AF00327928E}"/>
            </a:ext>
          </a:extLst>
        </xdr:cNvPr>
        <xdr:cNvSpPr/>
      </xdr:nvSpPr>
      <xdr:spPr>
        <a:xfrm>
          <a:off x="13346920" y="84130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597</xdr:row>
      <xdr:rowOff>81863</xdr:rowOff>
    </xdr:from>
    <xdr:to>
      <xdr:col>9</xdr:col>
      <xdr:colOff>503406</xdr:colOff>
      <xdr:row>597</xdr:row>
      <xdr:rowOff>387863</xdr:rowOff>
    </xdr:to>
    <xdr:sp macro="[0]!Ocultar4005Seccion" textlink="">
      <xdr:nvSpPr>
        <xdr:cNvPr id="109" name="Rectángulo redondeado 9">
          <a:extLst>
            <a:ext uri="{FF2B5EF4-FFF2-40B4-BE49-F238E27FC236}">
              <a16:creationId xmlns:a16="http://schemas.microsoft.com/office/drawing/2014/main" id="{D2557193-232A-43F6-8C6D-1592CEB9C9BF}"/>
            </a:ext>
          </a:extLst>
        </xdr:cNvPr>
        <xdr:cNvSpPr/>
      </xdr:nvSpPr>
      <xdr:spPr>
        <a:xfrm>
          <a:off x="14755431" y="84130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637</xdr:row>
      <xdr:rowOff>81863</xdr:rowOff>
    </xdr:from>
    <xdr:to>
      <xdr:col>8</xdr:col>
      <xdr:colOff>723670</xdr:colOff>
      <xdr:row>637</xdr:row>
      <xdr:rowOff>387863</xdr:rowOff>
    </xdr:to>
    <xdr:sp macro="[0]!Mostrar4006Seccion" textlink="">
      <xdr:nvSpPr>
        <xdr:cNvPr id="110" name="Rectángulo redondeado 8">
          <a:extLst>
            <a:ext uri="{FF2B5EF4-FFF2-40B4-BE49-F238E27FC236}">
              <a16:creationId xmlns:a16="http://schemas.microsoft.com/office/drawing/2014/main" id="{E0FE2CBB-225D-483D-BC23-1C0C31CB3BC0}"/>
            </a:ext>
          </a:extLst>
        </xdr:cNvPr>
        <xdr:cNvSpPr/>
      </xdr:nvSpPr>
      <xdr:spPr>
        <a:xfrm>
          <a:off x="13346920" y="95522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637</xdr:row>
      <xdr:rowOff>81863</xdr:rowOff>
    </xdr:from>
    <xdr:to>
      <xdr:col>9</xdr:col>
      <xdr:colOff>503406</xdr:colOff>
      <xdr:row>637</xdr:row>
      <xdr:rowOff>387863</xdr:rowOff>
    </xdr:to>
    <xdr:sp macro="[0]!Ocultar4006Seccion" textlink="">
      <xdr:nvSpPr>
        <xdr:cNvPr id="116" name="Rectángulo redondeado 9">
          <a:extLst>
            <a:ext uri="{FF2B5EF4-FFF2-40B4-BE49-F238E27FC236}">
              <a16:creationId xmlns:a16="http://schemas.microsoft.com/office/drawing/2014/main" id="{990189C6-2539-425D-A0F1-040D15BA3A33}"/>
            </a:ext>
          </a:extLst>
        </xdr:cNvPr>
        <xdr:cNvSpPr/>
      </xdr:nvSpPr>
      <xdr:spPr>
        <a:xfrm>
          <a:off x="14755431" y="95522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677</xdr:row>
      <xdr:rowOff>81863</xdr:rowOff>
    </xdr:from>
    <xdr:to>
      <xdr:col>8</xdr:col>
      <xdr:colOff>723670</xdr:colOff>
      <xdr:row>677</xdr:row>
      <xdr:rowOff>387863</xdr:rowOff>
    </xdr:to>
    <xdr:sp macro="[0]!Mostrar4007Seccion" textlink="">
      <xdr:nvSpPr>
        <xdr:cNvPr id="117" name="Rectángulo redondeado 8">
          <a:extLst>
            <a:ext uri="{FF2B5EF4-FFF2-40B4-BE49-F238E27FC236}">
              <a16:creationId xmlns:a16="http://schemas.microsoft.com/office/drawing/2014/main" id="{763B24D7-E217-499D-8FE9-8EFDFF3D0C16}"/>
            </a:ext>
          </a:extLst>
        </xdr:cNvPr>
        <xdr:cNvSpPr/>
      </xdr:nvSpPr>
      <xdr:spPr>
        <a:xfrm>
          <a:off x="13346920" y="1069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677</xdr:row>
      <xdr:rowOff>81863</xdr:rowOff>
    </xdr:from>
    <xdr:to>
      <xdr:col>9</xdr:col>
      <xdr:colOff>503406</xdr:colOff>
      <xdr:row>677</xdr:row>
      <xdr:rowOff>387863</xdr:rowOff>
    </xdr:to>
    <xdr:sp macro="[0]!Ocultar4007Seccion" textlink="">
      <xdr:nvSpPr>
        <xdr:cNvPr id="118" name="Rectángulo redondeado 9">
          <a:extLst>
            <a:ext uri="{FF2B5EF4-FFF2-40B4-BE49-F238E27FC236}">
              <a16:creationId xmlns:a16="http://schemas.microsoft.com/office/drawing/2014/main" id="{2DFB9370-2CFF-4C2A-8F0D-373F842A2E92}"/>
            </a:ext>
          </a:extLst>
        </xdr:cNvPr>
        <xdr:cNvSpPr/>
      </xdr:nvSpPr>
      <xdr:spPr>
        <a:xfrm>
          <a:off x="14755431" y="1069142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475</xdr:row>
      <xdr:rowOff>81863</xdr:rowOff>
    </xdr:from>
    <xdr:to>
      <xdr:col>8</xdr:col>
      <xdr:colOff>723670</xdr:colOff>
      <xdr:row>475</xdr:row>
      <xdr:rowOff>387863</xdr:rowOff>
    </xdr:to>
    <xdr:sp macro="[0]!Mostrar4001Seccion" textlink="">
      <xdr:nvSpPr>
        <xdr:cNvPr id="122" name="Rectángulo redondeado 8">
          <a:extLst>
            <a:ext uri="{FF2B5EF4-FFF2-40B4-BE49-F238E27FC236}">
              <a16:creationId xmlns:a16="http://schemas.microsoft.com/office/drawing/2014/main" id="{A01C7D9E-1CD1-4F97-8DEA-0FCB458D7602}"/>
            </a:ext>
          </a:extLst>
        </xdr:cNvPr>
        <xdr:cNvSpPr/>
      </xdr:nvSpPr>
      <xdr:spPr>
        <a:xfrm>
          <a:off x="13346920" y="6180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475</xdr:row>
      <xdr:rowOff>81863</xdr:rowOff>
    </xdr:from>
    <xdr:to>
      <xdr:col>9</xdr:col>
      <xdr:colOff>503406</xdr:colOff>
      <xdr:row>475</xdr:row>
      <xdr:rowOff>387863</xdr:rowOff>
    </xdr:to>
    <xdr:sp macro="[0]!Ocultar4001Seccion" textlink="">
      <xdr:nvSpPr>
        <xdr:cNvPr id="123" name="Rectángulo redondeado 9">
          <a:extLst>
            <a:ext uri="{FF2B5EF4-FFF2-40B4-BE49-F238E27FC236}">
              <a16:creationId xmlns:a16="http://schemas.microsoft.com/office/drawing/2014/main" id="{4D3E1C9D-8CA1-4774-9B61-4E1E1D5A6D38}"/>
            </a:ext>
          </a:extLst>
        </xdr:cNvPr>
        <xdr:cNvSpPr/>
      </xdr:nvSpPr>
      <xdr:spPr>
        <a:xfrm>
          <a:off x="14755431" y="6180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717</xdr:row>
      <xdr:rowOff>81863</xdr:rowOff>
    </xdr:from>
    <xdr:to>
      <xdr:col>8</xdr:col>
      <xdr:colOff>723670</xdr:colOff>
      <xdr:row>717</xdr:row>
      <xdr:rowOff>387863</xdr:rowOff>
    </xdr:to>
    <xdr:sp macro="[0]!Mostrar4008Seccion" textlink="">
      <xdr:nvSpPr>
        <xdr:cNvPr id="126" name="Rectángulo redondeado 8">
          <a:extLst>
            <a:ext uri="{FF2B5EF4-FFF2-40B4-BE49-F238E27FC236}">
              <a16:creationId xmlns:a16="http://schemas.microsoft.com/office/drawing/2014/main" id="{1645F513-0043-478E-8D7B-313992079A2A}"/>
            </a:ext>
          </a:extLst>
        </xdr:cNvPr>
        <xdr:cNvSpPr/>
      </xdr:nvSpPr>
      <xdr:spPr>
        <a:xfrm>
          <a:off x="13346920" y="11899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717</xdr:row>
      <xdr:rowOff>81863</xdr:rowOff>
    </xdr:from>
    <xdr:to>
      <xdr:col>9</xdr:col>
      <xdr:colOff>503406</xdr:colOff>
      <xdr:row>717</xdr:row>
      <xdr:rowOff>387863</xdr:rowOff>
    </xdr:to>
    <xdr:sp macro="[0]!Ocultar4008Seccion" textlink="">
      <xdr:nvSpPr>
        <xdr:cNvPr id="128" name="Rectángulo redondeado 9">
          <a:extLst>
            <a:ext uri="{FF2B5EF4-FFF2-40B4-BE49-F238E27FC236}">
              <a16:creationId xmlns:a16="http://schemas.microsoft.com/office/drawing/2014/main" id="{659F19F7-E9E0-4629-BC83-DC0353828376}"/>
            </a:ext>
          </a:extLst>
        </xdr:cNvPr>
        <xdr:cNvSpPr/>
      </xdr:nvSpPr>
      <xdr:spPr>
        <a:xfrm>
          <a:off x="14755431" y="1189919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719</xdr:row>
      <xdr:rowOff>81863</xdr:rowOff>
    </xdr:from>
    <xdr:to>
      <xdr:col>8</xdr:col>
      <xdr:colOff>723670</xdr:colOff>
      <xdr:row>719</xdr:row>
      <xdr:rowOff>387863</xdr:rowOff>
    </xdr:to>
    <xdr:sp macro="[0]!Mostrar4009Seccion" textlink="">
      <xdr:nvSpPr>
        <xdr:cNvPr id="129" name="Rectángulo redondeado 8">
          <a:extLst>
            <a:ext uri="{FF2B5EF4-FFF2-40B4-BE49-F238E27FC236}">
              <a16:creationId xmlns:a16="http://schemas.microsoft.com/office/drawing/2014/main" id="{9B568D44-A16E-4E0B-AA38-0F3F55652A31}"/>
            </a:ext>
          </a:extLst>
        </xdr:cNvPr>
        <xdr:cNvSpPr/>
      </xdr:nvSpPr>
      <xdr:spPr>
        <a:xfrm>
          <a:off x="13346920" y="13038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719</xdr:row>
      <xdr:rowOff>81863</xdr:rowOff>
    </xdr:from>
    <xdr:to>
      <xdr:col>9</xdr:col>
      <xdr:colOff>503406</xdr:colOff>
      <xdr:row>719</xdr:row>
      <xdr:rowOff>387863</xdr:rowOff>
    </xdr:to>
    <xdr:sp macro="[0]!Ocultar4009Seccion" textlink="">
      <xdr:nvSpPr>
        <xdr:cNvPr id="130" name="Rectángulo redondeado 9">
          <a:extLst>
            <a:ext uri="{FF2B5EF4-FFF2-40B4-BE49-F238E27FC236}">
              <a16:creationId xmlns:a16="http://schemas.microsoft.com/office/drawing/2014/main" id="{D0603C40-4BE3-4CF3-9F58-35E21A483BE1}"/>
            </a:ext>
          </a:extLst>
        </xdr:cNvPr>
        <xdr:cNvSpPr/>
      </xdr:nvSpPr>
      <xdr:spPr>
        <a:xfrm>
          <a:off x="14755431" y="1303838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1000</xdr:row>
      <xdr:rowOff>81863</xdr:rowOff>
    </xdr:from>
    <xdr:to>
      <xdr:col>8</xdr:col>
      <xdr:colOff>723670</xdr:colOff>
      <xdr:row>1000</xdr:row>
      <xdr:rowOff>387863</xdr:rowOff>
    </xdr:to>
    <xdr:sp macro="[0]!Mostrar7000Seccion" textlink="">
      <xdr:nvSpPr>
        <xdr:cNvPr id="132" name="Rectángulo redondeado 8">
          <a:extLst>
            <a:ext uri="{FF2B5EF4-FFF2-40B4-BE49-F238E27FC236}">
              <a16:creationId xmlns:a16="http://schemas.microsoft.com/office/drawing/2014/main" id="{1B220AE9-A3FD-4CCD-B9FD-2B3549F33749}"/>
            </a:ext>
          </a:extLst>
        </xdr:cNvPr>
        <xdr:cNvSpPr/>
      </xdr:nvSpPr>
      <xdr:spPr>
        <a:xfrm>
          <a:off x="13346920" y="5666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1000</xdr:row>
      <xdr:rowOff>81863</xdr:rowOff>
    </xdr:from>
    <xdr:to>
      <xdr:col>9</xdr:col>
      <xdr:colOff>503406</xdr:colOff>
      <xdr:row>1000</xdr:row>
      <xdr:rowOff>387863</xdr:rowOff>
    </xdr:to>
    <xdr:sp macro="[0]!Ocultar7000Seccion" textlink="">
      <xdr:nvSpPr>
        <xdr:cNvPr id="133" name="Rectángulo redondeado 9">
          <a:extLst>
            <a:ext uri="{FF2B5EF4-FFF2-40B4-BE49-F238E27FC236}">
              <a16:creationId xmlns:a16="http://schemas.microsoft.com/office/drawing/2014/main" id="{E2E68DA6-8AF8-42F8-8CF9-865DB10BEBB4}"/>
            </a:ext>
          </a:extLst>
        </xdr:cNvPr>
        <xdr:cNvSpPr/>
      </xdr:nvSpPr>
      <xdr:spPr>
        <a:xfrm>
          <a:off x="14755431" y="566603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759</xdr:row>
      <xdr:rowOff>81863</xdr:rowOff>
    </xdr:from>
    <xdr:to>
      <xdr:col>8</xdr:col>
      <xdr:colOff>723670</xdr:colOff>
      <xdr:row>759</xdr:row>
      <xdr:rowOff>387863</xdr:rowOff>
    </xdr:to>
    <xdr:sp macro="[0]!Mostrar4010Seccion" textlink="">
      <xdr:nvSpPr>
        <xdr:cNvPr id="134" name="Rectángulo redondeado 8">
          <a:extLst>
            <a:ext uri="{FF2B5EF4-FFF2-40B4-BE49-F238E27FC236}">
              <a16:creationId xmlns:a16="http://schemas.microsoft.com/office/drawing/2014/main" id="{1FB669CA-DD1E-42F6-945F-769FA1FC2877}"/>
            </a:ext>
          </a:extLst>
        </xdr:cNvPr>
        <xdr:cNvSpPr/>
      </xdr:nvSpPr>
      <xdr:spPr>
        <a:xfrm>
          <a:off x="13346920" y="67023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759</xdr:row>
      <xdr:rowOff>81863</xdr:rowOff>
    </xdr:from>
    <xdr:to>
      <xdr:col>9</xdr:col>
      <xdr:colOff>503406</xdr:colOff>
      <xdr:row>759</xdr:row>
      <xdr:rowOff>387863</xdr:rowOff>
    </xdr:to>
    <xdr:sp macro="[0]!Ocultar4010Seccion" textlink="">
      <xdr:nvSpPr>
        <xdr:cNvPr id="135" name="Rectángulo redondeado 9">
          <a:extLst>
            <a:ext uri="{FF2B5EF4-FFF2-40B4-BE49-F238E27FC236}">
              <a16:creationId xmlns:a16="http://schemas.microsoft.com/office/drawing/2014/main" id="{2BD53421-6812-444E-B6CB-12162000D8F1}"/>
            </a:ext>
          </a:extLst>
        </xdr:cNvPr>
        <xdr:cNvSpPr/>
      </xdr:nvSpPr>
      <xdr:spPr>
        <a:xfrm>
          <a:off x="14755431" y="670235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799</xdr:row>
      <xdr:rowOff>81863</xdr:rowOff>
    </xdr:from>
    <xdr:to>
      <xdr:col>8</xdr:col>
      <xdr:colOff>723670</xdr:colOff>
      <xdr:row>799</xdr:row>
      <xdr:rowOff>387863</xdr:rowOff>
    </xdr:to>
    <xdr:sp macro="[0]!Mostrar4011Seccion" textlink="">
      <xdr:nvSpPr>
        <xdr:cNvPr id="141" name="Rectángulo redondeado 8">
          <a:extLst>
            <a:ext uri="{FF2B5EF4-FFF2-40B4-BE49-F238E27FC236}">
              <a16:creationId xmlns:a16="http://schemas.microsoft.com/office/drawing/2014/main" id="{F87A783C-0080-4118-AF3B-E52BB667BC5D}"/>
            </a:ext>
          </a:extLst>
        </xdr:cNvPr>
        <xdr:cNvSpPr/>
      </xdr:nvSpPr>
      <xdr:spPr>
        <a:xfrm>
          <a:off x="13346920" y="7841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799</xdr:row>
      <xdr:rowOff>81863</xdr:rowOff>
    </xdr:from>
    <xdr:to>
      <xdr:col>9</xdr:col>
      <xdr:colOff>503406</xdr:colOff>
      <xdr:row>799</xdr:row>
      <xdr:rowOff>387863</xdr:rowOff>
    </xdr:to>
    <xdr:sp macro="[0]!Ocultar4011Seccion" textlink="">
      <xdr:nvSpPr>
        <xdr:cNvPr id="145" name="Rectángulo redondeado 9">
          <a:extLst>
            <a:ext uri="{FF2B5EF4-FFF2-40B4-BE49-F238E27FC236}">
              <a16:creationId xmlns:a16="http://schemas.microsoft.com/office/drawing/2014/main" id="{D9BF2FF1-DBBE-44E6-8A08-583F9DDF0382}"/>
            </a:ext>
          </a:extLst>
        </xdr:cNvPr>
        <xdr:cNvSpPr/>
      </xdr:nvSpPr>
      <xdr:spPr>
        <a:xfrm>
          <a:off x="14755431" y="784154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6</xdr:col>
      <xdr:colOff>1402570</xdr:colOff>
      <xdr:row>839</xdr:row>
      <xdr:rowOff>81863</xdr:rowOff>
    </xdr:from>
    <xdr:to>
      <xdr:col>8</xdr:col>
      <xdr:colOff>723670</xdr:colOff>
      <xdr:row>839</xdr:row>
      <xdr:rowOff>387863</xdr:rowOff>
    </xdr:to>
    <xdr:sp macro="[0]!Mostrar4012Seccion" textlink="">
      <xdr:nvSpPr>
        <xdr:cNvPr id="152" name="Rectángulo redondeado 8">
          <a:extLst>
            <a:ext uri="{FF2B5EF4-FFF2-40B4-BE49-F238E27FC236}">
              <a16:creationId xmlns:a16="http://schemas.microsoft.com/office/drawing/2014/main" id="{6E1D035A-B257-44B0-9EB2-51AEBFD50C50}"/>
            </a:ext>
          </a:extLst>
        </xdr:cNvPr>
        <xdr:cNvSpPr/>
      </xdr:nvSpPr>
      <xdr:spPr>
        <a:xfrm>
          <a:off x="13346920" y="6633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8</xdr:col>
      <xdr:colOff>944181</xdr:colOff>
      <xdr:row>839</xdr:row>
      <xdr:rowOff>81863</xdr:rowOff>
    </xdr:from>
    <xdr:to>
      <xdr:col>9</xdr:col>
      <xdr:colOff>503406</xdr:colOff>
      <xdr:row>839</xdr:row>
      <xdr:rowOff>387863</xdr:rowOff>
    </xdr:to>
    <xdr:sp macro="[0]!Ocultar4012Seccion" textlink="">
      <xdr:nvSpPr>
        <xdr:cNvPr id="153" name="Rectángulo redondeado 9">
          <a:extLst>
            <a:ext uri="{FF2B5EF4-FFF2-40B4-BE49-F238E27FC236}">
              <a16:creationId xmlns:a16="http://schemas.microsoft.com/office/drawing/2014/main" id="{A73FE940-1D2C-4754-B8F8-1B817C8988C9}"/>
            </a:ext>
          </a:extLst>
        </xdr:cNvPr>
        <xdr:cNvSpPr/>
      </xdr:nvSpPr>
      <xdr:spPr>
        <a:xfrm>
          <a:off x="14755431" y="66337763"/>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5</xdr:col>
      <xdr:colOff>1895474</xdr:colOff>
      <xdr:row>900</xdr:row>
      <xdr:rowOff>152400</xdr:rowOff>
    </xdr:from>
    <xdr:to>
      <xdr:col>17</xdr:col>
      <xdr:colOff>123824</xdr:colOff>
      <xdr:row>914</xdr:row>
      <xdr:rowOff>38100</xdr:rowOff>
    </xdr:to>
    <xdr:sp macro="" textlink="">
      <xdr:nvSpPr>
        <xdr:cNvPr id="146" name="Rectángulo 145">
          <a:extLst>
            <a:ext uri="{FF2B5EF4-FFF2-40B4-BE49-F238E27FC236}">
              <a16:creationId xmlns:a16="http://schemas.microsoft.com/office/drawing/2014/main" id="{823D03A6-CA4C-F793-0F9D-C80A5B12A1EB}"/>
            </a:ext>
          </a:extLst>
        </xdr:cNvPr>
        <xdr:cNvSpPr/>
      </xdr:nvSpPr>
      <xdr:spPr>
        <a:xfrm>
          <a:off x="11877674" y="41681400"/>
          <a:ext cx="11801475" cy="3181350"/>
        </a:xfrm>
        <a:prstGeom prst="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1838325</xdr:colOff>
      <xdr:row>930</xdr:row>
      <xdr:rowOff>114300</xdr:rowOff>
    </xdr:from>
    <xdr:to>
      <xdr:col>17</xdr:col>
      <xdr:colOff>66675</xdr:colOff>
      <xdr:row>944</xdr:row>
      <xdr:rowOff>95250</xdr:rowOff>
    </xdr:to>
    <xdr:sp macro="" textlink="">
      <xdr:nvSpPr>
        <xdr:cNvPr id="147" name="Rectángulo 146">
          <a:extLst>
            <a:ext uri="{FF2B5EF4-FFF2-40B4-BE49-F238E27FC236}">
              <a16:creationId xmlns:a16="http://schemas.microsoft.com/office/drawing/2014/main" id="{C5013197-0C81-43E6-B295-9A1EB41FD990}"/>
            </a:ext>
          </a:extLst>
        </xdr:cNvPr>
        <xdr:cNvSpPr/>
      </xdr:nvSpPr>
      <xdr:spPr>
        <a:xfrm>
          <a:off x="11820525" y="49072800"/>
          <a:ext cx="11801475" cy="3181350"/>
        </a:xfrm>
        <a:prstGeom prst="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104777</xdr:colOff>
      <xdr:row>227</xdr:row>
      <xdr:rowOff>88903</xdr:rowOff>
    </xdr:from>
    <xdr:to>
      <xdr:col>3</xdr:col>
      <xdr:colOff>657227</xdr:colOff>
      <xdr:row>227</xdr:row>
      <xdr:rowOff>696385</xdr:rowOff>
    </xdr:to>
    <xdr:pic>
      <xdr:nvPicPr>
        <xdr:cNvPr id="23" name="Imagen 22">
          <a:extLst>
            <a:ext uri="{FF2B5EF4-FFF2-40B4-BE49-F238E27FC236}">
              <a16:creationId xmlns:a16="http://schemas.microsoft.com/office/drawing/2014/main" id="{8939D73A-D454-415D-9557-33966C7F8E3D}"/>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80098903"/>
          <a:ext cx="1382183" cy="607482"/>
        </a:xfrm>
        <a:prstGeom prst="rect">
          <a:avLst/>
        </a:prstGeom>
      </xdr:spPr>
    </xdr:pic>
    <xdr:clientData/>
  </xdr:twoCellAnchor>
  <xdr:twoCellAnchor>
    <xdr:from>
      <xdr:col>1</xdr:col>
      <xdr:colOff>104777</xdr:colOff>
      <xdr:row>183</xdr:row>
      <xdr:rowOff>71969</xdr:rowOff>
    </xdr:from>
    <xdr:to>
      <xdr:col>3</xdr:col>
      <xdr:colOff>657227</xdr:colOff>
      <xdr:row>183</xdr:row>
      <xdr:rowOff>679451</xdr:rowOff>
    </xdr:to>
    <xdr:pic>
      <xdr:nvPicPr>
        <xdr:cNvPr id="20" name="Imagen 19">
          <a:extLst>
            <a:ext uri="{FF2B5EF4-FFF2-40B4-BE49-F238E27FC236}">
              <a16:creationId xmlns:a16="http://schemas.microsoft.com/office/drawing/2014/main" id="{CDE832F1-0B6C-4406-9D2B-3A85483117E5}"/>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64587969"/>
          <a:ext cx="1382183" cy="607482"/>
        </a:xfrm>
        <a:prstGeom prst="rect">
          <a:avLst/>
        </a:prstGeom>
      </xdr:spPr>
    </xdr:pic>
    <xdr:clientData/>
  </xdr:twoCellAnchor>
  <xdr:twoCellAnchor>
    <xdr:from>
      <xdr:col>1</xdr:col>
      <xdr:colOff>104777</xdr:colOff>
      <xdr:row>139</xdr:row>
      <xdr:rowOff>80436</xdr:rowOff>
    </xdr:from>
    <xdr:to>
      <xdr:col>3</xdr:col>
      <xdr:colOff>657227</xdr:colOff>
      <xdr:row>139</xdr:row>
      <xdr:rowOff>687918</xdr:rowOff>
    </xdr:to>
    <xdr:pic>
      <xdr:nvPicPr>
        <xdr:cNvPr id="17" name="Imagen 16">
          <a:extLst>
            <a:ext uri="{FF2B5EF4-FFF2-40B4-BE49-F238E27FC236}">
              <a16:creationId xmlns:a16="http://schemas.microsoft.com/office/drawing/2014/main" id="{CC044E53-B740-4461-9EE1-49CF8966658A}"/>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49102436"/>
          <a:ext cx="1382183" cy="607482"/>
        </a:xfrm>
        <a:prstGeom prst="rect">
          <a:avLst/>
        </a:prstGeom>
      </xdr:spPr>
    </xdr:pic>
    <xdr:clientData/>
  </xdr:twoCellAnchor>
  <xdr:twoCellAnchor>
    <xdr:from>
      <xdr:col>1</xdr:col>
      <xdr:colOff>104777</xdr:colOff>
      <xdr:row>95</xdr:row>
      <xdr:rowOff>80436</xdr:rowOff>
    </xdr:from>
    <xdr:to>
      <xdr:col>3</xdr:col>
      <xdr:colOff>657227</xdr:colOff>
      <xdr:row>95</xdr:row>
      <xdr:rowOff>687918</xdr:rowOff>
    </xdr:to>
    <xdr:pic>
      <xdr:nvPicPr>
        <xdr:cNvPr id="14" name="Imagen 13">
          <a:extLst>
            <a:ext uri="{FF2B5EF4-FFF2-40B4-BE49-F238E27FC236}">
              <a16:creationId xmlns:a16="http://schemas.microsoft.com/office/drawing/2014/main" id="{9524677B-86B6-4AEE-BD7A-653B78049BE1}"/>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33608436"/>
          <a:ext cx="1382183" cy="607482"/>
        </a:xfrm>
        <a:prstGeom prst="rect">
          <a:avLst/>
        </a:prstGeom>
      </xdr:spPr>
    </xdr:pic>
    <xdr:clientData/>
  </xdr:twoCellAnchor>
  <xdr:twoCellAnchor>
    <xdr:from>
      <xdr:col>1</xdr:col>
      <xdr:colOff>104777</xdr:colOff>
      <xdr:row>51</xdr:row>
      <xdr:rowOff>88903</xdr:rowOff>
    </xdr:from>
    <xdr:to>
      <xdr:col>3</xdr:col>
      <xdr:colOff>657227</xdr:colOff>
      <xdr:row>51</xdr:row>
      <xdr:rowOff>696385</xdr:rowOff>
    </xdr:to>
    <xdr:pic>
      <xdr:nvPicPr>
        <xdr:cNvPr id="11" name="Imagen 10">
          <a:extLst>
            <a:ext uri="{FF2B5EF4-FFF2-40B4-BE49-F238E27FC236}">
              <a16:creationId xmlns:a16="http://schemas.microsoft.com/office/drawing/2014/main" id="{B21C7377-FB39-4A9A-A0A4-CEFF4981E02A}"/>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18122903"/>
          <a:ext cx="1382183" cy="607482"/>
        </a:xfrm>
        <a:prstGeom prst="rect">
          <a:avLst/>
        </a:prstGeom>
      </xdr:spPr>
    </xdr:pic>
    <xdr:clientData/>
  </xdr:twoCellAnchor>
  <xdr:twoCellAnchor>
    <xdr:from>
      <xdr:col>1</xdr:col>
      <xdr:colOff>104777</xdr:colOff>
      <xdr:row>7</xdr:row>
      <xdr:rowOff>88903</xdr:rowOff>
    </xdr:from>
    <xdr:to>
      <xdr:col>3</xdr:col>
      <xdr:colOff>657227</xdr:colOff>
      <xdr:row>7</xdr:row>
      <xdr:rowOff>696385</xdr:rowOff>
    </xdr:to>
    <xdr:pic>
      <xdr:nvPicPr>
        <xdr:cNvPr id="2" name="Imagen 1">
          <a:extLst>
            <a:ext uri="{FF2B5EF4-FFF2-40B4-BE49-F238E27FC236}">
              <a16:creationId xmlns:a16="http://schemas.microsoft.com/office/drawing/2014/main" id="{96D966AF-5C34-430E-89F5-3D617BFB364E}"/>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2628903"/>
          <a:ext cx="1382183" cy="607482"/>
        </a:xfrm>
        <a:prstGeom prst="rect">
          <a:avLst/>
        </a:prstGeom>
      </xdr:spPr>
    </xdr:pic>
    <xdr:clientData/>
  </xdr:twoCellAnchor>
  <xdr:twoCellAnchor editAs="oneCell">
    <xdr:from>
      <xdr:col>15</xdr:col>
      <xdr:colOff>127001</xdr:colOff>
      <xdr:row>0</xdr:row>
      <xdr:rowOff>23283</xdr:rowOff>
    </xdr:from>
    <xdr:to>
      <xdr:col>15</xdr:col>
      <xdr:colOff>990601</xdr:colOff>
      <xdr:row>1</xdr:row>
      <xdr:rowOff>609094</xdr:rowOff>
    </xdr:to>
    <xdr:pic>
      <xdr:nvPicPr>
        <xdr:cNvPr id="4" name="Imagen 3">
          <a:extLst>
            <a:ext uri="{FF2B5EF4-FFF2-40B4-BE49-F238E27FC236}">
              <a16:creationId xmlns:a16="http://schemas.microsoft.com/office/drawing/2014/main" id="{EFDA703D-7578-4423-9057-42F681772648}"/>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0" b="99730" l="946" r="100000">
                      <a14:foregroundMark x1="86351" y1="49189" x2="11351" y2="49730"/>
                      <a14:foregroundMark x1="12973" y1="56892" x2="86351" y2="55946"/>
                    </a14:backgroundRemoval>
                  </a14:imgEffect>
                </a14:imgLayer>
              </a14:imgProps>
            </a:ext>
            <a:ext uri="{28A0092B-C50C-407E-A947-70E740481C1C}">
              <a14:useLocalDpi xmlns:a14="http://schemas.microsoft.com/office/drawing/2010/main" val="0"/>
            </a:ext>
          </a:extLst>
        </a:blip>
        <a:stretch>
          <a:fillRect/>
        </a:stretch>
      </xdr:blipFill>
      <xdr:spPr>
        <a:xfrm>
          <a:off x="11311468" y="23283"/>
          <a:ext cx="863600" cy="1000678"/>
        </a:xfrm>
        <a:prstGeom prst="rect">
          <a:avLst/>
        </a:prstGeom>
      </xdr:spPr>
    </xdr:pic>
    <xdr:clientData/>
  </xdr:twoCellAnchor>
  <xdr:twoCellAnchor>
    <xdr:from>
      <xdr:col>11</xdr:col>
      <xdr:colOff>2294472</xdr:colOff>
      <xdr:row>3</xdr:row>
      <xdr:rowOff>93133</xdr:rowOff>
    </xdr:from>
    <xdr:to>
      <xdr:col>14</xdr:col>
      <xdr:colOff>87338</xdr:colOff>
      <xdr:row>3</xdr:row>
      <xdr:rowOff>399133</xdr:rowOff>
    </xdr:to>
    <xdr:sp macro="[0]!Mostrar8000Seccion" textlink="">
      <xdr:nvSpPr>
        <xdr:cNvPr id="7" name="Rectángulo redondeado 8">
          <a:extLst>
            <a:ext uri="{FF2B5EF4-FFF2-40B4-BE49-F238E27FC236}">
              <a16:creationId xmlns:a16="http://schemas.microsoft.com/office/drawing/2014/main" id="{ECDFF212-6D07-402B-9527-542B996F9ED5}"/>
            </a:ext>
          </a:extLst>
        </xdr:cNvPr>
        <xdr:cNvSpPr/>
      </xdr:nvSpPr>
      <xdr:spPr>
        <a:xfrm>
          <a:off x="10769605" y="1329266"/>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3</xdr:row>
      <xdr:rowOff>93133</xdr:rowOff>
    </xdr:from>
    <xdr:to>
      <xdr:col>15</xdr:col>
      <xdr:colOff>1157183</xdr:colOff>
      <xdr:row>3</xdr:row>
      <xdr:rowOff>399133</xdr:rowOff>
    </xdr:to>
    <xdr:sp macro="[0]!Ocultar8000Seccion" textlink="">
      <xdr:nvSpPr>
        <xdr:cNvPr id="8" name="Rectángulo redondeado 9">
          <a:extLst>
            <a:ext uri="{FF2B5EF4-FFF2-40B4-BE49-F238E27FC236}">
              <a16:creationId xmlns:a16="http://schemas.microsoft.com/office/drawing/2014/main" id="{BF5AC7E0-D854-4367-9B8C-5F2C24406797}"/>
            </a:ext>
          </a:extLst>
        </xdr:cNvPr>
        <xdr:cNvSpPr/>
      </xdr:nvSpPr>
      <xdr:spPr>
        <a:xfrm>
          <a:off x="12178116" y="1329266"/>
          <a:ext cx="1188000"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5</xdr:row>
      <xdr:rowOff>93133</xdr:rowOff>
    </xdr:from>
    <xdr:to>
      <xdr:col>14</xdr:col>
      <xdr:colOff>87338</xdr:colOff>
      <xdr:row>5</xdr:row>
      <xdr:rowOff>399133</xdr:rowOff>
    </xdr:to>
    <xdr:sp macro="[0]!Mostrar8001Seccion" textlink="">
      <xdr:nvSpPr>
        <xdr:cNvPr id="9" name="Rectángulo redondeado 8">
          <a:extLst>
            <a:ext uri="{FF2B5EF4-FFF2-40B4-BE49-F238E27FC236}">
              <a16:creationId xmlns:a16="http://schemas.microsoft.com/office/drawing/2014/main" id="{B2CFD074-4372-49DD-9976-6E5351AB5B73}"/>
            </a:ext>
          </a:extLst>
        </xdr:cNvPr>
        <xdr:cNvSpPr/>
      </xdr:nvSpPr>
      <xdr:spPr>
        <a:xfrm>
          <a:off x="10701872" y="13292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5</xdr:row>
      <xdr:rowOff>93133</xdr:rowOff>
    </xdr:from>
    <xdr:to>
      <xdr:col>15</xdr:col>
      <xdr:colOff>1157183</xdr:colOff>
      <xdr:row>5</xdr:row>
      <xdr:rowOff>399133</xdr:rowOff>
    </xdr:to>
    <xdr:sp macro="[0]!Ocultar8001Seccion" textlink="">
      <xdr:nvSpPr>
        <xdr:cNvPr id="10" name="Rectángulo redondeado 9">
          <a:extLst>
            <a:ext uri="{FF2B5EF4-FFF2-40B4-BE49-F238E27FC236}">
              <a16:creationId xmlns:a16="http://schemas.microsoft.com/office/drawing/2014/main" id="{5480025A-C695-4A15-8E5A-0859D8661855}"/>
            </a:ext>
          </a:extLst>
        </xdr:cNvPr>
        <xdr:cNvSpPr/>
      </xdr:nvSpPr>
      <xdr:spPr>
        <a:xfrm>
          <a:off x="12110382" y="13292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49</xdr:row>
      <xdr:rowOff>93133</xdr:rowOff>
    </xdr:from>
    <xdr:to>
      <xdr:col>14</xdr:col>
      <xdr:colOff>87338</xdr:colOff>
      <xdr:row>49</xdr:row>
      <xdr:rowOff>399133</xdr:rowOff>
    </xdr:to>
    <xdr:sp macro="[0]!Mostrar8002Seccion" textlink="">
      <xdr:nvSpPr>
        <xdr:cNvPr id="12" name="Rectángulo redondeado 8">
          <a:extLst>
            <a:ext uri="{FF2B5EF4-FFF2-40B4-BE49-F238E27FC236}">
              <a16:creationId xmlns:a16="http://schemas.microsoft.com/office/drawing/2014/main" id="{E996FAE2-D7DD-4942-8524-5D8AC91E9E94}"/>
            </a:ext>
          </a:extLst>
        </xdr:cNvPr>
        <xdr:cNvSpPr/>
      </xdr:nvSpPr>
      <xdr:spPr>
        <a:xfrm>
          <a:off x="10701872" y="19812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49</xdr:row>
      <xdr:rowOff>93133</xdr:rowOff>
    </xdr:from>
    <xdr:to>
      <xdr:col>15</xdr:col>
      <xdr:colOff>1157183</xdr:colOff>
      <xdr:row>49</xdr:row>
      <xdr:rowOff>399133</xdr:rowOff>
    </xdr:to>
    <xdr:sp macro="[0]!Ocultar8002Seccion" textlink="">
      <xdr:nvSpPr>
        <xdr:cNvPr id="13" name="Rectángulo redondeado 9">
          <a:extLst>
            <a:ext uri="{FF2B5EF4-FFF2-40B4-BE49-F238E27FC236}">
              <a16:creationId xmlns:a16="http://schemas.microsoft.com/office/drawing/2014/main" id="{83E74F66-DB3D-4E5D-8303-6BFA9CB529A4}"/>
            </a:ext>
          </a:extLst>
        </xdr:cNvPr>
        <xdr:cNvSpPr/>
      </xdr:nvSpPr>
      <xdr:spPr>
        <a:xfrm>
          <a:off x="12110382" y="19812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93</xdr:row>
      <xdr:rowOff>93133</xdr:rowOff>
    </xdr:from>
    <xdr:to>
      <xdr:col>14</xdr:col>
      <xdr:colOff>87338</xdr:colOff>
      <xdr:row>93</xdr:row>
      <xdr:rowOff>399133</xdr:rowOff>
    </xdr:to>
    <xdr:sp macro="[0]!Mostrar8003Seccion" textlink="">
      <xdr:nvSpPr>
        <xdr:cNvPr id="15" name="Rectángulo redondeado 8">
          <a:extLst>
            <a:ext uri="{FF2B5EF4-FFF2-40B4-BE49-F238E27FC236}">
              <a16:creationId xmlns:a16="http://schemas.microsoft.com/office/drawing/2014/main" id="{5EEB2F22-B466-4AAE-8BFC-3B1D8841D45C}"/>
            </a:ext>
          </a:extLst>
        </xdr:cNvPr>
        <xdr:cNvSpPr/>
      </xdr:nvSpPr>
      <xdr:spPr>
        <a:xfrm>
          <a:off x="10701872" y="17399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93</xdr:row>
      <xdr:rowOff>93133</xdr:rowOff>
    </xdr:from>
    <xdr:to>
      <xdr:col>15</xdr:col>
      <xdr:colOff>1157183</xdr:colOff>
      <xdr:row>93</xdr:row>
      <xdr:rowOff>399133</xdr:rowOff>
    </xdr:to>
    <xdr:sp macro="[0]!Ocultar8003Seccion" textlink="">
      <xdr:nvSpPr>
        <xdr:cNvPr id="16" name="Rectángulo redondeado 9">
          <a:extLst>
            <a:ext uri="{FF2B5EF4-FFF2-40B4-BE49-F238E27FC236}">
              <a16:creationId xmlns:a16="http://schemas.microsoft.com/office/drawing/2014/main" id="{2D0059C5-F652-4D97-A6E3-BC7259AD8FEC}"/>
            </a:ext>
          </a:extLst>
        </xdr:cNvPr>
        <xdr:cNvSpPr/>
      </xdr:nvSpPr>
      <xdr:spPr>
        <a:xfrm>
          <a:off x="12110382" y="173990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137</xdr:row>
      <xdr:rowOff>93133</xdr:rowOff>
    </xdr:from>
    <xdr:to>
      <xdr:col>14</xdr:col>
      <xdr:colOff>87338</xdr:colOff>
      <xdr:row>137</xdr:row>
      <xdr:rowOff>399133</xdr:rowOff>
    </xdr:to>
    <xdr:sp macro="[0]!Mostrar8004Seccion" textlink="">
      <xdr:nvSpPr>
        <xdr:cNvPr id="18" name="Rectángulo redondeado 8">
          <a:extLst>
            <a:ext uri="{FF2B5EF4-FFF2-40B4-BE49-F238E27FC236}">
              <a16:creationId xmlns:a16="http://schemas.microsoft.com/office/drawing/2014/main" id="{1C213B2E-9E03-4F4A-B99F-13CD31520C71}"/>
            </a:ext>
          </a:extLst>
        </xdr:cNvPr>
        <xdr:cNvSpPr/>
      </xdr:nvSpPr>
      <xdr:spPr>
        <a:xfrm>
          <a:off x="10701872" y="328168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137</xdr:row>
      <xdr:rowOff>93133</xdr:rowOff>
    </xdr:from>
    <xdr:to>
      <xdr:col>15</xdr:col>
      <xdr:colOff>1157183</xdr:colOff>
      <xdr:row>137</xdr:row>
      <xdr:rowOff>399133</xdr:rowOff>
    </xdr:to>
    <xdr:sp macro="[0]!Ocultar8004Seccion" textlink="">
      <xdr:nvSpPr>
        <xdr:cNvPr id="19" name="Rectángulo redondeado 9">
          <a:extLst>
            <a:ext uri="{FF2B5EF4-FFF2-40B4-BE49-F238E27FC236}">
              <a16:creationId xmlns:a16="http://schemas.microsoft.com/office/drawing/2014/main" id="{0A82C347-5A50-42ED-9ECB-E211F107A0DB}"/>
            </a:ext>
          </a:extLst>
        </xdr:cNvPr>
        <xdr:cNvSpPr/>
      </xdr:nvSpPr>
      <xdr:spPr>
        <a:xfrm>
          <a:off x="12110382" y="328168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181</xdr:row>
      <xdr:rowOff>93133</xdr:rowOff>
    </xdr:from>
    <xdr:to>
      <xdr:col>14</xdr:col>
      <xdr:colOff>87338</xdr:colOff>
      <xdr:row>181</xdr:row>
      <xdr:rowOff>399133</xdr:rowOff>
    </xdr:to>
    <xdr:sp macro="[0]!Mostrar8005Seccion" textlink="">
      <xdr:nvSpPr>
        <xdr:cNvPr id="21" name="Rectángulo redondeado 8">
          <a:extLst>
            <a:ext uri="{FF2B5EF4-FFF2-40B4-BE49-F238E27FC236}">
              <a16:creationId xmlns:a16="http://schemas.microsoft.com/office/drawing/2014/main" id="{3ABB7225-79C3-41BF-9D0F-C8F63D16163E}"/>
            </a:ext>
          </a:extLst>
        </xdr:cNvPr>
        <xdr:cNvSpPr/>
      </xdr:nvSpPr>
      <xdr:spPr>
        <a:xfrm>
          <a:off x="10701872" y="482346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181</xdr:row>
      <xdr:rowOff>93133</xdr:rowOff>
    </xdr:from>
    <xdr:to>
      <xdr:col>15</xdr:col>
      <xdr:colOff>1157183</xdr:colOff>
      <xdr:row>181</xdr:row>
      <xdr:rowOff>399133</xdr:rowOff>
    </xdr:to>
    <xdr:sp macro="[0]!Ocultar8005Seccion" textlink="">
      <xdr:nvSpPr>
        <xdr:cNvPr id="22" name="Rectángulo redondeado 9">
          <a:extLst>
            <a:ext uri="{FF2B5EF4-FFF2-40B4-BE49-F238E27FC236}">
              <a16:creationId xmlns:a16="http://schemas.microsoft.com/office/drawing/2014/main" id="{EAD10B3C-9559-4338-BF11-C38FE5341EEF}"/>
            </a:ext>
          </a:extLst>
        </xdr:cNvPr>
        <xdr:cNvSpPr/>
      </xdr:nvSpPr>
      <xdr:spPr>
        <a:xfrm>
          <a:off x="12110382" y="482346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225</xdr:row>
      <xdr:rowOff>93133</xdr:rowOff>
    </xdr:from>
    <xdr:to>
      <xdr:col>14</xdr:col>
      <xdr:colOff>87338</xdr:colOff>
      <xdr:row>225</xdr:row>
      <xdr:rowOff>399133</xdr:rowOff>
    </xdr:to>
    <xdr:sp macro="[0]!Mostrar8006Seccion" textlink="">
      <xdr:nvSpPr>
        <xdr:cNvPr id="24" name="Rectángulo redondeado 8">
          <a:extLst>
            <a:ext uri="{FF2B5EF4-FFF2-40B4-BE49-F238E27FC236}">
              <a16:creationId xmlns:a16="http://schemas.microsoft.com/office/drawing/2014/main" id="{5D8C3723-8B05-46DF-9955-A5AA832A237D}"/>
            </a:ext>
          </a:extLst>
        </xdr:cNvPr>
        <xdr:cNvSpPr/>
      </xdr:nvSpPr>
      <xdr:spPr>
        <a:xfrm>
          <a:off x="10701872" y="636524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225</xdr:row>
      <xdr:rowOff>93133</xdr:rowOff>
    </xdr:from>
    <xdr:to>
      <xdr:col>15</xdr:col>
      <xdr:colOff>1157183</xdr:colOff>
      <xdr:row>225</xdr:row>
      <xdr:rowOff>399133</xdr:rowOff>
    </xdr:to>
    <xdr:sp macro="[0]!Ocultar8006Seccion" textlink="">
      <xdr:nvSpPr>
        <xdr:cNvPr id="25" name="Rectángulo redondeado 9">
          <a:extLst>
            <a:ext uri="{FF2B5EF4-FFF2-40B4-BE49-F238E27FC236}">
              <a16:creationId xmlns:a16="http://schemas.microsoft.com/office/drawing/2014/main" id="{DA8CF78A-C019-422F-8022-ACE535540A79}"/>
            </a:ext>
          </a:extLst>
        </xdr:cNvPr>
        <xdr:cNvSpPr/>
      </xdr:nvSpPr>
      <xdr:spPr>
        <a:xfrm>
          <a:off x="12110382" y="636524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269</xdr:row>
      <xdr:rowOff>93133</xdr:rowOff>
    </xdr:from>
    <xdr:to>
      <xdr:col>14</xdr:col>
      <xdr:colOff>87338</xdr:colOff>
      <xdr:row>269</xdr:row>
      <xdr:rowOff>399133</xdr:rowOff>
    </xdr:to>
    <xdr:sp macro="[0]!Mostrar9000Seccion" textlink="">
      <xdr:nvSpPr>
        <xdr:cNvPr id="5" name="Rectángulo redondeado 8">
          <a:extLst>
            <a:ext uri="{FF2B5EF4-FFF2-40B4-BE49-F238E27FC236}">
              <a16:creationId xmlns:a16="http://schemas.microsoft.com/office/drawing/2014/main" id="{0F8482DA-7EF7-40C9-ADA9-E456CFDAC652}"/>
            </a:ext>
          </a:extLst>
        </xdr:cNvPr>
        <xdr:cNvSpPr/>
      </xdr:nvSpPr>
      <xdr:spPr>
        <a:xfrm>
          <a:off x="10701872" y="13292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269</xdr:row>
      <xdr:rowOff>93133</xdr:rowOff>
    </xdr:from>
    <xdr:to>
      <xdr:col>15</xdr:col>
      <xdr:colOff>1157183</xdr:colOff>
      <xdr:row>269</xdr:row>
      <xdr:rowOff>399133</xdr:rowOff>
    </xdr:to>
    <xdr:sp macro="[0]!Ocultar9000Seccion" textlink="">
      <xdr:nvSpPr>
        <xdr:cNvPr id="6" name="Rectángulo redondeado 9">
          <a:extLst>
            <a:ext uri="{FF2B5EF4-FFF2-40B4-BE49-F238E27FC236}">
              <a16:creationId xmlns:a16="http://schemas.microsoft.com/office/drawing/2014/main" id="{97D1F41E-89E1-4011-BA4C-5331F460401D}"/>
            </a:ext>
          </a:extLst>
        </xdr:cNvPr>
        <xdr:cNvSpPr/>
      </xdr:nvSpPr>
      <xdr:spPr>
        <a:xfrm>
          <a:off x="12110382" y="13292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11</xdr:col>
      <xdr:colOff>2294472</xdr:colOff>
      <xdr:row>271</xdr:row>
      <xdr:rowOff>93133</xdr:rowOff>
    </xdr:from>
    <xdr:to>
      <xdr:col>14</xdr:col>
      <xdr:colOff>87338</xdr:colOff>
      <xdr:row>271</xdr:row>
      <xdr:rowOff>399133</xdr:rowOff>
    </xdr:to>
    <xdr:sp macro="[0]!Mostrar9001Seccion" textlink="">
      <xdr:nvSpPr>
        <xdr:cNvPr id="26" name="Rectángulo redondeado 8">
          <a:extLst>
            <a:ext uri="{FF2B5EF4-FFF2-40B4-BE49-F238E27FC236}">
              <a16:creationId xmlns:a16="http://schemas.microsoft.com/office/drawing/2014/main" id="{131E8968-404C-4C7A-A929-C9FEDD193DDC}"/>
            </a:ext>
          </a:extLst>
        </xdr:cNvPr>
        <xdr:cNvSpPr/>
      </xdr:nvSpPr>
      <xdr:spPr>
        <a:xfrm>
          <a:off x="10701872" y="207348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271</xdr:row>
      <xdr:rowOff>93133</xdr:rowOff>
    </xdr:from>
    <xdr:to>
      <xdr:col>15</xdr:col>
      <xdr:colOff>1157183</xdr:colOff>
      <xdr:row>271</xdr:row>
      <xdr:rowOff>399133</xdr:rowOff>
    </xdr:to>
    <xdr:sp macro="[0]!Ocultar9001Seccion" textlink="">
      <xdr:nvSpPr>
        <xdr:cNvPr id="27" name="Rectángulo redondeado 9">
          <a:extLst>
            <a:ext uri="{FF2B5EF4-FFF2-40B4-BE49-F238E27FC236}">
              <a16:creationId xmlns:a16="http://schemas.microsoft.com/office/drawing/2014/main" id="{C0471D71-F777-4219-84E0-BCCE1D8344EF}"/>
            </a:ext>
          </a:extLst>
        </xdr:cNvPr>
        <xdr:cNvSpPr/>
      </xdr:nvSpPr>
      <xdr:spPr>
        <a:xfrm>
          <a:off x="12110382" y="207348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273</xdr:row>
      <xdr:rowOff>88903</xdr:rowOff>
    </xdr:from>
    <xdr:to>
      <xdr:col>3</xdr:col>
      <xdr:colOff>657227</xdr:colOff>
      <xdr:row>273</xdr:row>
      <xdr:rowOff>696385</xdr:rowOff>
    </xdr:to>
    <xdr:pic>
      <xdr:nvPicPr>
        <xdr:cNvPr id="28" name="Imagen 27">
          <a:extLst>
            <a:ext uri="{FF2B5EF4-FFF2-40B4-BE49-F238E27FC236}">
              <a16:creationId xmlns:a16="http://schemas.microsoft.com/office/drawing/2014/main" id="{894A7B78-AF55-412B-91CE-364232946047}"/>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5888570"/>
          <a:ext cx="1382183" cy="607482"/>
        </a:xfrm>
        <a:prstGeom prst="rect">
          <a:avLst/>
        </a:prstGeom>
      </xdr:spPr>
    </xdr:pic>
    <xdr:clientData/>
  </xdr:twoCellAnchor>
  <xdr:twoCellAnchor>
    <xdr:from>
      <xdr:col>11</xdr:col>
      <xdr:colOff>2294472</xdr:colOff>
      <xdr:row>315</xdr:row>
      <xdr:rowOff>93133</xdr:rowOff>
    </xdr:from>
    <xdr:to>
      <xdr:col>14</xdr:col>
      <xdr:colOff>87338</xdr:colOff>
      <xdr:row>315</xdr:row>
      <xdr:rowOff>399133</xdr:rowOff>
    </xdr:to>
    <xdr:sp macro="[0]!Mostrar9002Seccion" textlink="">
      <xdr:nvSpPr>
        <xdr:cNvPr id="29" name="Rectángulo redondeado 8">
          <a:extLst>
            <a:ext uri="{FF2B5EF4-FFF2-40B4-BE49-F238E27FC236}">
              <a16:creationId xmlns:a16="http://schemas.microsoft.com/office/drawing/2014/main" id="{ED1B446E-336E-4AFF-AAA7-9079844B3CA0}"/>
            </a:ext>
          </a:extLst>
        </xdr:cNvPr>
        <xdr:cNvSpPr/>
      </xdr:nvSpPr>
      <xdr:spPr>
        <a:xfrm>
          <a:off x="10701872" y="213868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315</xdr:row>
      <xdr:rowOff>93133</xdr:rowOff>
    </xdr:from>
    <xdr:to>
      <xdr:col>15</xdr:col>
      <xdr:colOff>1157183</xdr:colOff>
      <xdr:row>315</xdr:row>
      <xdr:rowOff>399133</xdr:rowOff>
    </xdr:to>
    <xdr:sp macro="[0]!Ocultar9002Seccion" textlink="">
      <xdr:nvSpPr>
        <xdr:cNvPr id="30" name="Rectángulo redondeado 9">
          <a:extLst>
            <a:ext uri="{FF2B5EF4-FFF2-40B4-BE49-F238E27FC236}">
              <a16:creationId xmlns:a16="http://schemas.microsoft.com/office/drawing/2014/main" id="{CA3F50E3-F929-40CB-95FA-14874F07685E}"/>
            </a:ext>
          </a:extLst>
        </xdr:cNvPr>
        <xdr:cNvSpPr/>
      </xdr:nvSpPr>
      <xdr:spPr>
        <a:xfrm>
          <a:off x="12110382" y="213868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317</xdr:row>
      <xdr:rowOff>88903</xdr:rowOff>
    </xdr:from>
    <xdr:to>
      <xdr:col>3</xdr:col>
      <xdr:colOff>657227</xdr:colOff>
      <xdr:row>317</xdr:row>
      <xdr:rowOff>696385</xdr:rowOff>
    </xdr:to>
    <xdr:pic>
      <xdr:nvPicPr>
        <xdr:cNvPr id="31" name="Imagen 30">
          <a:extLst>
            <a:ext uri="{FF2B5EF4-FFF2-40B4-BE49-F238E27FC236}">
              <a16:creationId xmlns:a16="http://schemas.microsoft.com/office/drawing/2014/main" id="{25595C91-9142-4729-9808-611B7B3576E9}"/>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22034503"/>
          <a:ext cx="1382183" cy="607482"/>
        </a:xfrm>
        <a:prstGeom prst="rect">
          <a:avLst/>
        </a:prstGeom>
      </xdr:spPr>
    </xdr:pic>
    <xdr:clientData/>
  </xdr:twoCellAnchor>
  <xdr:twoCellAnchor>
    <xdr:from>
      <xdr:col>11</xdr:col>
      <xdr:colOff>2294472</xdr:colOff>
      <xdr:row>359</xdr:row>
      <xdr:rowOff>93133</xdr:rowOff>
    </xdr:from>
    <xdr:to>
      <xdr:col>14</xdr:col>
      <xdr:colOff>87338</xdr:colOff>
      <xdr:row>359</xdr:row>
      <xdr:rowOff>399133</xdr:rowOff>
    </xdr:to>
    <xdr:sp macro="[0]!Mostrar9003Seccion" textlink="">
      <xdr:nvSpPr>
        <xdr:cNvPr id="32" name="Rectángulo redondeado 8">
          <a:extLst>
            <a:ext uri="{FF2B5EF4-FFF2-40B4-BE49-F238E27FC236}">
              <a16:creationId xmlns:a16="http://schemas.microsoft.com/office/drawing/2014/main" id="{31C95EC8-12FC-4432-AAB9-3AB1CE83F1AC}"/>
            </a:ext>
          </a:extLst>
        </xdr:cNvPr>
        <xdr:cNvSpPr/>
      </xdr:nvSpPr>
      <xdr:spPr>
        <a:xfrm>
          <a:off x="10701872" y="213868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359</xdr:row>
      <xdr:rowOff>93133</xdr:rowOff>
    </xdr:from>
    <xdr:to>
      <xdr:col>15</xdr:col>
      <xdr:colOff>1157183</xdr:colOff>
      <xdr:row>359</xdr:row>
      <xdr:rowOff>399133</xdr:rowOff>
    </xdr:to>
    <xdr:sp macro="[0]!Ocultar9003Seccion" textlink="">
      <xdr:nvSpPr>
        <xdr:cNvPr id="33" name="Rectángulo redondeado 9">
          <a:extLst>
            <a:ext uri="{FF2B5EF4-FFF2-40B4-BE49-F238E27FC236}">
              <a16:creationId xmlns:a16="http://schemas.microsoft.com/office/drawing/2014/main" id="{28205370-5541-49D2-89B2-822588D2729A}"/>
            </a:ext>
          </a:extLst>
        </xdr:cNvPr>
        <xdr:cNvSpPr/>
      </xdr:nvSpPr>
      <xdr:spPr>
        <a:xfrm>
          <a:off x="12110382" y="21386800"/>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361</xdr:row>
      <xdr:rowOff>88903</xdr:rowOff>
    </xdr:from>
    <xdr:to>
      <xdr:col>3</xdr:col>
      <xdr:colOff>657227</xdr:colOff>
      <xdr:row>361</xdr:row>
      <xdr:rowOff>696385</xdr:rowOff>
    </xdr:to>
    <xdr:pic>
      <xdr:nvPicPr>
        <xdr:cNvPr id="34" name="Imagen 33">
          <a:extLst>
            <a:ext uri="{FF2B5EF4-FFF2-40B4-BE49-F238E27FC236}">
              <a16:creationId xmlns:a16="http://schemas.microsoft.com/office/drawing/2014/main" id="{D168D171-2E51-46E0-9E96-CA286E5CD30D}"/>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22034503"/>
          <a:ext cx="1382183" cy="607482"/>
        </a:xfrm>
        <a:prstGeom prst="rect">
          <a:avLst/>
        </a:prstGeom>
      </xdr:spPr>
    </xdr:pic>
    <xdr:clientData/>
  </xdr:twoCellAnchor>
  <xdr:twoCellAnchor>
    <xdr:from>
      <xdr:col>11</xdr:col>
      <xdr:colOff>2294472</xdr:colOff>
      <xdr:row>403</xdr:row>
      <xdr:rowOff>93133</xdr:rowOff>
    </xdr:from>
    <xdr:to>
      <xdr:col>14</xdr:col>
      <xdr:colOff>87338</xdr:colOff>
      <xdr:row>403</xdr:row>
      <xdr:rowOff>399133</xdr:rowOff>
    </xdr:to>
    <xdr:sp macro="[0]!Mostrar9004Seccion" textlink="">
      <xdr:nvSpPr>
        <xdr:cNvPr id="37" name="Rectángulo redondeado 8">
          <a:extLst>
            <a:ext uri="{FF2B5EF4-FFF2-40B4-BE49-F238E27FC236}">
              <a16:creationId xmlns:a16="http://schemas.microsoft.com/office/drawing/2014/main" id="{038119D7-433A-4565-920E-6019EAB3F8DE}"/>
            </a:ext>
          </a:extLst>
        </xdr:cNvPr>
        <xdr:cNvSpPr/>
      </xdr:nvSpPr>
      <xdr:spPr>
        <a:xfrm>
          <a:off x="10701872" y="672168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Mostrar</a:t>
          </a:r>
          <a:r>
            <a:rPr lang="es-CO" sz="1200" baseline="0">
              <a:solidFill>
                <a:schemeClr val="bg1"/>
              </a:solidFill>
              <a:latin typeface="Candara" panose="020E0502030303020204" pitchFamily="34" charset="0"/>
            </a:rPr>
            <a:t> </a:t>
          </a:r>
          <a:endParaRPr lang="es-CO" sz="1200">
            <a:solidFill>
              <a:schemeClr val="bg1"/>
            </a:solidFill>
            <a:latin typeface="Candara" panose="020E0502030303020204" pitchFamily="34" charset="0"/>
          </a:endParaRPr>
        </a:p>
      </xdr:txBody>
    </xdr:sp>
    <xdr:clientData/>
  </xdr:twoCellAnchor>
  <xdr:twoCellAnchor>
    <xdr:from>
      <xdr:col>14</xdr:col>
      <xdr:colOff>307849</xdr:colOff>
      <xdr:row>403</xdr:row>
      <xdr:rowOff>93133</xdr:rowOff>
    </xdr:from>
    <xdr:to>
      <xdr:col>15</xdr:col>
      <xdr:colOff>1157183</xdr:colOff>
      <xdr:row>403</xdr:row>
      <xdr:rowOff>399133</xdr:rowOff>
    </xdr:to>
    <xdr:sp macro="[0]!Ocultar9004Seccion" textlink="">
      <xdr:nvSpPr>
        <xdr:cNvPr id="38" name="Rectángulo redondeado 9">
          <a:extLst>
            <a:ext uri="{FF2B5EF4-FFF2-40B4-BE49-F238E27FC236}">
              <a16:creationId xmlns:a16="http://schemas.microsoft.com/office/drawing/2014/main" id="{0665696A-DE85-47DC-B380-C01E306D7F49}"/>
            </a:ext>
          </a:extLst>
        </xdr:cNvPr>
        <xdr:cNvSpPr/>
      </xdr:nvSpPr>
      <xdr:spPr>
        <a:xfrm>
          <a:off x="12110382" y="67216866"/>
          <a:ext cx="1188001"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Ocultar</a:t>
          </a:r>
        </a:p>
      </xdr:txBody>
    </xdr:sp>
    <xdr:clientData/>
  </xdr:twoCellAnchor>
  <xdr:twoCellAnchor>
    <xdr:from>
      <xdr:col>1</xdr:col>
      <xdr:colOff>104777</xdr:colOff>
      <xdr:row>405</xdr:row>
      <xdr:rowOff>88903</xdr:rowOff>
    </xdr:from>
    <xdr:to>
      <xdr:col>3</xdr:col>
      <xdr:colOff>657227</xdr:colOff>
      <xdr:row>405</xdr:row>
      <xdr:rowOff>696385</xdr:rowOff>
    </xdr:to>
    <xdr:pic>
      <xdr:nvPicPr>
        <xdr:cNvPr id="39" name="Imagen 38">
          <a:extLst>
            <a:ext uri="{FF2B5EF4-FFF2-40B4-BE49-F238E27FC236}">
              <a16:creationId xmlns:a16="http://schemas.microsoft.com/office/drawing/2014/main" id="{817ED036-B224-4B21-A915-457E270061E5}"/>
            </a:ext>
          </a:extLst>
        </xdr:cNvPr>
        <xdr:cNvPicPr>
          <a:picLocks noChangeAspect="1"/>
        </xdr:cNvPicPr>
      </xdr:nvPicPr>
      <xdr:blipFill>
        <a:blip xmlns:r="http://schemas.openxmlformats.org/officeDocument/2006/relationships" r:embed="rId1">
          <a:clrChange>
            <a:clrFrom>
              <a:srgbClr val="F3F3F3"/>
            </a:clrFrom>
            <a:clrTo>
              <a:srgbClr val="F3F3F3">
                <a:alpha val="0"/>
              </a:srgbClr>
            </a:clrTo>
          </a:clrChange>
        </a:blip>
        <a:stretch>
          <a:fillRect/>
        </a:stretch>
      </xdr:blipFill>
      <xdr:spPr>
        <a:xfrm>
          <a:off x="214844" y="67864570"/>
          <a:ext cx="1382183" cy="607482"/>
        </a:xfrm>
        <a:prstGeom prst="rect">
          <a:avLst/>
        </a:prstGeom>
      </xdr:spPr>
    </xdr:pic>
    <xdr:clientData/>
  </xdr:twoCellAnchor>
  <xdr:twoCellAnchor>
    <xdr:from>
      <xdr:col>10</xdr:col>
      <xdr:colOff>313262</xdr:colOff>
      <xdr:row>5</xdr:row>
      <xdr:rowOff>93134</xdr:rowOff>
    </xdr:from>
    <xdr:to>
      <xdr:col>11</xdr:col>
      <xdr:colOff>1086394</xdr:colOff>
      <xdr:row>5</xdr:row>
      <xdr:rowOff>399134</xdr:rowOff>
    </xdr:to>
    <xdr:sp macro="[0]!Bimestre1PDF" textlink="">
      <xdr:nvSpPr>
        <xdr:cNvPr id="35" name="Rectángulo redondeado 8">
          <a:extLst>
            <a:ext uri="{FF2B5EF4-FFF2-40B4-BE49-F238E27FC236}">
              <a16:creationId xmlns:a16="http://schemas.microsoft.com/office/drawing/2014/main" id="{229EB63D-F770-4F71-B4AC-700588B39F70}"/>
            </a:ext>
          </a:extLst>
        </xdr:cNvPr>
        <xdr:cNvSpPr/>
      </xdr:nvSpPr>
      <xdr:spPr>
        <a:xfrm>
          <a:off x="8305795" y="1981201"/>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313265</xdr:colOff>
      <xdr:row>49</xdr:row>
      <xdr:rowOff>84666</xdr:rowOff>
    </xdr:from>
    <xdr:to>
      <xdr:col>11</xdr:col>
      <xdr:colOff>1086397</xdr:colOff>
      <xdr:row>49</xdr:row>
      <xdr:rowOff>390666</xdr:rowOff>
    </xdr:to>
    <xdr:sp macro="[0]!Bimestre2PDF" textlink="">
      <xdr:nvSpPr>
        <xdr:cNvPr id="36" name="Rectángulo redondeado 8">
          <a:extLst>
            <a:ext uri="{FF2B5EF4-FFF2-40B4-BE49-F238E27FC236}">
              <a16:creationId xmlns:a16="http://schemas.microsoft.com/office/drawing/2014/main" id="{A391B775-3B47-4C6C-AEC3-A981D973CE57}"/>
            </a:ext>
          </a:extLst>
        </xdr:cNvPr>
        <xdr:cNvSpPr/>
      </xdr:nvSpPr>
      <xdr:spPr>
        <a:xfrm>
          <a:off x="8305798" y="2624666"/>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313263</xdr:colOff>
      <xdr:row>93</xdr:row>
      <xdr:rowOff>76200</xdr:rowOff>
    </xdr:from>
    <xdr:to>
      <xdr:col>11</xdr:col>
      <xdr:colOff>1086395</xdr:colOff>
      <xdr:row>93</xdr:row>
      <xdr:rowOff>382200</xdr:rowOff>
    </xdr:to>
    <xdr:sp macro="[0]!Bimestre3PDF" textlink="">
      <xdr:nvSpPr>
        <xdr:cNvPr id="40" name="Rectángulo redondeado 8">
          <a:extLst>
            <a:ext uri="{FF2B5EF4-FFF2-40B4-BE49-F238E27FC236}">
              <a16:creationId xmlns:a16="http://schemas.microsoft.com/office/drawing/2014/main" id="{6DD38753-D866-40EC-80D3-96872B9E4423}"/>
            </a:ext>
          </a:extLst>
        </xdr:cNvPr>
        <xdr:cNvSpPr/>
      </xdr:nvSpPr>
      <xdr:spPr>
        <a:xfrm>
          <a:off x="8305796" y="3268133"/>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313266</xdr:colOff>
      <xdr:row>137</xdr:row>
      <xdr:rowOff>93133</xdr:rowOff>
    </xdr:from>
    <xdr:to>
      <xdr:col>11</xdr:col>
      <xdr:colOff>1086398</xdr:colOff>
      <xdr:row>137</xdr:row>
      <xdr:rowOff>399133</xdr:rowOff>
    </xdr:to>
    <xdr:sp macro="[0]!Bimestre4PDF" textlink="">
      <xdr:nvSpPr>
        <xdr:cNvPr id="41" name="Rectángulo redondeado 8">
          <a:extLst>
            <a:ext uri="{FF2B5EF4-FFF2-40B4-BE49-F238E27FC236}">
              <a16:creationId xmlns:a16="http://schemas.microsoft.com/office/drawing/2014/main" id="{F63C16DE-F868-41D6-9627-24503CA89875}"/>
            </a:ext>
          </a:extLst>
        </xdr:cNvPr>
        <xdr:cNvSpPr/>
      </xdr:nvSpPr>
      <xdr:spPr>
        <a:xfrm>
          <a:off x="8305799" y="3937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313265</xdr:colOff>
      <xdr:row>181</xdr:row>
      <xdr:rowOff>76200</xdr:rowOff>
    </xdr:from>
    <xdr:to>
      <xdr:col>11</xdr:col>
      <xdr:colOff>1086397</xdr:colOff>
      <xdr:row>181</xdr:row>
      <xdr:rowOff>382200</xdr:rowOff>
    </xdr:to>
    <xdr:sp macro="[0]!Bimestre5PDF" textlink="">
      <xdr:nvSpPr>
        <xdr:cNvPr id="42" name="Rectángulo redondeado 8">
          <a:extLst>
            <a:ext uri="{FF2B5EF4-FFF2-40B4-BE49-F238E27FC236}">
              <a16:creationId xmlns:a16="http://schemas.microsoft.com/office/drawing/2014/main" id="{C3B21AFB-DCCD-408B-B4EA-FC913503F7FB}"/>
            </a:ext>
          </a:extLst>
        </xdr:cNvPr>
        <xdr:cNvSpPr/>
      </xdr:nvSpPr>
      <xdr:spPr>
        <a:xfrm>
          <a:off x="8305798" y="4572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313267</xdr:colOff>
      <xdr:row>225</xdr:row>
      <xdr:rowOff>84667</xdr:rowOff>
    </xdr:from>
    <xdr:to>
      <xdr:col>11</xdr:col>
      <xdr:colOff>1086399</xdr:colOff>
      <xdr:row>225</xdr:row>
      <xdr:rowOff>390667</xdr:rowOff>
    </xdr:to>
    <xdr:sp macro="[0]!Bimestre6PDF" textlink="">
      <xdr:nvSpPr>
        <xdr:cNvPr id="43" name="Rectángulo redondeado 8">
          <a:extLst>
            <a:ext uri="{FF2B5EF4-FFF2-40B4-BE49-F238E27FC236}">
              <a16:creationId xmlns:a16="http://schemas.microsoft.com/office/drawing/2014/main" id="{71FF0221-4DE6-4649-8A73-485C6030C428}"/>
            </a:ext>
          </a:extLst>
        </xdr:cNvPr>
        <xdr:cNvSpPr/>
      </xdr:nvSpPr>
      <xdr:spPr>
        <a:xfrm>
          <a:off x="8305800" y="52324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296327</xdr:colOff>
      <xdr:row>271</xdr:row>
      <xdr:rowOff>93134</xdr:rowOff>
    </xdr:from>
    <xdr:to>
      <xdr:col>11</xdr:col>
      <xdr:colOff>1069459</xdr:colOff>
      <xdr:row>271</xdr:row>
      <xdr:rowOff>399134</xdr:rowOff>
    </xdr:to>
    <xdr:sp macro="[0]!CUATRIMESTRE1PDF" textlink="">
      <xdr:nvSpPr>
        <xdr:cNvPr id="3" name="Rectángulo redondeado 8">
          <a:extLst>
            <a:ext uri="{FF2B5EF4-FFF2-40B4-BE49-F238E27FC236}">
              <a16:creationId xmlns:a16="http://schemas.microsoft.com/office/drawing/2014/main" id="{4DD89D00-EFA1-498F-9542-0DFABA7896EB}"/>
            </a:ext>
          </a:extLst>
        </xdr:cNvPr>
        <xdr:cNvSpPr/>
      </xdr:nvSpPr>
      <xdr:spPr>
        <a:xfrm>
          <a:off x="8288860" y="6544734"/>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296323</xdr:colOff>
      <xdr:row>315</xdr:row>
      <xdr:rowOff>76200</xdr:rowOff>
    </xdr:from>
    <xdr:to>
      <xdr:col>11</xdr:col>
      <xdr:colOff>1069455</xdr:colOff>
      <xdr:row>315</xdr:row>
      <xdr:rowOff>382200</xdr:rowOff>
    </xdr:to>
    <xdr:sp macro="[0]!CUATRIMESTRE2PDF" textlink="">
      <xdr:nvSpPr>
        <xdr:cNvPr id="44" name="Rectángulo redondeado 8">
          <a:extLst>
            <a:ext uri="{FF2B5EF4-FFF2-40B4-BE49-F238E27FC236}">
              <a16:creationId xmlns:a16="http://schemas.microsoft.com/office/drawing/2014/main" id="{8C5F4C7F-9A22-4314-8224-6236225A225D}"/>
            </a:ext>
          </a:extLst>
        </xdr:cNvPr>
        <xdr:cNvSpPr/>
      </xdr:nvSpPr>
      <xdr:spPr>
        <a:xfrm>
          <a:off x="8288856" y="7179733"/>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296324</xdr:colOff>
      <xdr:row>359</xdr:row>
      <xdr:rowOff>84666</xdr:rowOff>
    </xdr:from>
    <xdr:to>
      <xdr:col>11</xdr:col>
      <xdr:colOff>1069456</xdr:colOff>
      <xdr:row>359</xdr:row>
      <xdr:rowOff>390666</xdr:rowOff>
    </xdr:to>
    <xdr:sp macro="[0]!Cuatrimestre3PDF" textlink="">
      <xdr:nvSpPr>
        <xdr:cNvPr id="45" name="Rectángulo redondeado 8">
          <a:extLst>
            <a:ext uri="{FF2B5EF4-FFF2-40B4-BE49-F238E27FC236}">
              <a16:creationId xmlns:a16="http://schemas.microsoft.com/office/drawing/2014/main" id="{22BD3614-A79E-47EE-BBBC-E7A6343F006C}"/>
            </a:ext>
          </a:extLst>
        </xdr:cNvPr>
        <xdr:cNvSpPr/>
      </xdr:nvSpPr>
      <xdr:spPr>
        <a:xfrm>
          <a:off x="8288857" y="7840133"/>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twoCellAnchor>
    <xdr:from>
      <xdr:col>10</xdr:col>
      <xdr:colOff>296325</xdr:colOff>
      <xdr:row>403</xdr:row>
      <xdr:rowOff>101600</xdr:rowOff>
    </xdr:from>
    <xdr:to>
      <xdr:col>11</xdr:col>
      <xdr:colOff>1069457</xdr:colOff>
      <xdr:row>403</xdr:row>
      <xdr:rowOff>407600</xdr:rowOff>
    </xdr:to>
    <xdr:sp macro="[0]!AnualPDF" textlink="">
      <xdr:nvSpPr>
        <xdr:cNvPr id="46" name="Rectángulo redondeado 8">
          <a:extLst>
            <a:ext uri="{FF2B5EF4-FFF2-40B4-BE49-F238E27FC236}">
              <a16:creationId xmlns:a16="http://schemas.microsoft.com/office/drawing/2014/main" id="{354920FA-C9A7-4647-A564-1C141A4A5947}"/>
            </a:ext>
          </a:extLst>
        </xdr:cNvPr>
        <xdr:cNvSpPr/>
      </xdr:nvSpPr>
      <xdr:spPr>
        <a:xfrm>
          <a:off x="8288858" y="8509000"/>
          <a:ext cx="1187999" cy="306000"/>
        </a:xfrm>
        <a:prstGeom prst="roundRect">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a:solidFill>
                <a:schemeClr val="bg1"/>
              </a:solidFill>
              <a:latin typeface="Candara" panose="020E0502030303020204" pitchFamily="34" charset="0"/>
            </a:rPr>
            <a:t>Exportar</a:t>
          </a:r>
          <a:r>
            <a:rPr lang="es-CO" sz="1200" baseline="0">
              <a:solidFill>
                <a:schemeClr val="bg1"/>
              </a:solidFill>
              <a:latin typeface="Candara" panose="020E0502030303020204" pitchFamily="34" charset="0"/>
            </a:rPr>
            <a:t> a PDF </a:t>
          </a:r>
          <a:endParaRPr lang="es-CO" sz="1200">
            <a:solidFill>
              <a:schemeClr val="bg1"/>
            </a:solidFill>
            <a:latin typeface="Candara" panose="020E050203030302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tabColor rgb="FFFFFF00"/>
  </sheetPr>
  <dimension ref="A1:AJ161"/>
  <sheetViews>
    <sheetView zoomScaleNormal="100" workbookViewId="0">
      <selection activeCell="AI3" sqref="AI3:AI11"/>
    </sheetView>
  </sheetViews>
  <sheetFormatPr baseColWidth="10" defaultColWidth="11.42578125" defaultRowHeight="15.75" x14ac:dyDescent="0.25"/>
  <cols>
    <col min="1" max="1" width="3.7109375" style="23" customWidth="1"/>
    <col min="2" max="2" width="27.42578125" style="19" customWidth="1"/>
    <col min="3" max="3" width="33.85546875" style="19" bestFit="1" customWidth="1"/>
    <col min="4" max="4" width="34.5703125" style="19" bestFit="1" customWidth="1"/>
    <col min="5" max="5" width="31.85546875" style="19" bestFit="1" customWidth="1"/>
    <col min="6" max="6" width="32.140625" style="19" bestFit="1" customWidth="1"/>
    <col min="7" max="7" width="34.140625" style="19" bestFit="1" customWidth="1"/>
    <col min="8" max="8" width="32.140625" style="19" bestFit="1" customWidth="1"/>
    <col min="9" max="9" width="34.28515625" style="19" bestFit="1" customWidth="1"/>
    <col min="10" max="10" width="31.5703125" style="19" bestFit="1" customWidth="1"/>
    <col min="11" max="11" width="32.28515625" style="19" bestFit="1" customWidth="1"/>
    <col min="12" max="12" width="34.28515625" style="19" bestFit="1" customWidth="1"/>
    <col min="13" max="13" width="11.42578125" style="23"/>
    <col min="14" max="14" width="13.5703125" style="19" bestFit="1" customWidth="1"/>
    <col min="15" max="15" width="5.42578125" style="23" customWidth="1"/>
    <col min="16" max="16" width="88.7109375" style="39" customWidth="1"/>
    <col min="17" max="17" width="16.42578125" style="37" bestFit="1" customWidth="1"/>
    <col min="18" max="18" width="11.42578125" style="23"/>
    <col min="19" max="19" width="88.7109375" style="39" customWidth="1"/>
    <col min="20" max="20" width="16.42578125" style="37" bestFit="1" customWidth="1"/>
    <col min="21" max="21" width="11.42578125" style="23"/>
    <col min="22" max="22" width="88.7109375" style="39" customWidth="1"/>
    <col min="23" max="23" width="16.42578125" style="37" bestFit="1" customWidth="1"/>
    <col min="24" max="24" width="11.42578125" style="23"/>
    <col min="25" max="25" width="88.7109375" style="39" customWidth="1"/>
    <col min="26" max="26" width="16.42578125" style="37" bestFit="1" customWidth="1"/>
    <col min="27" max="27" width="11.42578125" style="23"/>
    <col min="28" max="28" width="88.7109375" style="39" customWidth="1"/>
    <col min="29" max="29" width="16.42578125" style="37" bestFit="1" customWidth="1"/>
    <col min="30" max="30" width="11.42578125" style="23"/>
    <col min="31" max="31" width="11.42578125" style="19"/>
    <col min="32" max="32" width="11.42578125" style="23"/>
    <col min="33" max="33" width="56.42578125" style="19" bestFit="1" customWidth="1"/>
    <col min="34" max="34" width="11.42578125" style="23"/>
    <col min="35" max="35" width="87.28515625" style="19" bestFit="1" customWidth="1"/>
    <col min="36" max="36" width="11.42578125" style="23"/>
    <col min="37" max="16384" width="11.42578125" style="19"/>
  </cols>
  <sheetData>
    <row r="1" spans="1:36" s="22" customFormat="1" ht="31.15" customHeight="1" x14ac:dyDescent="0.25">
      <c r="A1" s="21"/>
      <c r="B1" s="244" t="s">
        <v>23</v>
      </c>
      <c r="C1" s="244"/>
      <c r="D1" s="244"/>
      <c r="E1" s="244"/>
      <c r="F1" s="244"/>
      <c r="G1" s="244"/>
      <c r="H1" s="244"/>
      <c r="I1" s="244"/>
      <c r="J1" s="244"/>
      <c r="K1" s="244"/>
      <c r="L1" s="244"/>
      <c r="M1" s="21"/>
      <c r="N1" s="22" t="s">
        <v>11</v>
      </c>
      <c r="O1" s="21"/>
      <c r="P1" s="38" t="s">
        <v>63</v>
      </c>
      <c r="Q1" s="22" t="s">
        <v>226</v>
      </c>
      <c r="R1" s="21"/>
      <c r="S1" s="38" t="s">
        <v>244</v>
      </c>
      <c r="T1" s="22" t="s">
        <v>226</v>
      </c>
      <c r="U1" s="21"/>
      <c r="V1" s="38" t="s">
        <v>364</v>
      </c>
      <c r="W1" s="22" t="s">
        <v>226</v>
      </c>
      <c r="X1" s="21"/>
      <c r="Y1" s="38" t="s">
        <v>745</v>
      </c>
      <c r="Z1" s="22" t="s">
        <v>226</v>
      </c>
      <c r="AA1" s="21"/>
      <c r="AB1" s="38" t="s">
        <v>749</v>
      </c>
      <c r="AC1" s="22" t="s">
        <v>754</v>
      </c>
      <c r="AD1" s="21"/>
      <c r="AE1" s="22" t="s">
        <v>869</v>
      </c>
      <c r="AF1" s="21"/>
      <c r="AG1" s="22" t="s">
        <v>916</v>
      </c>
      <c r="AH1" s="21"/>
      <c r="AI1" s="22" t="s">
        <v>917</v>
      </c>
      <c r="AJ1" s="21"/>
    </row>
    <row r="2" spans="1:36" s="22" customFormat="1" ht="31.15" customHeight="1" x14ac:dyDescent="0.25">
      <c r="A2" s="21"/>
      <c r="B2" s="29" t="s">
        <v>22</v>
      </c>
      <c r="C2" s="32" t="e">
        <f>VALUE(+RIGHT('Datos contribuyente'!$E$6,1))</f>
        <v>#VALUE!</v>
      </c>
      <c r="D2" s="28"/>
      <c r="E2" s="28"/>
      <c r="F2" s="28"/>
      <c r="G2" s="28"/>
      <c r="H2" s="28"/>
      <c r="I2" s="28"/>
      <c r="J2" s="28"/>
      <c r="K2" s="28"/>
      <c r="L2" s="28"/>
      <c r="M2" s="21"/>
      <c r="O2" s="21"/>
      <c r="P2" s="41" t="s">
        <v>64</v>
      </c>
      <c r="Q2" s="42" t="s">
        <v>65</v>
      </c>
      <c r="R2" s="21"/>
      <c r="S2" s="41" t="s">
        <v>245</v>
      </c>
      <c r="T2" s="42" t="s">
        <v>246</v>
      </c>
      <c r="U2" s="21"/>
      <c r="V2" s="41" t="s">
        <v>365</v>
      </c>
      <c r="W2" s="42"/>
      <c r="X2" s="21"/>
      <c r="Y2" s="41" t="s">
        <v>421</v>
      </c>
      <c r="Z2" s="42" t="s">
        <v>422</v>
      </c>
      <c r="AA2" s="21"/>
      <c r="AB2" s="41" t="s">
        <v>751</v>
      </c>
      <c r="AC2" s="42" t="s">
        <v>755</v>
      </c>
      <c r="AD2" s="21"/>
      <c r="AE2" s="42" t="s">
        <v>870</v>
      </c>
      <c r="AF2" s="21"/>
      <c r="AG2" s="42" t="s">
        <v>911</v>
      </c>
      <c r="AH2" s="21"/>
      <c r="AI2" s="42" t="s">
        <v>911</v>
      </c>
      <c r="AJ2" s="21"/>
    </row>
    <row r="3" spans="1:36" x14ac:dyDescent="0.25">
      <c r="B3" s="30" t="s">
        <v>15</v>
      </c>
      <c r="C3" s="33">
        <v>1</v>
      </c>
      <c r="D3" s="33">
        <v>2</v>
      </c>
      <c r="E3" s="33">
        <v>3</v>
      </c>
      <c r="F3" s="33">
        <v>4</v>
      </c>
      <c r="G3" s="33">
        <v>5</v>
      </c>
      <c r="H3" s="33">
        <v>6</v>
      </c>
      <c r="I3" s="33">
        <v>7</v>
      </c>
      <c r="J3" s="33">
        <v>8</v>
      </c>
      <c r="K3" s="33">
        <v>9</v>
      </c>
      <c r="L3" s="33">
        <v>0</v>
      </c>
      <c r="N3" s="19" t="s">
        <v>12</v>
      </c>
      <c r="P3" s="39" t="s">
        <v>66</v>
      </c>
      <c r="Q3" s="37" t="s">
        <v>67</v>
      </c>
      <c r="S3" s="39" t="s">
        <v>247</v>
      </c>
      <c r="T3" s="37" t="s">
        <v>248</v>
      </c>
      <c r="V3" s="39" t="s">
        <v>366</v>
      </c>
      <c r="Y3" s="39" t="s">
        <v>423</v>
      </c>
      <c r="Z3" s="37" t="s">
        <v>424</v>
      </c>
      <c r="AB3" s="39" t="s">
        <v>752</v>
      </c>
      <c r="AC3" s="42" t="s">
        <v>755</v>
      </c>
      <c r="AE3" s="19" t="s">
        <v>835</v>
      </c>
      <c r="AG3" s="41" t="s">
        <v>761</v>
      </c>
      <c r="AI3" s="42" t="s">
        <v>919</v>
      </c>
    </row>
    <row r="4" spans="1:36" x14ac:dyDescent="0.25">
      <c r="B4" s="30" t="s">
        <v>16</v>
      </c>
      <c r="C4" s="31">
        <v>45727</v>
      </c>
      <c r="D4" s="31">
        <v>45728</v>
      </c>
      <c r="E4" s="31">
        <v>45729</v>
      </c>
      <c r="F4" s="31">
        <v>45730</v>
      </c>
      <c r="G4" s="31">
        <v>45733</v>
      </c>
      <c r="H4" s="31">
        <v>45734</v>
      </c>
      <c r="I4" s="31">
        <v>45735</v>
      </c>
      <c r="J4" s="31">
        <v>45736</v>
      </c>
      <c r="K4" s="31">
        <v>45737</v>
      </c>
      <c r="L4" s="31">
        <v>45741</v>
      </c>
      <c r="N4" s="19" t="s">
        <v>13</v>
      </c>
      <c r="P4" s="39" t="s">
        <v>68</v>
      </c>
      <c r="Q4" s="37" t="s">
        <v>69</v>
      </c>
      <c r="S4" s="39" t="s">
        <v>249</v>
      </c>
      <c r="T4" s="37" t="s">
        <v>250</v>
      </c>
      <c r="V4" s="39" t="s">
        <v>367</v>
      </c>
      <c r="Y4" s="39" t="s">
        <v>425</v>
      </c>
      <c r="Z4" s="37" t="s">
        <v>426</v>
      </c>
      <c r="AB4" s="39" t="s">
        <v>753</v>
      </c>
      <c r="AC4" s="42" t="s">
        <v>755</v>
      </c>
      <c r="AG4" s="39" t="s">
        <v>762</v>
      </c>
      <c r="AI4" s="19" t="s">
        <v>920</v>
      </c>
    </row>
    <row r="5" spans="1:36" x14ac:dyDescent="0.25">
      <c r="B5" s="30" t="s">
        <v>17</v>
      </c>
      <c r="C5" s="31">
        <v>45789</v>
      </c>
      <c r="D5" s="31">
        <v>45790</v>
      </c>
      <c r="E5" s="31">
        <v>45791</v>
      </c>
      <c r="F5" s="31">
        <v>45792</v>
      </c>
      <c r="G5" s="31">
        <v>45793</v>
      </c>
      <c r="H5" s="31">
        <v>45796</v>
      </c>
      <c r="I5" s="31">
        <v>45797</v>
      </c>
      <c r="J5" s="31">
        <v>45798</v>
      </c>
      <c r="K5" s="31">
        <v>45799</v>
      </c>
      <c r="L5" s="31">
        <v>45800</v>
      </c>
      <c r="N5" s="19" t="s">
        <v>14</v>
      </c>
      <c r="P5" s="39" t="s">
        <v>70</v>
      </c>
      <c r="Q5" s="37" t="s">
        <v>71</v>
      </c>
      <c r="S5" s="39" t="s">
        <v>251</v>
      </c>
      <c r="T5" s="37" t="s">
        <v>252</v>
      </c>
      <c r="V5" s="39" t="s">
        <v>368</v>
      </c>
      <c r="Y5" s="39" t="s">
        <v>427</v>
      </c>
      <c r="Z5" s="37" t="s">
        <v>428</v>
      </c>
      <c r="AB5" s="39" t="s">
        <v>750</v>
      </c>
      <c r="AC5" s="42" t="s">
        <v>755</v>
      </c>
      <c r="AG5" s="39" t="s">
        <v>763</v>
      </c>
      <c r="AI5" s="19" t="s">
        <v>921</v>
      </c>
    </row>
    <row r="6" spans="1:36" x14ac:dyDescent="0.25">
      <c r="B6" s="30" t="s">
        <v>18</v>
      </c>
      <c r="C6" s="31">
        <v>45847</v>
      </c>
      <c r="D6" s="31">
        <v>45848</v>
      </c>
      <c r="E6" s="31">
        <v>45849</v>
      </c>
      <c r="F6" s="31">
        <v>45852</v>
      </c>
      <c r="G6" s="31">
        <v>45853</v>
      </c>
      <c r="H6" s="31">
        <v>45854</v>
      </c>
      <c r="I6" s="31">
        <v>45855</v>
      </c>
      <c r="J6" s="31">
        <v>45856</v>
      </c>
      <c r="K6" s="31">
        <v>45859</v>
      </c>
      <c r="L6" s="31">
        <v>45860</v>
      </c>
      <c r="P6" s="39" t="s">
        <v>72</v>
      </c>
      <c r="Q6" s="37" t="s">
        <v>73</v>
      </c>
      <c r="S6" s="39" t="s">
        <v>253</v>
      </c>
      <c r="T6" s="37" t="s">
        <v>254</v>
      </c>
      <c r="V6" s="39" t="s">
        <v>369</v>
      </c>
      <c r="Y6" s="39" t="s">
        <v>429</v>
      </c>
      <c r="Z6" s="37" t="s">
        <v>430</v>
      </c>
      <c r="AB6" s="39" t="s">
        <v>739</v>
      </c>
      <c r="AC6" s="42" t="s">
        <v>755</v>
      </c>
      <c r="AG6" s="39" t="s">
        <v>766</v>
      </c>
      <c r="AI6" s="19" t="s">
        <v>922</v>
      </c>
    </row>
    <row r="7" spans="1:36" x14ac:dyDescent="0.25">
      <c r="B7" s="30" t="s">
        <v>19</v>
      </c>
      <c r="C7" s="31">
        <v>45909</v>
      </c>
      <c r="D7" s="31">
        <v>45910</v>
      </c>
      <c r="E7" s="31">
        <v>45911</v>
      </c>
      <c r="F7" s="31">
        <v>45912</v>
      </c>
      <c r="G7" s="31">
        <v>45915</v>
      </c>
      <c r="H7" s="31">
        <v>45916</v>
      </c>
      <c r="I7" s="31">
        <v>45917</v>
      </c>
      <c r="J7" s="31">
        <v>45918</v>
      </c>
      <c r="K7" s="31">
        <v>45919</v>
      </c>
      <c r="L7" s="31">
        <v>45922</v>
      </c>
      <c r="P7" s="39" t="s">
        <v>74</v>
      </c>
      <c r="Q7" s="37" t="s">
        <v>75</v>
      </c>
      <c r="S7" s="39" t="s">
        <v>255</v>
      </c>
      <c r="T7" s="37" t="s">
        <v>256</v>
      </c>
      <c r="V7" s="39" t="s">
        <v>370</v>
      </c>
      <c r="Y7" s="39" t="s">
        <v>431</v>
      </c>
      <c r="Z7" s="37" t="s">
        <v>432</v>
      </c>
      <c r="AG7" s="39" t="s">
        <v>767</v>
      </c>
      <c r="AI7" s="19" t="s">
        <v>923</v>
      </c>
    </row>
    <row r="8" spans="1:36" x14ac:dyDescent="0.25">
      <c r="B8" s="30" t="s">
        <v>20</v>
      </c>
      <c r="C8" s="31">
        <v>45973</v>
      </c>
      <c r="D8" s="31">
        <v>45974</v>
      </c>
      <c r="E8" s="31">
        <v>45975</v>
      </c>
      <c r="F8" s="31">
        <v>45979</v>
      </c>
      <c r="G8" s="31">
        <v>45980</v>
      </c>
      <c r="H8" s="31">
        <v>45981</v>
      </c>
      <c r="I8" s="31">
        <v>45982</v>
      </c>
      <c r="J8" s="31">
        <v>45985</v>
      </c>
      <c r="K8" s="31">
        <v>45986</v>
      </c>
      <c r="L8" s="31">
        <v>45987</v>
      </c>
      <c r="P8" s="39" t="s">
        <v>76</v>
      </c>
      <c r="Q8" s="37" t="s">
        <v>77</v>
      </c>
      <c r="S8" s="39" t="s">
        <v>257</v>
      </c>
      <c r="T8" s="37" t="s">
        <v>258</v>
      </c>
      <c r="V8" s="39" t="s">
        <v>371</v>
      </c>
      <c r="Y8" s="39" t="s">
        <v>433</v>
      </c>
      <c r="Z8" s="37" t="s">
        <v>434</v>
      </c>
      <c r="AG8" s="39" t="s">
        <v>768</v>
      </c>
      <c r="AI8" s="19" t="s">
        <v>918</v>
      </c>
    </row>
    <row r="9" spans="1:36" x14ac:dyDescent="0.25">
      <c r="B9" s="30" t="s">
        <v>21</v>
      </c>
      <c r="C9" s="31">
        <v>46035</v>
      </c>
      <c r="D9" s="31">
        <v>46036</v>
      </c>
      <c r="E9" s="31">
        <v>46037</v>
      </c>
      <c r="F9" s="31">
        <v>46038</v>
      </c>
      <c r="G9" s="31">
        <v>46041</v>
      </c>
      <c r="H9" s="31">
        <v>46042</v>
      </c>
      <c r="I9" s="31">
        <v>46043</v>
      </c>
      <c r="J9" s="31">
        <v>46044</v>
      </c>
      <c r="K9" s="31">
        <v>46045</v>
      </c>
      <c r="L9" s="31">
        <v>46048</v>
      </c>
      <c r="P9" s="39" t="s">
        <v>78</v>
      </c>
      <c r="Q9" s="37" t="s">
        <v>79</v>
      </c>
      <c r="S9" s="39" t="s">
        <v>259</v>
      </c>
      <c r="T9" s="37" t="s">
        <v>260</v>
      </c>
      <c r="V9" s="39" t="s">
        <v>372</v>
      </c>
      <c r="Y9" s="39" t="s">
        <v>435</v>
      </c>
      <c r="Z9" s="37" t="s">
        <v>436</v>
      </c>
      <c r="AG9" s="39" t="s">
        <v>769</v>
      </c>
      <c r="AI9" s="19" t="s">
        <v>924</v>
      </c>
    </row>
    <row r="10" spans="1:36" x14ac:dyDescent="0.25">
      <c r="P10" s="39" t="s">
        <v>80</v>
      </c>
      <c r="Q10" s="37" t="s">
        <v>81</v>
      </c>
      <c r="S10" s="39" t="s">
        <v>261</v>
      </c>
      <c r="T10" s="37" t="s">
        <v>262</v>
      </c>
      <c r="V10" s="39" t="s">
        <v>373</v>
      </c>
      <c r="Y10" s="39" t="s">
        <v>437</v>
      </c>
      <c r="Z10" s="37" t="s">
        <v>438</v>
      </c>
      <c r="AG10" s="39" t="s">
        <v>772</v>
      </c>
      <c r="AI10" s="19" t="s">
        <v>925</v>
      </c>
    </row>
    <row r="11" spans="1:36" x14ac:dyDescent="0.25">
      <c r="B11" s="244" t="s">
        <v>24</v>
      </c>
      <c r="C11" s="244"/>
      <c r="D11" s="244"/>
      <c r="E11" s="244"/>
      <c r="F11" s="244"/>
      <c r="G11" s="244"/>
      <c r="H11" s="244"/>
      <c r="I11" s="244"/>
      <c r="J11" s="244"/>
      <c r="K11" s="244"/>
      <c r="L11" s="244"/>
      <c r="P11" s="39" t="s">
        <v>82</v>
      </c>
      <c r="Q11" s="37" t="s">
        <v>83</v>
      </c>
      <c r="S11" s="39" t="s">
        <v>263</v>
      </c>
      <c r="T11" s="37" t="s">
        <v>264</v>
      </c>
      <c r="V11" s="39" t="s">
        <v>374</v>
      </c>
      <c r="Y11" s="39" t="s">
        <v>439</v>
      </c>
      <c r="Z11" s="37" t="s">
        <v>440</v>
      </c>
      <c r="AG11" s="39" t="s">
        <v>773</v>
      </c>
      <c r="AI11" s="19" t="s">
        <v>926</v>
      </c>
    </row>
    <row r="12" spans="1:36" x14ac:dyDescent="0.25">
      <c r="B12" s="29" t="s">
        <v>22</v>
      </c>
      <c r="C12" s="32" t="e">
        <f>VALUE(+RIGHT('Datos contribuyente'!$E$6,1))</f>
        <v>#VALUE!</v>
      </c>
      <c r="P12" s="39" t="s">
        <v>84</v>
      </c>
      <c r="Q12" s="37" t="s">
        <v>85</v>
      </c>
      <c r="S12" s="39" t="s">
        <v>265</v>
      </c>
      <c r="T12" s="37" t="s">
        <v>266</v>
      </c>
      <c r="V12" s="39" t="s">
        <v>375</v>
      </c>
      <c r="Y12" s="39" t="s">
        <v>441</v>
      </c>
      <c r="Z12" s="37" t="s">
        <v>442</v>
      </c>
      <c r="AG12" s="39" t="s">
        <v>821</v>
      </c>
      <c r="AI12" s="19" t="s">
        <v>927</v>
      </c>
    </row>
    <row r="13" spans="1:36" x14ac:dyDescent="0.25">
      <c r="B13" s="30" t="s">
        <v>15</v>
      </c>
      <c r="C13" s="33">
        <v>1</v>
      </c>
      <c r="D13" s="33">
        <v>2</v>
      </c>
      <c r="E13" s="33">
        <v>3</v>
      </c>
      <c r="F13" s="33">
        <v>4</v>
      </c>
      <c r="G13" s="33">
        <v>5</v>
      </c>
      <c r="H13" s="33">
        <v>6</v>
      </c>
      <c r="I13" s="33">
        <v>7</v>
      </c>
      <c r="J13" s="33">
        <v>8</v>
      </c>
      <c r="K13" s="33">
        <v>9</v>
      </c>
      <c r="L13" s="33">
        <v>0</v>
      </c>
      <c r="P13" s="39" t="s">
        <v>86</v>
      </c>
      <c r="Q13" s="37" t="s">
        <v>87</v>
      </c>
      <c r="S13" s="39" t="s">
        <v>267</v>
      </c>
      <c r="T13" s="37" t="s">
        <v>268</v>
      </c>
      <c r="V13" s="39" t="s">
        <v>376</v>
      </c>
      <c r="Y13" s="39" t="s">
        <v>443</v>
      </c>
      <c r="Z13" s="37" t="s">
        <v>444</v>
      </c>
      <c r="AG13" s="39" t="s">
        <v>774</v>
      </c>
      <c r="AI13" s="19" t="s">
        <v>928</v>
      </c>
    </row>
    <row r="14" spans="1:36" s="25" customFormat="1" x14ac:dyDescent="0.25">
      <c r="A14" s="24"/>
      <c r="B14" s="30" t="s">
        <v>25</v>
      </c>
      <c r="C14" s="31">
        <v>45789</v>
      </c>
      <c r="D14" s="31">
        <v>45790</v>
      </c>
      <c r="E14" s="31">
        <v>45791</v>
      </c>
      <c r="F14" s="31">
        <v>45792</v>
      </c>
      <c r="G14" s="31">
        <v>45793</v>
      </c>
      <c r="H14" s="31">
        <v>45796</v>
      </c>
      <c r="I14" s="31">
        <v>45797</v>
      </c>
      <c r="J14" s="31">
        <v>45798</v>
      </c>
      <c r="K14" s="31">
        <v>45799</v>
      </c>
      <c r="L14" s="31">
        <v>45800</v>
      </c>
      <c r="M14" s="24"/>
      <c r="O14" s="24"/>
      <c r="P14" s="40" t="s">
        <v>88</v>
      </c>
      <c r="Q14" s="43" t="s">
        <v>89</v>
      </c>
      <c r="R14" s="24"/>
      <c r="S14" s="40" t="s">
        <v>269</v>
      </c>
      <c r="T14" s="43" t="s">
        <v>270</v>
      </c>
      <c r="U14" s="24"/>
      <c r="V14" s="40" t="s">
        <v>377</v>
      </c>
      <c r="W14" s="43"/>
      <c r="X14" s="24"/>
      <c r="Y14" s="40" t="s">
        <v>445</v>
      </c>
      <c r="Z14" s="43" t="s">
        <v>446</v>
      </c>
      <c r="AA14" s="24"/>
      <c r="AB14" s="40"/>
      <c r="AC14" s="43"/>
      <c r="AD14" s="24"/>
      <c r="AF14" s="24"/>
      <c r="AG14" s="39" t="s">
        <v>775</v>
      </c>
      <c r="AH14" s="24"/>
      <c r="AJ14" s="24"/>
    </row>
    <row r="15" spans="1:36" s="27" customFormat="1" x14ac:dyDescent="0.25">
      <c r="A15" s="26"/>
      <c r="B15" s="30" t="s">
        <v>26</v>
      </c>
      <c r="C15" s="31">
        <v>45909</v>
      </c>
      <c r="D15" s="31">
        <v>45910</v>
      </c>
      <c r="E15" s="31">
        <v>45911</v>
      </c>
      <c r="F15" s="31">
        <v>45912</v>
      </c>
      <c r="G15" s="31">
        <v>45915</v>
      </c>
      <c r="H15" s="31">
        <v>45916</v>
      </c>
      <c r="I15" s="31">
        <v>45917</v>
      </c>
      <c r="J15" s="31">
        <v>45918</v>
      </c>
      <c r="K15" s="31">
        <v>45919</v>
      </c>
      <c r="L15" s="31">
        <v>45922</v>
      </c>
      <c r="M15" s="26"/>
      <c r="O15" s="26"/>
      <c r="P15" s="40" t="s">
        <v>90</v>
      </c>
      <c r="Q15" s="27" t="s">
        <v>91</v>
      </c>
      <c r="R15" s="26"/>
      <c r="S15" s="40" t="s">
        <v>271</v>
      </c>
      <c r="T15" s="27" t="s">
        <v>272</v>
      </c>
      <c r="U15" s="26"/>
      <c r="V15" s="40" t="s">
        <v>378</v>
      </c>
      <c r="X15" s="26"/>
      <c r="Y15" s="40" t="s">
        <v>447</v>
      </c>
      <c r="Z15" s="27" t="s">
        <v>448</v>
      </c>
      <c r="AA15" s="26"/>
      <c r="AB15" s="40"/>
      <c r="AD15" s="26"/>
      <c r="AF15" s="26"/>
      <c r="AG15" s="188" t="s">
        <v>776</v>
      </c>
      <c r="AH15" s="26"/>
      <c r="AJ15" s="26"/>
    </row>
    <row r="16" spans="1:36" s="27" customFormat="1" x14ac:dyDescent="0.25">
      <c r="A16" s="26"/>
      <c r="B16" s="30" t="s">
        <v>27</v>
      </c>
      <c r="C16" s="31">
        <v>46035</v>
      </c>
      <c r="D16" s="31">
        <v>46036</v>
      </c>
      <c r="E16" s="31">
        <v>46037</v>
      </c>
      <c r="F16" s="31">
        <v>46038</v>
      </c>
      <c r="G16" s="31">
        <v>46041</v>
      </c>
      <c r="H16" s="31">
        <v>46042</v>
      </c>
      <c r="I16" s="31">
        <v>46043</v>
      </c>
      <c r="J16" s="31">
        <v>46044</v>
      </c>
      <c r="K16" s="31">
        <v>46045</v>
      </c>
      <c r="L16" s="31">
        <v>46048</v>
      </c>
      <c r="M16" s="26"/>
      <c r="O16" s="26"/>
      <c r="P16" s="40" t="s">
        <v>92</v>
      </c>
      <c r="Q16" s="27" t="s">
        <v>93</v>
      </c>
      <c r="R16" s="26"/>
      <c r="S16" s="40" t="s">
        <v>273</v>
      </c>
      <c r="T16" s="27" t="s">
        <v>274</v>
      </c>
      <c r="U16" s="26"/>
      <c r="V16" s="40" t="s">
        <v>379</v>
      </c>
      <c r="X16" s="26"/>
      <c r="Y16" s="40" t="s">
        <v>449</v>
      </c>
      <c r="Z16" s="27" t="s">
        <v>450</v>
      </c>
      <c r="AA16" s="26"/>
      <c r="AB16" s="40"/>
      <c r="AD16" s="26"/>
      <c r="AF16" s="26"/>
      <c r="AG16" s="40" t="s">
        <v>777</v>
      </c>
      <c r="AH16" s="26"/>
      <c r="AJ16" s="26"/>
    </row>
    <row r="17" spans="2:26" x14ac:dyDescent="0.25">
      <c r="P17" s="39" t="s">
        <v>94</v>
      </c>
      <c r="Q17" s="37" t="s">
        <v>95</v>
      </c>
      <c r="S17" s="39" t="s">
        <v>275</v>
      </c>
      <c r="T17" s="37" t="s">
        <v>276</v>
      </c>
      <c r="V17" s="39" t="s">
        <v>380</v>
      </c>
      <c r="Y17" s="39" t="s">
        <v>451</v>
      </c>
      <c r="Z17" s="37" t="s">
        <v>452</v>
      </c>
    </row>
    <row r="18" spans="2:26" x14ac:dyDescent="0.25">
      <c r="B18" s="244" t="s">
        <v>28</v>
      </c>
      <c r="C18" s="244"/>
      <c r="D18" s="244"/>
      <c r="E18" s="244"/>
      <c r="F18" s="244"/>
      <c r="G18" s="244"/>
      <c r="H18" s="244"/>
      <c r="I18" s="244"/>
      <c r="J18" s="244"/>
      <c r="K18" s="244"/>
      <c r="L18" s="244"/>
      <c r="P18" s="39" t="s">
        <v>96</v>
      </c>
      <c r="Q18" s="37" t="s">
        <v>97</v>
      </c>
      <c r="S18" s="39" t="s">
        <v>277</v>
      </c>
      <c r="T18" s="37" t="s">
        <v>278</v>
      </c>
      <c r="V18" s="39" t="s">
        <v>381</v>
      </c>
      <c r="Y18" s="39" t="s">
        <v>453</v>
      </c>
      <c r="Z18" s="37" t="s">
        <v>454</v>
      </c>
    </row>
    <row r="19" spans="2:26" x14ac:dyDescent="0.25">
      <c r="B19" s="29" t="s">
        <v>22</v>
      </c>
      <c r="C19" s="32" t="e">
        <f>VALUE(+RIGHT('Datos contribuyente'!$E$6,1))</f>
        <v>#VALUE!</v>
      </c>
      <c r="P19" s="39" t="s">
        <v>98</v>
      </c>
      <c r="Q19" s="37" t="s">
        <v>99</v>
      </c>
      <c r="S19" s="39" t="s">
        <v>279</v>
      </c>
      <c r="T19" s="37" t="s">
        <v>280</v>
      </c>
      <c r="V19" s="39" t="s">
        <v>382</v>
      </c>
      <c r="Y19" s="39" t="s">
        <v>455</v>
      </c>
      <c r="Z19" s="37" t="s">
        <v>456</v>
      </c>
    </row>
    <row r="20" spans="2:26" x14ac:dyDescent="0.25">
      <c r="C20" s="33">
        <v>1</v>
      </c>
      <c r="D20" s="33">
        <v>2</v>
      </c>
      <c r="E20" s="33">
        <v>3</v>
      </c>
      <c r="F20" s="33">
        <v>4</v>
      </c>
      <c r="G20" s="33">
        <v>5</v>
      </c>
      <c r="H20" s="33">
        <v>6</v>
      </c>
      <c r="I20" s="33">
        <v>7</v>
      </c>
      <c r="J20" s="33">
        <v>8</v>
      </c>
      <c r="K20" s="33">
        <v>9</v>
      </c>
      <c r="L20" s="33">
        <v>0</v>
      </c>
      <c r="P20" s="39" t="s">
        <v>100</v>
      </c>
      <c r="Q20" s="37" t="s">
        <v>101</v>
      </c>
      <c r="S20" s="39" t="s">
        <v>281</v>
      </c>
      <c r="T20" s="37" t="s">
        <v>282</v>
      </c>
      <c r="V20" s="39" t="s">
        <v>383</v>
      </c>
      <c r="Y20" s="39" t="s">
        <v>457</v>
      </c>
      <c r="Z20" s="37" t="s">
        <v>458</v>
      </c>
    </row>
    <row r="21" spans="2:26" x14ac:dyDescent="0.25">
      <c r="B21" s="19" t="s">
        <v>29</v>
      </c>
      <c r="C21" s="31">
        <v>45705</v>
      </c>
      <c r="D21" s="31">
        <v>45705</v>
      </c>
      <c r="E21" s="31">
        <v>45706</v>
      </c>
      <c r="F21" s="31">
        <v>45706</v>
      </c>
      <c r="G21" s="31">
        <v>45707</v>
      </c>
      <c r="H21" s="31">
        <v>45707</v>
      </c>
      <c r="I21" s="31">
        <v>45708</v>
      </c>
      <c r="J21" s="31">
        <v>45708</v>
      </c>
      <c r="K21" s="31">
        <v>45709</v>
      </c>
      <c r="L21" s="31">
        <v>45709</v>
      </c>
      <c r="P21" s="39" t="s">
        <v>102</v>
      </c>
      <c r="Q21" s="37" t="s">
        <v>103</v>
      </c>
      <c r="S21" s="39" t="s">
        <v>283</v>
      </c>
      <c r="T21" s="37" t="s">
        <v>284</v>
      </c>
      <c r="V21" s="39" t="s">
        <v>384</v>
      </c>
      <c r="Y21" s="39" t="s">
        <v>459</v>
      </c>
      <c r="Z21" s="37" t="s">
        <v>460</v>
      </c>
    </row>
    <row r="22" spans="2:26" x14ac:dyDescent="0.25">
      <c r="P22" s="39" t="s">
        <v>104</v>
      </c>
      <c r="Q22" s="37" t="s">
        <v>105</v>
      </c>
      <c r="S22" s="39" t="s">
        <v>285</v>
      </c>
      <c r="T22" s="37" t="s">
        <v>286</v>
      </c>
      <c r="V22" s="39" t="s">
        <v>385</v>
      </c>
      <c r="Y22" s="39" t="s">
        <v>461</v>
      </c>
      <c r="Z22" s="37" t="s">
        <v>462</v>
      </c>
    </row>
    <row r="23" spans="2:26" x14ac:dyDescent="0.25">
      <c r="P23" s="39" t="s">
        <v>106</v>
      </c>
      <c r="Q23" s="37" t="s">
        <v>107</v>
      </c>
      <c r="S23" s="39" t="s">
        <v>287</v>
      </c>
      <c r="T23" s="37" t="s">
        <v>75</v>
      </c>
      <c r="V23" s="39" t="s">
        <v>386</v>
      </c>
      <c r="Y23" s="39" t="s">
        <v>463</v>
      </c>
      <c r="Z23" s="37" t="s">
        <v>464</v>
      </c>
    </row>
    <row r="24" spans="2:26" x14ac:dyDescent="0.25">
      <c r="P24" s="39" t="s">
        <v>108</v>
      </c>
      <c r="Q24" s="37" t="s">
        <v>109</v>
      </c>
      <c r="S24" s="39" t="s">
        <v>288</v>
      </c>
      <c r="T24" s="37" t="s">
        <v>289</v>
      </c>
      <c r="V24" s="39" t="s">
        <v>387</v>
      </c>
      <c r="Y24" s="39" t="s">
        <v>465</v>
      </c>
      <c r="Z24" s="37" t="s">
        <v>466</v>
      </c>
    </row>
    <row r="25" spans="2:26" x14ac:dyDescent="0.25">
      <c r="P25" s="39" t="s">
        <v>110</v>
      </c>
      <c r="Q25" s="37" t="s">
        <v>111</v>
      </c>
      <c r="S25" s="39" t="s">
        <v>290</v>
      </c>
      <c r="T25" s="37" t="s">
        <v>291</v>
      </c>
      <c r="V25" s="39" t="s">
        <v>388</v>
      </c>
      <c r="Y25" s="39" t="s">
        <v>467</v>
      </c>
      <c r="Z25" s="37" t="s">
        <v>468</v>
      </c>
    </row>
    <row r="26" spans="2:26" x14ac:dyDescent="0.25">
      <c r="P26" s="39" t="s">
        <v>112</v>
      </c>
      <c r="Q26" s="37" t="s">
        <v>113</v>
      </c>
      <c r="S26" s="39" t="s">
        <v>292</v>
      </c>
      <c r="T26" s="37" t="s">
        <v>293</v>
      </c>
      <c r="V26" s="39" t="s">
        <v>389</v>
      </c>
      <c r="Y26" s="39" t="s">
        <v>469</v>
      </c>
      <c r="Z26" s="37" t="s">
        <v>470</v>
      </c>
    </row>
    <row r="27" spans="2:26" x14ac:dyDescent="0.25">
      <c r="P27" s="39" t="s">
        <v>114</v>
      </c>
      <c r="Q27" s="37" t="s">
        <v>115</v>
      </c>
      <c r="S27" s="39" t="s">
        <v>294</v>
      </c>
      <c r="T27" s="37" t="s">
        <v>295</v>
      </c>
      <c r="V27" s="39" t="s">
        <v>390</v>
      </c>
      <c r="Y27" s="39" t="s">
        <v>471</v>
      </c>
      <c r="Z27" s="37" t="s">
        <v>472</v>
      </c>
    </row>
    <row r="28" spans="2:26" x14ac:dyDescent="0.25">
      <c r="P28" s="39" t="s">
        <v>116</v>
      </c>
      <c r="Q28" s="37" t="s">
        <v>117</v>
      </c>
      <c r="S28" s="39" t="s">
        <v>296</v>
      </c>
      <c r="T28" s="37" t="s">
        <v>297</v>
      </c>
      <c r="V28" s="39" t="s">
        <v>391</v>
      </c>
      <c r="Y28" s="39" t="s">
        <v>473</v>
      </c>
      <c r="Z28" s="37" t="s">
        <v>474</v>
      </c>
    </row>
    <row r="29" spans="2:26" x14ac:dyDescent="0.25">
      <c r="P29" s="39" t="s">
        <v>118</v>
      </c>
      <c r="Q29" s="37" t="s">
        <v>119</v>
      </c>
      <c r="S29" s="39" t="s">
        <v>298</v>
      </c>
      <c r="T29" s="37" t="s">
        <v>299</v>
      </c>
      <c r="V29" s="39" t="s">
        <v>392</v>
      </c>
      <c r="Y29" s="39" t="s">
        <v>475</v>
      </c>
      <c r="Z29" s="37" t="s">
        <v>476</v>
      </c>
    </row>
    <row r="30" spans="2:26" x14ac:dyDescent="0.25">
      <c r="P30" s="39" t="s">
        <v>120</v>
      </c>
      <c r="Q30" s="37" t="s">
        <v>121</v>
      </c>
      <c r="S30" s="39" t="s">
        <v>300</v>
      </c>
      <c r="T30" s="37" t="s">
        <v>301</v>
      </c>
      <c r="V30" s="39" t="s">
        <v>393</v>
      </c>
      <c r="Y30" s="39" t="s">
        <v>477</v>
      </c>
      <c r="Z30" s="37" t="s">
        <v>478</v>
      </c>
    </row>
    <row r="31" spans="2:26" x14ac:dyDescent="0.25">
      <c r="P31" s="39" t="s">
        <v>122</v>
      </c>
      <c r="Q31" s="37" t="s">
        <v>123</v>
      </c>
      <c r="S31" s="39" t="s">
        <v>302</v>
      </c>
      <c r="T31" s="37" t="s">
        <v>303</v>
      </c>
      <c r="V31" s="39" t="s">
        <v>394</v>
      </c>
      <c r="Y31" s="39" t="s">
        <v>479</v>
      </c>
      <c r="Z31" s="37" t="s">
        <v>480</v>
      </c>
    </row>
    <row r="32" spans="2:26" x14ac:dyDescent="0.25">
      <c r="P32" s="39" t="s">
        <v>124</v>
      </c>
      <c r="Q32" s="37" t="s">
        <v>125</v>
      </c>
      <c r="S32" s="39" t="s">
        <v>304</v>
      </c>
      <c r="T32" s="37" t="s">
        <v>305</v>
      </c>
      <c r="V32" s="39" t="s">
        <v>395</v>
      </c>
      <c r="Y32" s="39" t="s">
        <v>481</v>
      </c>
      <c r="Z32" s="37" t="s">
        <v>482</v>
      </c>
    </row>
    <row r="33" spans="16:26" x14ac:dyDescent="0.25">
      <c r="P33" s="39" t="s">
        <v>126</v>
      </c>
      <c r="Q33" s="37" t="s">
        <v>127</v>
      </c>
      <c r="S33" s="39" t="s">
        <v>306</v>
      </c>
      <c r="T33" s="37" t="s">
        <v>307</v>
      </c>
      <c r="V33" s="39" t="s">
        <v>396</v>
      </c>
      <c r="Y33" s="39" t="s">
        <v>483</v>
      </c>
      <c r="Z33" s="37" t="s">
        <v>484</v>
      </c>
    </row>
    <row r="34" spans="16:26" x14ac:dyDescent="0.25">
      <c r="P34" s="39" t="s">
        <v>128</v>
      </c>
      <c r="Q34" s="37" t="s">
        <v>129</v>
      </c>
      <c r="S34" s="39" t="s">
        <v>308</v>
      </c>
      <c r="T34" s="37" t="s">
        <v>309</v>
      </c>
      <c r="V34" s="39" t="s">
        <v>397</v>
      </c>
      <c r="Y34" s="39" t="s">
        <v>485</v>
      </c>
      <c r="Z34" s="37" t="s">
        <v>486</v>
      </c>
    </row>
    <row r="35" spans="16:26" x14ac:dyDescent="0.25">
      <c r="P35" s="39" t="s">
        <v>130</v>
      </c>
      <c r="Q35" s="37" t="s">
        <v>131</v>
      </c>
      <c r="S35" s="39" t="s">
        <v>310</v>
      </c>
      <c r="T35" s="37" t="s">
        <v>311</v>
      </c>
      <c r="V35" s="39" t="s">
        <v>398</v>
      </c>
      <c r="Y35" s="39" t="s">
        <v>487</v>
      </c>
      <c r="Z35" s="37" t="s">
        <v>488</v>
      </c>
    </row>
    <row r="36" spans="16:26" x14ac:dyDescent="0.25">
      <c r="P36" s="39" t="s">
        <v>132</v>
      </c>
      <c r="Q36" s="37" t="s">
        <v>133</v>
      </c>
      <c r="S36" s="39" t="s">
        <v>312</v>
      </c>
      <c r="T36" s="37" t="s">
        <v>313</v>
      </c>
      <c r="V36" s="39" t="s">
        <v>399</v>
      </c>
      <c r="Y36" s="39" t="s">
        <v>489</v>
      </c>
      <c r="Z36" s="37" t="s">
        <v>490</v>
      </c>
    </row>
    <row r="37" spans="16:26" x14ac:dyDescent="0.25">
      <c r="P37" s="39" t="s">
        <v>134</v>
      </c>
      <c r="Q37" s="37" t="s">
        <v>135</v>
      </c>
      <c r="S37" s="39" t="s">
        <v>314</v>
      </c>
      <c r="T37" s="37" t="s">
        <v>315</v>
      </c>
      <c r="V37" s="39" t="s">
        <v>400</v>
      </c>
      <c r="Y37" s="39" t="s">
        <v>491</v>
      </c>
      <c r="Z37" s="37" t="s">
        <v>492</v>
      </c>
    </row>
    <row r="38" spans="16:26" x14ac:dyDescent="0.25">
      <c r="P38" s="39" t="s">
        <v>136</v>
      </c>
      <c r="Q38" s="37" t="s">
        <v>137</v>
      </c>
      <c r="S38" s="39" t="s">
        <v>316</v>
      </c>
      <c r="V38" s="39" t="s">
        <v>401</v>
      </c>
      <c r="Y38" s="39" t="s">
        <v>493</v>
      </c>
      <c r="Z38" s="37" t="s">
        <v>494</v>
      </c>
    </row>
    <row r="39" spans="16:26" x14ac:dyDescent="0.25">
      <c r="P39" s="39" t="s">
        <v>138</v>
      </c>
      <c r="Q39" s="37" t="s">
        <v>139</v>
      </c>
      <c r="S39" s="39" t="s">
        <v>317</v>
      </c>
      <c r="T39" s="37" t="s">
        <v>318</v>
      </c>
      <c r="V39" s="39" t="s">
        <v>402</v>
      </c>
      <c r="Y39" s="39" t="s">
        <v>495</v>
      </c>
      <c r="Z39" s="37" t="s">
        <v>496</v>
      </c>
    </row>
    <row r="40" spans="16:26" x14ac:dyDescent="0.25">
      <c r="P40" s="39" t="s">
        <v>140</v>
      </c>
      <c r="Q40" s="37" t="s">
        <v>141</v>
      </c>
      <c r="S40" s="39" t="s">
        <v>319</v>
      </c>
      <c r="T40" s="37" t="s">
        <v>320</v>
      </c>
      <c r="V40" s="39" t="s">
        <v>403</v>
      </c>
      <c r="Y40" s="39" t="s">
        <v>497</v>
      </c>
      <c r="Z40" s="37" t="s">
        <v>498</v>
      </c>
    </row>
    <row r="41" spans="16:26" x14ac:dyDescent="0.25">
      <c r="P41" s="39" t="s">
        <v>142</v>
      </c>
      <c r="Q41" s="37" t="s">
        <v>143</v>
      </c>
      <c r="S41" s="39" t="s">
        <v>321</v>
      </c>
      <c r="T41" s="37" t="s">
        <v>322</v>
      </c>
      <c r="V41" s="39" t="s">
        <v>404</v>
      </c>
      <c r="Y41" s="39" t="s">
        <v>499</v>
      </c>
      <c r="Z41" s="37" t="s">
        <v>500</v>
      </c>
    </row>
    <row r="42" spans="16:26" x14ac:dyDescent="0.25">
      <c r="P42" s="39" t="s">
        <v>144</v>
      </c>
      <c r="Q42" s="37" t="s">
        <v>145</v>
      </c>
      <c r="S42" s="39" t="s">
        <v>323</v>
      </c>
      <c r="T42" s="37" t="s">
        <v>324</v>
      </c>
      <c r="V42" s="39" t="s">
        <v>405</v>
      </c>
      <c r="Y42" s="39" t="s">
        <v>501</v>
      </c>
      <c r="Z42" s="37" t="s">
        <v>502</v>
      </c>
    </row>
    <row r="43" spans="16:26" x14ac:dyDescent="0.25">
      <c r="P43" s="39" t="s">
        <v>146</v>
      </c>
      <c r="Q43" s="37" t="s">
        <v>147</v>
      </c>
      <c r="S43" s="39" t="s">
        <v>325</v>
      </c>
      <c r="T43" s="37" t="s">
        <v>326</v>
      </c>
      <c r="V43" s="39" t="s">
        <v>406</v>
      </c>
      <c r="Y43" s="39" t="s">
        <v>503</v>
      </c>
      <c r="Z43" s="37" t="s">
        <v>504</v>
      </c>
    </row>
    <row r="44" spans="16:26" x14ac:dyDescent="0.25">
      <c r="P44" s="39" t="s">
        <v>148</v>
      </c>
      <c r="Q44" s="37" t="s">
        <v>149</v>
      </c>
      <c r="S44" s="39" t="s">
        <v>327</v>
      </c>
      <c r="T44" s="37" t="s">
        <v>328</v>
      </c>
      <c r="V44" s="39" t="s">
        <v>407</v>
      </c>
      <c r="Y44" s="39" t="s">
        <v>505</v>
      </c>
      <c r="Z44" s="37" t="s">
        <v>506</v>
      </c>
    </row>
    <row r="45" spans="16:26" x14ac:dyDescent="0.25">
      <c r="P45" s="39" t="s">
        <v>150</v>
      </c>
      <c r="Q45" s="37" t="s">
        <v>151</v>
      </c>
      <c r="S45" s="39" t="s">
        <v>329</v>
      </c>
      <c r="T45" s="37" t="s">
        <v>330</v>
      </c>
      <c r="V45" s="39" t="s">
        <v>408</v>
      </c>
      <c r="Y45" s="39" t="s">
        <v>507</v>
      </c>
      <c r="Z45" s="37" t="s">
        <v>508</v>
      </c>
    </row>
    <row r="46" spans="16:26" x14ac:dyDescent="0.25">
      <c r="P46" s="39" t="s">
        <v>152</v>
      </c>
      <c r="Q46" s="37" t="s">
        <v>153</v>
      </c>
      <c r="S46" s="39" t="s">
        <v>331</v>
      </c>
      <c r="T46" s="37" t="s">
        <v>332</v>
      </c>
      <c r="V46" s="39" t="s">
        <v>409</v>
      </c>
      <c r="Y46" s="39" t="s">
        <v>509</v>
      </c>
      <c r="Z46" s="37" t="s">
        <v>510</v>
      </c>
    </row>
    <row r="47" spans="16:26" x14ac:dyDescent="0.25">
      <c r="P47" s="39" t="s">
        <v>154</v>
      </c>
      <c r="Q47" s="37" t="s">
        <v>155</v>
      </c>
      <c r="S47" s="39" t="s">
        <v>333</v>
      </c>
      <c r="T47" s="37" t="s">
        <v>334</v>
      </c>
      <c r="V47" s="39" t="s">
        <v>410</v>
      </c>
      <c r="Y47" s="39" t="s">
        <v>511</v>
      </c>
      <c r="Z47" s="37" t="s">
        <v>73</v>
      </c>
    </row>
    <row r="48" spans="16:26" x14ac:dyDescent="0.25">
      <c r="P48" s="39" t="s">
        <v>156</v>
      </c>
      <c r="Q48" s="37" t="s">
        <v>157</v>
      </c>
      <c r="S48" s="39" t="s">
        <v>335</v>
      </c>
      <c r="T48" s="37" t="s">
        <v>336</v>
      </c>
      <c r="V48" s="39" t="s">
        <v>411</v>
      </c>
      <c r="Y48" s="39" t="s">
        <v>512</v>
      </c>
      <c r="Z48" s="37" t="s">
        <v>75</v>
      </c>
    </row>
    <row r="49" spans="16:26" x14ac:dyDescent="0.25">
      <c r="P49" s="39" t="s">
        <v>158</v>
      </c>
      <c r="Q49" s="37" t="s">
        <v>159</v>
      </c>
      <c r="S49" s="39" t="s">
        <v>337</v>
      </c>
      <c r="T49" s="37" t="s">
        <v>338</v>
      </c>
      <c r="V49" s="39" t="s">
        <v>412</v>
      </c>
      <c r="Y49" s="39" t="s">
        <v>513</v>
      </c>
      <c r="Z49" s="37" t="s">
        <v>514</v>
      </c>
    </row>
    <row r="50" spans="16:26" x14ac:dyDescent="0.25">
      <c r="P50" s="39" t="s">
        <v>160</v>
      </c>
      <c r="Q50" s="37" t="s">
        <v>161</v>
      </c>
      <c r="S50" s="39" t="s">
        <v>339</v>
      </c>
      <c r="T50" s="37" t="s">
        <v>340</v>
      </c>
      <c r="V50" s="39" t="s">
        <v>413</v>
      </c>
      <c r="Y50" s="39" t="s">
        <v>515</v>
      </c>
      <c r="Z50" s="37" t="s">
        <v>516</v>
      </c>
    </row>
    <row r="51" spans="16:26" x14ac:dyDescent="0.25">
      <c r="P51" s="39" t="s">
        <v>162</v>
      </c>
      <c r="Q51" s="37" t="s">
        <v>163</v>
      </c>
      <c r="S51" s="39" t="s">
        <v>341</v>
      </c>
      <c r="T51" s="37" t="s">
        <v>342</v>
      </c>
      <c r="V51" s="39" t="s">
        <v>414</v>
      </c>
      <c r="Y51" s="39" t="s">
        <v>517</v>
      </c>
      <c r="Z51" s="37" t="s">
        <v>518</v>
      </c>
    </row>
    <row r="52" spans="16:26" x14ac:dyDescent="0.25">
      <c r="P52" s="39" t="s">
        <v>164</v>
      </c>
      <c r="Q52" s="37" t="s">
        <v>165</v>
      </c>
      <c r="S52" s="39" t="s">
        <v>343</v>
      </c>
      <c r="T52" s="37" t="s">
        <v>344</v>
      </c>
      <c r="V52" s="39" t="s">
        <v>415</v>
      </c>
      <c r="Y52" s="39" t="s">
        <v>519</v>
      </c>
      <c r="Z52" s="37" t="s">
        <v>520</v>
      </c>
    </row>
    <row r="53" spans="16:26" x14ac:dyDescent="0.25">
      <c r="P53" s="39" t="s">
        <v>166</v>
      </c>
      <c r="Q53" s="37" t="s">
        <v>167</v>
      </c>
      <c r="S53" s="39" t="s">
        <v>345</v>
      </c>
      <c r="T53" s="37" t="s">
        <v>346</v>
      </c>
      <c r="V53" s="39" t="s">
        <v>416</v>
      </c>
      <c r="Y53" s="39" t="s">
        <v>521</v>
      </c>
      <c r="Z53" s="37" t="s">
        <v>522</v>
      </c>
    </row>
    <row r="54" spans="16:26" x14ac:dyDescent="0.25">
      <c r="P54" s="39" t="s">
        <v>168</v>
      </c>
      <c r="Q54" s="37" t="s">
        <v>169</v>
      </c>
      <c r="S54" s="39" t="s">
        <v>347</v>
      </c>
      <c r="T54" s="37" t="s">
        <v>348</v>
      </c>
      <c r="V54" s="39" t="s">
        <v>417</v>
      </c>
      <c r="Y54" s="39" t="s">
        <v>523</v>
      </c>
      <c r="Z54" s="37" t="s">
        <v>524</v>
      </c>
    </row>
    <row r="55" spans="16:26" x14ac:dyDescent="0.25">
      <c r="P55" s="39" t="s">
        <v>170</v>
      </c>
      <c r="Q55" s="37" t="s">
        <v>171</v>
      </c>
      <c r="S55" s="39" t="s">
        <v>349</v>
      </c>
      <c r="T55" s="37" t="s">
        <v>350</v>
      </c>
      <c r="V55" s="39" t="s">
        <v>418</v>
      </c>
      <c r="Y55" s="39" t="s">
        <v>525</v>
      </c>
      <c r="Z55" s="37" t="s">
        <v>526</v>
      </c>
    </row>
    <row r="56" spans="16:26" x14ac:dyDescent="0.25">
      <c r="P56" s="39" t="s">
        <v>172</v>
      </c>
      <c r="Q56" s="37" t="s">
        <v>173</v>
      </c>
      <c r="S56" s="39" t="s">
        <v>351</v>
      </c>
      <c r="T56" s="37" t="s">
        <v>352</v>
      </c>
      <c r="V56" s="39" t="s">
        <v>419</v>
      </c>
      <c r="Y56" s="39" t="s">
        <v>527</v>
      </c>
      <c r="Z56" s="37" t="s">
        <v>528</v>
      </c>
    </row>
    <row r="57" spans="16:26" x14ac:dyDescent="0.25">
      <c r="P57" s="39" t="s">
        <v>174</v>
      </c>
      <c r="Q57" s="37" t="s">
        <v>175</v>
      </c>
      <c r="S57" s="39" t="s">
        <v>353</v>
      </c>
      <c r="T57" s="37" t="s">
        <v>354</v>
      </c>
      <c r="V57" s="39" t="s">
        <v>739</v>
      </c>
      <c r="Y57" s="39" t="s">
        <v>529</v>
      </c>
      <c r="Z57" s="37" t="s">
        <v>530</v>
      </c>
    </row>
    <row r="58" spans="16:26" x14ac:dyDescent="0.25">
      <c r="P58" s="39" t="s">
        <v>176</v>
      </c>
      <c r="Q58" s="37" t="s">
        <v>177</v>
      </c>
      <c r="S58" s="39" t="s">
        <v>355</v>
      </c>
      <c r="T58" s="37" t="s">
        <v>356</v>
      </c>
      <c r="Y58" s="39" t="s">
        <v>531</v>
      </c>
      <c r="Z58" s="37" t="s">
        <v>532</v>
      </c>
    </row>
    <row r="59" spans="16:26" x14ac:dyDescent="0.25">
      <c r="P59" s="39" t="s">
        <v>178</v>
      </c>
      <c r="Q59" s="37" t="s">
        <v>179</v>
      </c>
      <c r="S59" s="39" t="s">
        <v>357</v>
      </c>
      <c r="T59" s="37" t="s">
        <v>358</v>
      </c>
      <c r="Y59" s="39" t="s">
        <v>533</v>
      </c>
      <c r="Z59" s="37" t="s">
        <v>534</v>
      </c>
    </row>
    <row r="60" spans="16:26" x14ac:dyDescent="0.25">
      <c r="P60" s="39" t="s">
        <v>180</v>
      </c>
      <c r="Q60" s="37" t="s">
        <v>181</v>
      </c>
      <c r="S60" s="39" t="s">
        <v>359</v>
      </c>
      <c r="T60" s="37" t="s">
        <v>360</v>
      </c>
      <c r="Y60" s="39" t="s">
        <v>535</v>
      </c>
      <c r="Z60" s="37" t="s">
        <v>536</v>
      </c>
    </row>
    <row r="61" spans="16:26" x14ac:dyDescent="0.25">
      <c r="P61" s="39" t="s">
        <v>182</v>
      </c>
      <c r="Q61" s="37" t="s">
        <v>183</v>
      </c>
      <c r="S61" s="39" t="s">
        <v>739</v>
      </c>
      <c r="Y61" s="39" t="s">
        <v>537</v>
      </c>
      <c r="Z61" s="37" t="s">
        <v>538</v>
      </c>
    </row>
    <row r="62" spans="16:26" x14ac:dyDescent="0.25">
      <c r="P62" s="39" t="s">
        <v>184</v>
      </c>
      <c r="Q62" s="37" t="s">
        <v>185</v>
      </c>
      <c r="Y62" s="39" t="s">
        <v>539</v>
      </c>
      <c r="Z62" s="37" t="s">
        <v>540</v>
      </c>
    </row>
    <row r="63" spans="16:26" x14ac:dyDescent="0.25">
      <c r="P63" s="39" t="s">
        <v>186</v>
      </c>
      <c r="Q63" s="37" t="s">
        <v>187</v>
      </c>
      <c r="Y63" s="39" t="s">
        <v>541</v>
      </c>
      <c r="Z63" s="37" t="s">
        <v>542</v>
      </c>
    </row>
    <row r="64" spans="16:26" x14ac:dyDescent="0.25">
      <c r="P64" s="39" t="s">
        <v>188</v>
      </c>
      <c r="Q64" s="37" t="s">
        <v>189</v>
      </c>
      <c r="Y64" s="39" t="s">
        <v>543</v>
      </c>
      <c r="Z64" s="37" t="s">
        <v>544</v>
      </c>
    </row>
    <row r="65" spans="16:26" x14ac:dyDescent="0.25">
      <c r="P65" s="39" t="s">
        <v>190</v>
      </c>
      <c r="Q65" s="37" t="s">
        <v>191</v>
      </c>
      <c r="Y65" s="39" t="s">
        <v>545</v>
      </c>
      <c r="Z65" s="37" t="s">
        <v>546</v>
      </c>
    </row>
    <row r="66" spans="16:26" x14ac:dyDescent="0.25">
      <c r="P66" s="39" t="s">
        <v>192</v>
      </c>
      <c r="Q66" s="37" t="s">
        <v>193</v>
      </c>
      <c r="Y66" s="39" t="s">
        <v>547</v>
      </c>
      <c r="Z66" s="37" t="s">
        <v>548</v>
      </c>
    </row>
    <row r="67" spans="16:26" x14ac:dyDescent="0.25">
      <c r="P67" s="39" t="s">
        <v>194</v>
      </c>
      <c r="Q67" s="37" t="s">
        <v>193</v>
      </c>
      <c r="Y67" s="39" t="s">
        <v>549</v>
      </c>
      <c r="Z67" s="37" t="s">
        <v>550</v>
      </c>
    </row>
    <row r="68" spans="16:26" x14ac:dyDescent="0.25">
      <c r="P68" s="39" t="s">
        <v>195</v>
      </c>
      <c r="Q68" s="37" t="s">
        <v>196</v>
      </c>
      <c r="Y68" s="39" t="s">
        <v>551</v>
      </c>
      <c r="Z68" s="37" t="s">
        <v>552</v>
      </c>
    </row>
    <row r="69" spans="16:26" x14ac:dyDescent="0.25">
      <c r="P69" s="39" t="s">
        <v>197</v>
      </c>
      <c r="Q69" s="37" t="s">
        <v>198</v>
      </c>
      <c r="Y69" s="39" t="s">
        <v>553</v>
      </c>
      <c r="Z69" s="37" t="s">
        <v>554</v>
      </c>
    </row>
    <row r="70" spans="16:26" x14ac:dyDescent="0.25">
      <c r="P70" s="39" t="s">
        <v>199</v>
      </c>
      <c r="Q70" s="37" t="s">
        <v>200</v>
      </c>
      <c r="Y70" s="39" t="s">
        <v>555</v>
      </c>
      <c r="Z70" s="37" t="s">
        <v>556</v>
      </c>
    </row>
    <row r="71" spans="16:26" x14ac:dyDescent="0.25">
      <c r="P71" s="39" t="s">
        <v>201</v>
      </c>
      <c r="Q71" s="37" t="s">
        <v>202</v>
      </c>
      <c r="Y71" s="39" t="s">
        <v>557</v>
      </c>
      <c r="Z71" s="37" t="s">
        <v>558</v>
      </c>
    </row>
    <row r="72" spans="16:26" x14ac:dyDescent="0.25">
      <c r="P72" s="39" t="s">
        <v>203</v>
      </c>
      <c r="Q72" s="37" t="s">
        <v>204</v>
      </c>
      <c r="Y72" s="39" t="s">
        <v>559</v>
      </c>
      <c r="Z72" s="37" t="s">
        <v>560</v>
      </c>
    </row>
    <row r="73" spans="16:26" x14ac:dyDescent="0.25">
      <c r="P73" s="39" t="s">
        <v>205</v>
      </c>
      <c r="Q73" s="37" t="s">
        <v>206</v>
      </c>
      <c r="Y73" s="39" t="s">
        <v>561</v>
      </c>
      <c r="Z73" s="37" t="s">
        <v>562</v>
      </c>
    </row>
    <row r="74" spans="16:26" x14ac:dyDescent="0.25">
      <c r="P74" s="39" t="s">
        <v>207</v>
      </c>
      <c r="Q74" s="37" t="s">
        <v>208</v>
      </c>
      <c r="Y74" s="39" t="s">
        <v>563</v>
      </c>
      <c r="Z74" s="37" t="s">
        <v>125</v>
      </c>
    </row>
    <row r="75" spans="16:26" x14ac:dyDescent="0.25">
      <c r="P75" s="39" t="s">
        <v>209</v>
      </c>
      <c r="Q75" s="37" t="s">
        <v>210</v>
      </c>
      <c r="Y75" s="39" t="s">
        <v>564</v>
      </c>
      <c r="Z75" s="37" t="s">
        <v>565</v>
      </c>
    </row>
    <row r="76" spans="16:26" x14ac:dyDescent="0.25">
      <c r="P76" s="39" t="s">
        <v>211</v>
      </c>
      <c r="Q76" s="37" t="s">
        <v>212</v>
      </c>
      <c r="Y76" s="39" t="s">
        <v>566</v>
      </c>
      <c r="Z76" s="37" t="s">
        <v>567</v>
      </c>
    </row>
    <row r="77" spans="16:26" x14ac:dyDescent="0.25">
      <c r="P77" s="39" t="s">
        <v>213</v>
      </c>
      <c r="Q77" s="37" t="s">
        <v>214</v>
      </c>
      <c r="Y77" s="39" t="s">
        <v>568</v>
      </c>
      <c r="Z77" s="37" t="s">
        <v>569</v>
      </c>
    </row>
    <row r="78" spans="16:26" x14ac:dyDescent="0.25">
      <c r="P78" s="39" t="s">
        <v>215</v>
      </c>
      <c r="Q78" s="37" t="s">
        <v>216</v>
      </c>
      <c r="Y78" s="39" t="s">
        <v>570</v>
      </c>
      <c r="Z78" s="37" t="s">
        <v>571</v>
      </c>
    </row>
    <row r="79" spans="16:26" x14ac:dyDescent="0.25">
      <c r="P79" s="39" t="s">
        <v>217</v>
      </c>
      <c r="Q79" s="37" t="s">
        <v>218</v>
      </c>
      <c r="Y79" s="39" t="s">
        <v>572</v>
      </c>
      <c r="Z79" s="37" t="s">
        <v>573</v>
      </c>
    </row>
    <row r="80" spans="16:26" x14ac:dyDescent="0.25">
      <c r="P80" s="39" t="s">
        <v>219</v>
      </c>
      <c r="Q80" s="37" t="s">
        <v>220</v>
      </c>
      <c r="Y80" s="39" t="s">
        <v>574</v>
      </c>
      <c r="Z80" s="37" t="s">
        <v>575</v>
      </c>
    </row>
    <row r="81" spans="16:26" x14ac:dyDescent="0.25">
      <c r="P81" s="39" t="s">
        <v>221</v>
      </c>
      <c r="Q81" s="37" t="s">
        <v>222</v>
      </c>
      <c r="Y81" s="39" t="s">
        <v>576</v>
      </c>
      <c r="Z81" s="37" t="s">
        <v>577</v>
      </c>
    </row>
    <row r="82" spans="16:26" x14ac:dyDescent="0.25">
      <c r="P82" s="39" t="s">
        <v>223</v>
      </c>
      <c r="Y82" s="39" t="s">
        <v>578</v>
      </c>
      <c r="Z82" s="37" t="s">
        <v>579</v>
      </c>
    </row>
    <row r="83" spans="16:26" x14ac:dyDescent="0.25">
      <c r="P83" s="39" t="s">
        <v>224</v>
      </c>
      <c r="Y83" s="39" t="s">
        <v>580</v>
      </c>
      <c r="Z83" s="37" t="s">
        <v>581</v>
      </c>
    </row>
    <row r="84" spans="16:26" x14ac:dyDescent="0.25">
      <c r="P84" s="39" t="s">
        <v>225</v>
      </c>
      <c r="Y84" s="39" t="s">
        <v>582</v>
      </c>
      <c r="Z84" s="37" t="s">
        <v>583</v>
      </c>
    </row>
    <row r="85" spans="16:26" x14ac:dyDescent="0.25">
      <c r="P85" s="39" t="s">
        <v>739</v>
      </c>
      <c r="Y85" s="39" t="s">
        <v>584</v>
      </c>
      <c r="Z85" s="37" t="s">
        <v>585</v>
      </c>
    </row>
    <row r="86" spans="16:26" x14ac:dyDescent="0.25">
      <c r="Y86" s="39" t="s">
        <v>586</v>
      </c>
      <c r="Z86" s="37" t="s">
        <v>587</v>
      </c>
    </row>
    <row r="87" spans="16:26" x14ac:dyDescent="0.25">
      <c r="Y87" s="39" t="s">
        <v>588</v>
      </c>
      <c r="Z87" s="37" t="s">
        <v>589</v>
      </c>
    </row>
    <row r="88" spans="16:26" x14ac:dyDescent="0.25">
      <c r="Y88" s="39" t="s">
        <v>590</v>
      </c>
      <c r="Z88" s="37" t="s">
        <v>591</v>
      </c>
    </row>
    <row r="89" spans="16:26" x14ac:dyDescent="0.25">
      <c r="Y89" s="39" t="s">
        <v>592</v>
      </c>
      <c r="Z89" s="37" t="s">
        <v>593</v>
      </c>
    </row>
    <row r="90" spans="16:26" x14ac:dyDescent="0.25">
      <c r="Y90" s="39" t="s">
        <v>594</v>
      </c>
      <c r="Z90" s="37" t="s">
        <v>595</v>
      </c>
    </row>
    <row r="91" spans="16:26" x14ac:dyDescent="0.25">
      <c r="Y91" s="39" t="s">
        <v>596</v>
      </c>
      <c r="Z91" s="37" t="s">
        <v>597</v>
      </c>
    </row>
    <row r="92" spans="16:26" x14ac:dyDescent="0.25">
      <c r="Y92" s="39" t="s">
        <v>598</v>
      </c>
      <c r="Z92" s="37" t="s">
        <v>599</v>
      </c>
    </row>
    <row r="93" spans="16:26" x14ac:dyDescent="0.25">
      <c r="Y93" s="39" t="s">
        <v>600</v>
      </c>
      <c r="Z93" s="37" t="s">
        <v>601</v>
      </c>
    </row>
    <row r="94" spans="16:26" x14ac:dyDescent="0.25">
      <c r="Y94" s="39" t="s">
        <v>602</v>
      </c>
      <c r="Z94" s="37" t="s">
        <v>603</v>
      </c>
    </row>
    <row r="95" spans="16:26" x14ac:dyDescent="0.25">
      <c r="Y95" s="39" t="s">
        <v>604</v>
      </c>
      <c r="Z95" s="37" t="s">
        <v>605</v>
      </c>
    </row>
    <row r="96" spans="16:26" x14ac:dyDescent="0.25">
      <c r="Y96" s="39" t="s">
        <v>606</v>
      </c>
      <c r="Z96" s="37" t="s">
        <v>607</v>
      </c>
    </row>
    <row r="97" spans="25:26" x14ac:dyDescent="0.25">
      <c r="Y97" s="39" t="s">
        <v>608</v>
      </c>
      <c r="Z97" s="37" t="s">
        <v>609</v>
      </c>
    </row>
    <row r="98" spans="25:26" x14ac:dyDescent="0.25">
      <c r="Y98" s="39" t="s">
        <v>610</v>
      </c>
      <c r="Z98" s="37" t="s">
        <v>611</v>
      </c>
    </row>
    <row r="99" spans="25:26" x14ac:dyDescent="0.25">
      <c r="Y99" s="39" t="s">
        <v>612</v>
      </c>
      <c r="Z99" s="37" t="s">
        <v>613</v>
      </c>
    </row>
    <row r="100" spans="25:26" x14ac:dyDescent="0.25">
      <c r="Y100" s="39" t="s">
        <v>614</v>
      </c>
      <c r="Z100" s="37" t="s">
        <v>615</v>
      </c>
    </row>
    <row r="101" spans="25:26" x14ac:dyDescent="0.25">
      <c r="Y101" s="39" t="s">
        <v>616</v>
      </c>
      <c r="Z101" s="37" t="s">
        <v>617</v>
      </c>
    </row>
    <row r="102" spans="25:26" x14ac:dyDescent="0.25">
      <c r="Y102" s="39" t="s">
        <v>618</v>
      </c>
      <c r="Z102" s="37" t="s">
        <v>619</v>
      </c>
    </row>
    <row r="103" spans="25:26" x14ac:dyDescent="0.25">
      <c r="Y103" s="39" t="s">
        <v>620</v>
      </c>
      <c r="Z103" s="37" t="s">
        <v>621</v>
      </c>
    </row>
    <row r="104" spans="25:26" x14ac:dyDescent="0.25">
      <c r="Y104" s="39" t="s">
        <v>622</v>
      </c>
      <c r="Z104" s="37" t="s">
        <v>623</v>
      </c>
    </row>
    <row r="105" spans="25:26" x14ac:dyDescent="0.25">
      <c r="Y105" s="39" t="s">
        <v>624</v>
      </c>
      <c r="Z105" s="37" t="s">
        <v>625</v>
      </c>
    </row>
    <row r="106" spans="25:26" x14ac:dyDescent="0.25">
      <c r="Y106" s="39" t="s">
        <v>626</v>
      </c>
      <c r="Z106" s="37" t="s">
        <v>627</v>
      </c>
    </row>
    <row r="107" spans="25:26" x14ac:dyDescent="0.25">
      <c r="Y107" s="39" t="s">
        <v>628</v>
      </c>
      <c r="Z107" s="37" t="s">
        <v>629</v>
      </c>
    </row>
    <row r="108" spans="25:26" x14ac:dyDescent="0.25">
      <c r="Y108" s="39" t="s">
        <v>630</v>
      </c>
      <c r="Z108" s="37" t="s">
        <v>631</v>
      </c>
    </row>
    <row r="109" spans="25:26" x14ac:dyDescent="0.25">
      <c r="Y109" s="39" t="s">
        <v>632</v>
      </c>
      <c r="Z109" s="37" t="s">
        <v>633</v>
      </c>
    </row>
    <row r="110" spans="25:26" x14ac:dyDescent="0.25">
      <c r="Y110" s="39" t="s">
        <v>634</v>
      </c>
      <c r="Z110" s="37" t="s">
        <v>635</v>
      </c>
    </row>
    <row r="111" spans="25:26" x14ac:dyDescent="0.25">
      <c r="Y111" s="39" t="s">
        <v>636</v>
      </c>
      <c r="Z111" s="37" t="s">
        <v>637</v>
      </c>
    </row>
    <row r="112" spans="25:26" x14ac:dyDescent="0.25">
      <c r="Y112" s="39" t="s">
        <v>638</v>
      </c>
      <c r="Z112" s="37" t="s">
        <v>639</v>
      </c>
    </row>
    <row r="113" spans="25:26" x14ac:dyDescent="0.25">
      <c r="Y113" s="39" t="s">
        <v>640</v>
      </c>
      <c r="Z113" s="37" t="s">
        <v>641</v>
      </c>
    </row>
    <row r="114" spans="25:26" x14ac:dyDescent="0.25">
      <c r="Y114" s="39" t="s">
        <v>642</v>
      </c>
      <c r="Z114" s="37" t="s">
        <v>643</v>
      </c>
    </row>
    <row r="115" spans="25:26" x14ac:dyDescent="0.25">
      <c r="Y115" s="39" t="s">
        <v>644</v>
      </c>
      <c r="Z115" s="37" t="s">
        <v>645</v>
      </c>
    </row>
    <row r="116" spans="25:26" x14ac:dyDescent="0.25">
      <c r="Y116" s="39" t="s">
        <v>646</v>
      </c>
      <c r="Z116" s="37" t="s">
        <v>647</v>
      </c>
    </row>
    <row r="117" spans="25:26" x14ac:dyDescent="0.25">
      <c r="Y117" s="39" t="s">
        <v>648</v>
      </c>
      <c r="Z117" s="37" t="s">
        <v>649</v>
      </c>
    </row>
    <row r="118" spans="25:26" x14ac:dyDescent="0.25">
      <c r="Y118" s="39" t="s">
        <v>650</v>
      </c>
      <c r="Z118" s="37" t="s">
        <v>651</v>
      </c>
    </row>
    <row r="119" spans="25:26" x14ac:dyDescent="0.25">
      <c r="Y119" s="39" t="s">
        <v>652</v>
      </c>
      <c r="Z119" s="37" t="s">
        <v>653</v>
      </c>
    </row>
    <row r="120" spans="25:26" x14ac:dyDescent="0.25">
      <c r="Y120" s="39" t="s">
        <v>654</v>
      </c>
      <c r="Z120" s="37" t="s">
        <v>655</v>
      </c>
    </row>
    <row r="121" spans="25:26" x14ac:dyDescent="0.25">
      <c r="Y121" s="39" t="s">
        <v>656</v>
      </c>
      <c r="Z121" s="37" t="s">
        <v>657</v>
      </c>
    </row>
    <row r="122" spans="25:26" x14ac:dyDescent="0.25">
      <c r="Y122" s="39" t="s">
        <v>658</v>
      </c>
      <c r="Z122" s="37" t="s">
        <v>659</v>
      </c>
    </row>
    <row r="123" spans="25:26" x14ac:dyDescent="0.25">
      <c r="Y123" s="39" t="s">
        <v>660</v>
      </c>
      <c r="Z123" s="37" t="s">
        <v>661</v>
      </c>
    </row>
    <row r="124" spans="25:26" x14ac:dyDescent="0.25">
      <c r="Y124" s="39" t="s">
        <v>662</v>
      </c>
      <c r="Z124" s="37" t="s">
        <v>663</v>
      </c>
    </row>
    <row r="125" spans="25:26" x14ac:dyDescent="0.25">
      <c r="Y125" s="39" t="s">
        <v>664</v>
      </c>
      <c r="Z125" s="37" t="s">
        <v>665</v>
      </c>
    </row>
    <row r="126" spans="25:26" x14ac:dyDescent="0.25">
      <c r="Y126" s="39" t="s">
        <v>666</v>
      </c>
      <c r="Z126" s="37" t="s">
        <v>667</v>
      </c>
    </row>
    <row r="127" spans="25:26" x14ac:dyDescent="0.25">
      <c r="Y127" s="39" t="s">
        <v>668</v>
      </c>
      <c r="Z127" s="37" t="s">
        <v>669</v>
      </c>
    </row>
    <row r="128" spans="25:26" x14ac:dyDescent="0.25">
      <c r="Y128" s="39" t="s">
        <v>670</v>
      </c>
      <c r="Z128" s="37" t="s">
        <v>671</v>
      </c>
    </row>
    <row r="129" spans="25:26" x14ac:dyDescent="0.25">
      <c r="Y129" s="39" t="s">
        <v>672</v>
      </c>
      <c r="Z129" s="37" t="s">
        <v>673</v>
      </c>
    </row>
    <row r="130" spans="25:26" x14ac:dyDescent="0.25">
      <c r="Y130" s="39" t="s">
        <v>674</v>
      </c>
      <c r="Z130" s="37" t="s">
        <v>675</v>
      </c>
    </row>
    <row r="131" spans="25:26" x14ac:dyDescent="0.25">
      <c r="Y131" s="39" t="s">
        <v>676</v>
      </c>
      <c r="Z131" s="37" t="s">
        <v>677</v>
      </c>
    </row>
    <row r="132" spans="25:26" x14ac:dyDescent="0.25">
      <c r="Y132" s="39" t="s">
        <v>678</v>
      </c>
      <c r="Z132" s="37" t="s">
        <v>679</v>
      </c>
    </row>
    <row r="133" spans="25:26" x14ac:dyDescent="0.25">
      <c r="Y133" s="39" t="s">
        <v>680</v>
      </c>
      <c r="Z133" s="37" t="s">
        <v>681</v>
      </c>
    </row>
    <row r="134" spans="25:26" x14ac:dyDescent="0.25">
      <c r="Y134" s="39" t="s">
        <v>682</v>
      </c>
      <c r="Z134" s="37" t="s">
        <v>683</v>
      </c>
    </row>
    <row r="135" spans="25:26" x14ac:dyDescent="0.25">
      <c r="Y135" s="39" t="s">
        <v>684</v>
      </c>
      <c r="Z135" s="37" t="s">
        <v>685</v>
      </c>
    </row>
    <row r="136" spans="25:26" x14ac:dyDescent="0.25">
      <c r="Y136" s="39" t="s">
        <v>686</v>
      </c>
      <c r="Z136" s="37" t="s">
        <v>687</v>
      </c>
    </row>
    <row r="137" spans="25:26" x14ac:dyDescent="0.25">
      <c r="Y137" s="39" t="s">
        <v>688</v>
      </c>
      <c r="Z137" s="37" t="s">
        <v>689</v>
      </c>
    </row>
    <row r="138" spans="25:26" x14ac:dyDescent="0.25">
      <c r="Y138" s="39" t="s">
        <v>690</v>
      </c>
      <c r="Z138" s="37" t="s">
        <v>691</v>
      </c>
    </row>
    <row r="139" spans="25:26" x14ac:dyDescent="0.25">
      <c r="Y139" s="39" t="s">
        <v>692</v>
      </c>
      <c r="Z139" s="37" t="s">
        <v>693</v>
      </c>
    </row>
    <row r="140" spans="25:26" x14ac:dyDescent="0.25">
      <c r="Y140" s="39" t="s">
        <v>694</v>
      </c>
      <c r="Z140" s="37" t="s">
        <v>695</v>
      </c>
    </row>
    <row r="141" spans="25:26" x14ac:dyDescent="0.25">
      <c r="Y141" s="39" t="s">
        <v>696</v>
      </c>
      <c r="Z141" s="37" t="s">
        <v>697</v>
      </c>
    </row>
    <row r="142" spans="25:26" x14ac:dyDescent="0.25">
      <c r="Y142" s="39" t="s">
        <v>698</v>
      </c>
      <c r="Z142" s="37" t="s">
        <v>699</v>
      </c>
    </row>
    <row r="143" spans="25:26" x14ac:dyDescent="0.25">
      <c r="Y143" s="39" t="s">
        <v>700</v>
      </c>
      <c r="Z143" s="37" t="s">
        <v>701</v>
      </c>
    </row>
    <row r="144" spans="25:26" x14ac:dyDescent="0.25">
      <c r="Y144" s="39" t="s">
        <v>702</v>
      </c>
      <c r="Z144" s="37" t="s">
        <v>703</v>
      </c>
    </row>
    <row r="145" spans="25:26" x14ac:dyDescent="0.25">
      <c r="Y145" s="39" t="s">
        <v>704</v>
      </c>
      <c r="Z145" s="37" t="s">
        <v>705</v>
      </c>
    </row>
    <row r="146" spans="25:26" x14ac:dyDescent="0.25">
      <c r="Y146" s="39" t="s">
        <v>706</v>
      </c>
      <c r="Z146" s="37" t="s">
        <v>707</v>
      </c>
    </row>
    <row r="147" spans="25:26" x14ac:dyDescent="0.25">
      <c r="Y147" s="39" t="s">
        <v>708</v>
      </c>
      <c r="Z147" s="37" t="s">
        <v>709</v>
      </c>
    </row>
    <row r="148" spans="25:26" x14ac:dyDescent="0.25">
      <c r="Y148" s="39" t="s">
        <v>710</v>
      </c>
      <c r="Z148" s="37" t="s">
        <v>711</v>
      </c>
    </row>
    <row r="149" spans="25:26" x14ac:dyDescent="0.25">
      <c r="Y149" s="39" t="s">
        <v>712</v>
      </c>
      <c r="Z149" s="37" t="s">
        <v>713</v>
      </c>
    </row>
    <row r="150" spans="25:26" x14ac:dyDescent="0.25">
      <c r="Y150" s="39" t="s">
        <v>714</v>
      </c>
      <c r="Z150" s="37" t="s">
        <v>715</v>
      </c>
    </row>
    <row r="151" spans="25:26" x14ac:dyDescent="0.25">
      <c r="Y151" s="39" t="s">
        <v>716</v>
      </c>
      <c r="Z151" s="37" t="s">
        <v>717</v>
      </c>
    </row>
    <row r="152" spans="25:26" x14ac:dyDescent="0.25">
      <c r="Y152" s="39" t="s">
        <v>718</v>
      </c>
      <c r="Z152" s="37" t="s">
        <v>719</v>
      </c>
    </row>
    <row r="153" spans="25:26" x14ac:dyDescent="0.25">
      <c r="Y153" s="39" t="s">
        <v>720</v>
      </c>
      <c r="Z153" s="37" t="s">
        <v>721</v>
      </c>
    </row>
    <row r="154" spans="25:26" x14ac:dyDescent="0.25">
      <c r="Y154" s="39" t="s">
        <v>722</v>
      </c>
      <c r="Z154" s="37" t="s">
        <v>723</v>
      </c>
    </row>
    <row r="155" spans="25:26" x14ac:dyDescent="0.25">
      <c r="Y155" s="39" t="s">
        <v>724</v>
      </c>
      <c r="Z155" s="37" t="s">
        <v>725</v>
      </c>
    </row>
    <row r="156" spans="25:26" x14ac:dyDescent="0.25">
      <c r="Y156" s="39" t="s">
        <v>726</v>
      </c>
      <c r="Z156" s="37" t="s">
        <v>727</v>
      </c>
    </row>
    <row r="157" spans="25:26" x14ac:dyDescent="0.25">
      <c r="Y157" s="39" t="s">
        <v>728</v>
      </c>
      <c r="Z157" s="37" t="s">
        <v>729</v>
      </c>
    </row>
    <row r="158" spans="25:26" x14ac:dyDescent="0.25">
      <c r="Y158" s="39" t="s">
        <v>730</v>
      </c>
      <c r="Z158" s="37" t="s">
        <v>731</v>
      </c>
    </row>
    <row r="159" spans="25:26" x14ac:dyDescent="0.25">
      <c r="Y159" s="39" t="s">
        <v>732</v>
      </c>
      <c r="Z159" s="37" t="s">
        <v>733</v>
      </c>
    </row>
    <row r="160" spans="25:26" x14ac:dyDescent="0.25">
      <c r="Y160" s="39" t="s">
        <v>734</v>
      </c>
      <c r="Z160" s="37" t="s">
        <v>735</v>
      </c>
    </row>
    <row r="161" spans="25:25" x14ac:dyDescent="0.25">
      <c r="Y161" s="39" t="s">
        <v>739</v>
      </c>
    </row>
  </sheetData>
  <sheetProtection algorithmName="SHA-512" hashValue="t/CjNRdNF7Zhx9I4BYxwtINMzOSn9Dlj43NGN5O07rqic3AKxVYdFXtr1W/sPa0GiwSDwjv/VyXbey54PTtIxA==" saltValue="Kwsy4TcJ2gpRzcsdq3jvUA==" spinCount="100000" sheet="1" objects="1" scenarios="1"/>
  <mergeCells count="3">
    <mergeCell ref="B1:L1"/>
    <mergeCell ref="B11:L11"/>
    <mergeCell ref="B18:L18"/>
  </mergeCell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A5CE-CCE4-4D9A-995A-8D3654FE2878}">
  <sheetPr codeName="Sheet1"/>
  <dimension ref="A1"/>
  <sheetViews>
    <sheetView workbookViewId="0"/>
  </sheetViews>
  <sheetFormatPr baseColWidth="10" defaultColWidth="8.7109375" defaultRowHeight="15" x14ac:dyDescent="0.25"/>
  <sheetData>
    <row r="1" spans="1:1" x14ac:dyDescent="0.25">
      <c r="A1" t="s">
        <v>1035</v>
      </c>
    </row>
  </sheetData>
  <sheetProtection algorithmName="SHA-512" hashValue="ifa0AnRwIBFmzZBwvqQVZ27CcwK9T1NdSoiVIGjOv7k976QUsPgOhgXjyixhnbHJAKOEFjj83XUjWiymnacZiw==" saltValue="ghbTPs05bXj7HhNnIKJN6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0" tint="-0.249977111117893"/>
    <pageSetUpPr fitToPage="1"/>
  </sheetPr>
  <dimension ref="A1:L16"/>
  <sheetViews>
    <sheetView showGridLines="0" tabSelected="1" zoomScaleNormal="100" workbookViewId="0"/>
  </sheetViews>
  <sheetFormatPr baseColWidth="10" defaultColWidth="11.42578125" defaultRowHeight="15" x14ac:dyDescent="0.25"/>
  <cols>
    <col min="1" max="1" width="1.5703125" style="8" customWidth="1"/>
    <col min="2" max="2" width="67.85546875" style="8" customWidth="1"/>
    <col min="3" max="16384" width="11.42578125" style="8"/>
  </cols>
  <sheetData>
    <row r="1" spans="1:12" s="1" customFormat="1" ht="39.950000000000003" customHeight="1" x14ac:dyDescent="0.25">
      <c r="B1" s="2" t="str">
        <f ca="1">IFERROR(GET_CREDITS(),MSG_MACRO)</f>
        <v>Liquidadores DR210.com</v>
      </c>
      <c r="J1" s="3"/>
    </row>
    <row r="2" spans="1:12" s="1" customFormat="1" ht="30" customHeight="1" x14ac:dyDescent="0.4">
      <c r="A2" s="4"/>
      <c r="B2" s="9" t="s">
        <v>9</v>
      </c>
      <c r="J2" s="3"/>
    </row>
    <row r="3" spans="1:12" s="12" customFormat="1" ht="30" customHeight="1" x14ac:dyDescent="0.5">
      <c r="B3" s="18" t="s">
        <v>974</v>
      </c>
      <c r="G3" s="5"/>
      <c r="H3" s="5"/>
      <c r="I3" s="5" t="s">
        <v>0</v>
      </c>
      <c r="J3" s="5" t="s">
        <v>1033</v>
      </c>
    </row>
    <row r="14" spans="1:12" ht="15" customHeight="1" x14ac:dyDescent="0.25">
      <c r="B14" s="246" t="s">
        <v>8</v>
      </c>
      <c r="C14" s="246"/>
      <c r="D14" s="246"/>
      <c r="E14" s="246"/>
      <c r="F14" s="246"/>
      <c r="G14" s="246"/>
      <c r="H14" s="246"/>
      <c r="I14" s="246"/>
      <c r="J14" s="246"/>
      <c r="K14" s="246"/>
    </row>
    <row r="15" spans="1:12" x14ac:dyDescent="0.25">
      <c r="B15" s="246"/>
      <c r="C15" s="246"/>
      <c r="D15" s="246"/>
      <c r="E15" s="246"/>
      <c r="F15" s="246"/>
      <c r="G15" s="246"/>
      <c r="H15" s="246"/>
      <c r="I15" s="246"/>
      <c r="J15" s="246"/>
      <c r="K15" s="246"/>
    </row>
    <row r="16" spans="1:12" s="7" customFormat="1" ht="36.75" customHeight="1" x14ac:dyDescent="0.3">
      <c r="B16" s="245" t="s">
        <v>5</v>
      </c>
      <c r="C16" s="245"/>
      <c r="D16" s="245"/>
      <c r="E16" s="245"/>
      <c r="F16" s="245"/>
      <c r="G16" s="245"/>
      <c r="H16" s="245"/>
      <c r="I16" s="245"/>
      <c r="J16" s="245"/>
      <c r="K16" s="245"/>
      <c r="L16" s="6"/>
    </row>
  </sheetData>
  <sheetProtection algorithmName="SHA-512" hashValue="VUq3W6uEybocgddolFlgqz1mJ5SShD4xoFM6EOGv9tKab6ZMdvMHNMGtxW+jNtKeIK/M0Ba4m7aisdZj9T2Alw==" saltValue="0PqQXMMZxCDAr0Tp7fSklw==" spinCount="100000" sheet="1" objects="1" scenarios="1"/>
  <mergeCells count="2">
    <mergeCell ref="B16:K16"/>
    <mergeCell ref="B14:K15"/>
  </mergeCells>
  <conditionalFormatting sqref="B1">
    <cfRule type="expression" dxfId="408" priority="1">
      <formula>$B$1=MSG_MACRO</formula>
    </cfRule>
  </conditionalFormatting>
  <pageMargins left="0.7" right="0.7" top="0.75" bottom="0.75" header="0.3" footer="0.3"/>
  <pageSetup scale="55"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1">
    <tabColor theme="0" tint="-0.249977111117893"/>
  </sheetPr>
  <dimension ref="A1:BG1015"/>
  <sheetViews>
    <sheetView showGridLines="0" zoomScale="80" zoomScaleNormal="80" workbookViewId="0"/>
  </sheetViews>
  <sheetFormatPr baseColWidth="10" defaultColWidth="11.42578125" defaultRowHeight="18.75" x14ac:dyDescent="0.3"/>
  <cols>
    <col min="1" max="1" width="1.7109375" style="10" customWidth="1"/>
    <col min="2" max="2" width="18.42578125" style="10" customWidth="1"/>
    <col min="3" max="3" width="52.5703125" style="10" customWidth="1"/>
    <col min="4" max="4" width="52" style="10" customWidth="1"/>
    <col min="5" max="5" width="21" style="10" customWidth="1"/>
    <col min="6" max="6" width="28.5703125" style="10" customWidth="1"/>
    <col min="7" max="7" width="23.7109375" style="10" customWidth="1"/>
    <col min="8" max="8" width="3.42578125" style="10" customWidth="1"/>
    <col min="9" max="9" width="23.7109375" style="10" customWidth="1"/>
    <col min="10" max="10" width="8.7109375" style="10" customWidth="1"/>
    <col min="11" max="11" width="23.7109375" style="10" customWidth="1"/>
    <col min="12" max="12" width="3.42578125" style="10" customWidth="1"/>
    <col min="13" max="13" width="23.7109375" style="10" customWidth="1"/>
    <col min="14" max="14" width="8.7109375" style="10" customWidth="1"/>
    <col min="15" max="15" width="23.7109375" style="10" customWidth="1"/>
    <col min="16" max="16" width="3.42578125" style="10" customWidth="1"/>
    <col min="17" max="17" width="23.7109375" style="10" customWidth="1"/>
    <col min="18" max="18" width="8.7109375" style="10" customWidth="1"/>
    <col min="19" max="19" width="23.7109375" style="10" customWidth="1"/>
    <col min="20" max="20" width="3.42578125" style="10" customWidth="1"/>
    <col min="21" max="21" width="23.7109375" style="10" customWidth="1"/>
    <col min="22" max="22" width="8.7109375" style="10" customWidth="1"/>
    <col min="23" max="23" width="23.7109375" style="10" customWidth="1"/>
    <col min="24" max="24" width="3.42578125" style="10" customWidth="1"/>
    <col min="25" max="25" width="23.7109375" style="10" customWidth="1"/>
    <col min="26" max="26" width="8.7109375" style="10" customWidth="1"/>
    <col min="27" max="27" width="23.7109375" style="10" customWidth="1"/>
    <col min="28" max="28" width="3.42578125" style="10" customWidth="1"/>
    <col min="29" max="29" width="23.7109375" style="10" customWidth="1"/>
    <col min="30" max="30" width="8.7109375" style="10" customWidth="1"/>
    <col min="31" max="31" width="23.7109375" style="10" customWidth="1"/>
    <col min="32" max="32" width="3.42578125" style="10" customWidth="1"/>
    <col min="33" max="33" width="23.7109375" style="10" customWidth="1"/>
    <col min="34" max="34" width="8.7109375" style="10" customWidth="1"/>
    <col min="35" max="35" width="23.7109375" style="10" customWidth="1"/>
    <col min="36" max="36" width="3.42578125" style="10" customWidth="1"/>
    <col min="37" max="37" width="23.7109375" style="10" customWidth="1"/>
    <col min="38" max="38" width="8.7109375" style="10" customWidth="1"/>
    <col min="39" max="39" width="23.7109375" style="10" customWidth="1"/>
    <col min="40" max="40" width="3.42578125" style="10" customWidth="1"/>
    <col min="41" max="41" width="23.7109375" style="10" customWidth="1"/>
    <col min="42" max="42" width="8.7109375" style="10" customWidth="1"/>
    <col min="43" max="43" width="23.7109375" style="10" customWidth="1"/>
    <col min="44" max="44" width="3.42578125" style="10" customWidth="1"/>
    <col min="45" max="45" width="23.7109375" style="10" customWidth="1"/>
    <col min="46" max="46" width="8.7109375" style="10" customWidth="1"/>
    <col min="47" max="47" width="23.7109375" style="10" customWidth="1"/>
    <col min="48" max="48" width="3.42578125" style="10" customWidth="1"/>
    <col min="49" max="49" width="23.7109375" style="10" customWidth="1"/>
    <col min="50" max="50" width="8.7109375" style="10" customWidth="1"/>
    <col min="51" max="51" width="23.7109375" style="10" customWidth="1"/>
    <col min="52" max="52" width="3.42578125" style="10" customWidth="1"/>
    <col min="53" max="53" width="23.7109375" style="10" customWidth="1"/>
    <col min="54" max="54" width="8.7109375" style="10" customWidth="1"/>
    <col min="55" max="55" width="23.7109375" style="10" customWidth="1"/>
    <col min="56" max="56" width="3.42578125" style="10" customWidth="1"/>
    <col min="57" max="57" width="23.7109375" style="10" customWidth="1"/>
    <col min="58" max="58" width="8.7109375" style="10" customWidth="1"/>
    <col min="59" max="59" width="23.7109375" style="10" customWidth="1"/>
    <col min="60" max="16384" width="11.42578125" style="10"/>
  </cols>
  <sheetData>
    <row r="1" spans="2:14" s="47" customFormat="1" ht="33" customHeight="1" x14ac:dyDescent="0.3">
      <c r="B1" s="45" t="str">
        <f ca="1">IFERROR(GET_CREDITS(),MSG_MACRO)</f>
        <v>Liquidadores DR210.com</v>
      </c>
      <c r="C1" s="45"/>
      <c r="E1" s="45"/>
      <c r="F1" s="45"/>
      <c r="G1" s="46"/>
      <c r="H1" s="46"/>
      <c r="I1" s="46"/>
    </row>
    <row r="2" spans="2:14" s="49" customFormat="1" ht="33" customHeight="1" x14ac:dyDescent="0.5">
      <c r="B2" s="62" t="s">
        <v>975</v>
      </c>
      <c r="C2" s="62"/>
      <c r="E2" s="62"/>
      <c r="F2" s="62"/>
      <c r="G2" s="48"/>
      <c r="H2" s="48"/>
      <c r="I2" s="48"/>
    </row>
    <row r="3" spans="2:14" s="54" customFormat="1" ht="33" customHeight="1" x14ac:dyDescent="0.4">
      <c r="B3" s="63" t="s">
        <v>7</v>
      </c>
      <c r="C3" s="63"/>
      <c r="E3" s="63"/>
      <c r="F3" s="52" t="s">
        <v>0</v>
      </c>
      <c r="G3" s="53" t="str">
        <f>+Inicio!$J$3</f>
        <v>2025.3</v>
      </c>
      <c r="H3" s="50"/>
      <c r="I3" s="50"/>
      <c r="J3" s="51"/>
      <c r="K3" s="51"/>
      <c r="L3" s="51"/>
      <c r="M3" s="52"/>
      <c r="N3" s="53"/>
    </row>
    <row r="4" spans="2:14" x14ac:dyDescent="0.3">
      <c r="L4" s="11"/>
    </row>
    <row r="5" spans="2:14" x14ac:dyDescent="0.3">
      <c r="B5" s="333" t="s">
        <v>10</v>
      </c>
      <c r="C5" s="333"/>
      <c r="D5" s="333"/>
      <c r="E5" s="55" t="s">
        <v>6</v>
      </c>
      <c r="G5" s="55" t="s">
        <v>11</v>
      </c>
      <c r="I5" s="55" t="s">
        <v>1</v>
      </c>
    </row>
    <row r="6" spans="2:14" x14ac:dyDescent="0.3">
      <c r="B6" s="334"/>
      <c r="C6" s="334"/>
      <c r="D6" s="334"/>
      <c r="E6" s="44"/>
      <c r="G6" s="175" t="s">
        <v>12</v>
      </c>
      <c r="I6" s="230">
        <v>2025</v>
      </c>
    </row>
    <row r="8" spans="2:14" ht="21" customHeight="1" x14ac:dyDescent="0.3">
      <c r="B8" s="335" t="s">
        <v>15</v>
      </c>
      <c r="C8" s="335"/>
      <c r="D8" s="56" t="s">
        <v>229</v>
      </c>
      <c r="E8" s="335" t="s">
        <v>230</v>
      </c>
      <c r="F8" s="335"/>
    </row>
    <row r="9" spans="2:14" ht="21" customHeight="1" x14ac:dyDescent="0.3">
      <c r="B9" s="336" t="str">
        <f>+IF($G$6="Bimestral","Bimestre 1: Enero - Febrero",IF($G$6="Cuatrimestral","Cuatrimestre 1: Enero - Abril",IF(G6="Anual","Declaración consolidada de IVA - RST","")))</f>
        <v>Bimestre 1: Enero - Febrero</v>
      </c>
      <c r="C9" s="336"/>
      <c r="D9" s="166" t="str">
        <f>IFERROR(IF($G$6="Bimestral",+HLOOKUP(Datos!$C$2,Datos!$C$3:$L$9,2,0),
IF($G$6="Cuatrimestral",HLOOKUP(Datos!$C$12,Datos!$C$13:$L$16,2,0),
IF($G$6="Anual",HLOOKUP(Datos!$C$19,Datos!$C$20:$L$21,2,0),0))),"")</f>
        <v/>
      </c>
      <c r="E9" s="350"/>
      <c r="F9" s="350"/>
    </row>
    <row r="10" spans="2:14" s="20" customFormat="1" x14ac:dyDescent="0.3">
      <c r="B10" s="336" t="str">
        <f>+IF($G$6="Bimestral","Bimestre 2: Marzo - Junio",IF($G$6="Cuatrimestral","Cuatrimestre 2: Mayo - Agosto",""))</f>
        <v>Bimestre 2: Marzo - Junio</v>
      </c>
      <c r="C10" s="336"/>
      <c r="D10" s="166" t="str">
        <f>IFERROR(IF($G$6="Bimestral",+HLOOKUP(Datos!$C$2,Datos!$C$3:$L$9,3,0),
IF($G$6="Cuatrimestral",HLOOKUP(Datos!$C$12,Datos!$C$13:$L$16,3,0),"")),"")</f>
        <v/>
      </c>
      <c r="E10" s="350"/>
      <c r="F10" s="350"/>
      <c r="H10" s="10"/>
      <c r="I10" s="10"/>
      <c r="K10" s="10"/>
      <c r="L10" s="10"/>
      <c r="M10" s="10"/>
    </row>
    <row r="11" spans="2:14" ht="21" customHeight="1" x14ac:dyDescent="0.3">
      <c r="B11" s="336" t="str">
        <f>+IF($G$6="Bimestral","Bimestre 3: Mayo - Junio",IF($G$6="Cuatrimestral","Cuatrimestre 3: Septiembre - Diciembre",""))</f>
        <v>Bimestre 3: Mayo - Junio</v>
      </c>
      <c r="C11" s="336"/>
      <c r="D11" s="166" t="str">
        <f>IFERROR(IF($G$6="Bimestral",+HLOOKUP(Datos!$C$2,Datos!$C$3:$L$9,4,0),
IF($G$6="Cuatrimestral",HLOOKUP(Datos!$C$12,Datos!$C$13:$L$16,4,0),"")),"")</f>
        <v/>
      </c>
      <c r="E11" s="350"/>
      <c r="F11" s="350"/>
    </row>
    <row r="12" spans="2:14" ht="21" customHeight="1" x14ac:dyDescent="0.3">
      <c r="B12" s="336" t="str">
        <f>+IF($G$6="Bimestral","Bimestre 4: Julio - Agosto","")</f>
        <v>Bimestre 4: Julio - Agosto</v>
      </c>
      <c r="C12" s="336"/>
      <c r="D12" s="166" t="str">
        <f>IFERROR(IF($G$6="Bimestral",+HLOOKUP(Datos!$C$2,Datos!$C$3:$L$9,5,0),""),"")</f>
        <v/>
      </c>
      <c r="E12" s="350"/>
      <c r="F12" s="350"/>
    </row>
    <row r="13" spans="2:14" ht="21" customHeight="1" x14ac:dyDescent="0.3">
      <c r="B13" s="336" t="str">
        <f>+IF($G$6="Bimestral","Bimestre 5: Septiembre - Octubre","")</f>
        <v>Bimestre 5: Septiembre - Octubre</v>
      </c>
      <c r="C13" s="336"/>
      <c r="D13" s="166" t="str">
        <f>IFERROR(IF($G$6="Bimestral",+HLOOKUP(Datos!$C$2,Datos!$C$3:$L$9,6,0),""),"")</f>
        <v/>
      </c>
      <c r="E13" s="350"/>
      <c r="F13" s="350"/>
    </row>
    <row r="14" spans="2:14" ht="21" customHeight="1" x14ac:dyDescent="0.3">
      <c r="B14" s="336" t="str">
        <f>+IF($G$6="Bimestral","Bimestre 6: Noviembre - Diciembre","")</f>
        <v>Bimestre 6: Noviembre - Diciembre</v>
      </c>
      <c r="C14" s="336"/>
      <c r="D14" s="166" t="str">
        <f>IFERROR(IF($G$6="Bimestral",+HLOOKUP(Datos!$C$2,Datos!$C$3:$L$9,7,0),""),"")</f>
        <v/>
      </c>
      <c r="E14" s="350"/>
      <c r="F14" s="350"/>
    </row>
    <row r="15" spans="2:14" ht="21" customHeight="1" x14ac:dyDescent="0.3">
      <c r="D15" s="20"/>
      <c r="E15" s="20"/>
      <c r="F15" s="20"/>
      <c r="G15" s="20"/>
      <c r="H15" s="20"/>
      <c r="I15" s="20"/>
      <c r="J15" s="20"/>
      <c r="K15" s="20"/>
    </row>
    <row r="16" spans="2:14" ht="36" customHeight="1" x14ac:dyDescent="0.3">
      <c r="B16" s="337" t="s">
        <v>30</v>
      </c>
      <c r="C16" s="337"/>
      <c r="D16" s="337"/>
      <c r="E16" s="337"/>
      <c r="F16" s="337"/>
      <c r="G16" s="337"/>
      <c r="H16" s="337"/>
      <c r="I16" s="337"/>
      <c r="J16" s="337"/>
    </row>
    <row r="17" spans="1:59" ht="21" customHeight="1" x14ac:dyDescent="0.3">
      <c r="D17" s="20"/>
      <c r="E17" s="20"/>
      <c r="F17" s="20"/>
    </row>
    <row r="18" spans="1:59" ht="36" hidden="1" customHeight="1" x14ac:dyDescent="0.3">
      <c r="B18" s="338" t="s">
        <v>228</v>
      </c>
      <c r="C18" s="338"/>
      <c r="D18" s="338"/>
      <c r="E18" s="338"/>
      <c r="F18" s="338"/>
      <c r="G18" s="338"/>
      <c r="H18" s="338"/>
      <c r="I18" s="338"/>
      <c r="J18" s="338"/>
    </row>
    <row r="19" spans="1:59" ht="21" hidden="1" customHeight="1" x14ac:dyDescent="0.3"/>
    <row r="20" spans="1:59" s="20" customFormat="1" ht="21" hidden="1" customHeight="1" x14ac:dyDescent="0.25">
      <c r="B20" s="322" t="s">
        <v>894</v>
      </c>
      <c r="C20" s="322" t="s">
        <v>895</v>
      </c>
      <c r="D20" s="325" t="s">
        <v>235</v>
      </c>
      <c r="E20" s="322" t="s">
        <v>232</v>
      </c>
      <c r="F20" s="322" t="s">
        <v>233</v>
      </c>
      <c r="G20" s="319" t="s">
        <v>234</v>
      </c>
      <c r="H20" s="36"/>
      <c r="I20" s="329" t="str">
        <f>+"Enero "&amp;$I$6&amp;""</f>
        <v>Enero 2025</v>
      </c>
      <c r="J20" s="329"/>
      <c r="K20" s="329"/>
      <c r="M20" s="329" t="str">
        <f>+"Febrero "&amp;$I$6&amp;""</f>
        <v>Febrero 2025</v>
      </c>
      <c r="N20" s="329"/>
      <c r="O20" s="329"/>
      <c r="Q20" s="329" t="str">
        <f>+"Marzo "&amp;$I$6&amp;""</f>
        <v>Marzo 2025</v>
      </c>
      <c r="R20" s="329"/>
      <c r="S20" s="329"/>
      <c r="U20" s="329" t="str">
        <f>+"Abril "&amp;$I$6&amp;""</f>
        <v>Abril 2025</v>
      </c>
      <c r="V20" s="329"/>
      <c r="W20" s="329"/>
      <c r="Y20" s="329" t="str">
        <f>+"Mayo "&amp;$I$6&amp;""</f>
        <v>Mayo 2025</v>
      </c>
      <c r="Z20" s="329"/>
      <c r="AA20" s="329"/>
      <c r="AC20" s="329" t="str">
        <f>+"Junio "&amp;$I$6&amp;""</f>
        <v>Junio 2025</v>
      </c>
      <c r="AD20" s="329"/>
      <c r="AE20" s="329"/>
      <c r="AG20" s="329" t="str">
        <f>+"Julio "&amp;$I$6&amp;""</f>
        <v>Julio 2025</v>
      </c>
      <c r="AH20" s="329"/>
      <c r="AI20" s="329"/>
      <c r="AK20" s="329" t="str">
        <f>+"Agosto "&amp;$I$6&amp;""</f>
        <v>Agosto 2025</v>
      </c>
      <c r="AL20" s="329"/>
      <c r="AM20" s="329"/>
      <c r="AO20" s="329" t="str">
        <f>+"Septiembre "&amp;$I$6&amp;""</f>
        <v>Septiembre 2025</v>
      </c>
      <c r="AP20" s="329"/>
      <c r="AQ20" s="329"/>
      <c r="AS20" s="329" t="str">
        <f>+"Octubre "&amp;$I$6&amp;""</f>
        <v>Octubre 2025</v>
      </c>
      <c r="AT20" s="329"/>
      <c r="AU20" s="329"/>
      <c r="AW20" s="329" t="str">
        <f>+"Noviembre "&amp;$I$6&amp;""</f>
        <v>Noviembre 2025</v>
      </c>
      <c r="AX20" s="329"/>
      <c r="AY20" s="329"/>
      <c r="BA20" s="329" t="str">
        <f>+"Diciembre "&amp;$I$6&amp;""</f>
        <v>Diciembre 2025</v>
      </c>
      <c r="BB20" s="329"/>
      <c r="BC20" s="329"/>
      <c r="BE20" s="329" t="str">
        <f>+"Acumulado "&amp;$I$6&amp;""</f>
        <v>Acumulado 2025</v>
      </c>
      <c r="BF20" s="329"/>
      <c r="BG20" s="329"/>
    </row>
    <row r="21" spans="1:59" s="20" customFormat="1" ht="21" hidden="1" customHeight="1" x14ac:dyDescent="0.3">
      <c r="B21" s="323"/>
      <c r="C21" s="323"/>
      <c r="D21" s="326"/>
      <c r="E21" s="323"/>
      <c r="F21" s="323"/>
      <c r="G21" s="321"/>
      <c r="H21" s="36"/>
      <c r="I21" s="221" t="s">
        <v>60</v>
      </c>
      <c r="J21" s="319" t="s">
        <v>61</v>
      </c>
      <c r="K21" s="221" t="s">
        <v>62</v>
      </c>
      <c r="M21" s="221" t="s">
        <v>60</v>
      </c>
      <c r="N21" s="319" t="s">
        <v>61</v>
      </c>
      <c r="O21" s="221" t="s">
        <v>62</v>
      </c>
      <c r="Q21" s="221" t="s">
        <v>60</v>
      </c>
      <c r="R21" s="319" t="s">
        <v>61</v>
      </c>
      <c r="S21" s="221" t="s">
        <v>62</v>
      </c>
      <c r="U21" s="221" t="s">
        <v>60</v>
      </c>
      <c r="V21" s="319" t="s">
        <v>61</v>
      </c>
      <c r="W21" s="221" t="s">
        <v>62</v>
      </c>
      <c r="Y21" s="221" t="s">
        <v>60</v>
      </c>
      <c r="Z21" s="319" t="s">
        <v>61</v>
      </c>
      <c r="AA21" s="221" t="s">
        <v>62</v>
      </c>
      <c r="AC21" s="221" t="s">
        <v>60</v>
      </c>
      <c r="AD21" s="319" t="s">
        <v>61</v>
      </c>
      <c r="AE21" s="221" t="s">
        <v>62</v>
      </c>
      <c r="AG21" s="221" t="s">
        <v>60</v>
      </c>
      <c r="AH21" s="319" t="s">
        <v>61</v>
      </c>
      <c r="AI21" s="221" t="s">
        <v>62</v>
      </c>
      <c r="AK21" s="221" t="s">
        <v>60</v>
      </c>
      <c r="AL21" s="319" t="s">
        <v>61</v>
      </c>
      <c r="AM21" s="221" t="s">
        <v>62</v>
      </c>
      <c r="AO21" s="221" t="s">
        <v>60</v>
      </c>
      <c r="AP21" s="319" t="s">
        <v>61</v>
      </c>
      <c r="AQ21" s="221" t="s">
        <v>62</v>
      </c>
      <c r="AS21" s="221" t="s">
        <v>60</v>
      </c>
      <c r="AT21" s="319" t="s">
        <v>61</v>
      </c>
      <c r="AU21" s="221" t="s">
        <v>62</v>
      </c>
      <c r="AW21" s="221" t="s">
        <v>60</v>
      </c>
      <c r="AX21" s="319" t="s">
        <v>61</v>
      </c>
      <c r="AY21" s="221" t="s">
        <v>62</v>
      </c>
      <c r="BA21" s="221" t="s">
        <v>60</v>
      </c>
      <c r="BB21" s="319" t="s">
        <v>61</v>
      </c>
      <c r="BC21" s="221" t="s">
        <v>62</v>
      </c>
      <c r="BE21" s="221" t="s">
        <v>60</v>
      </c>
      <c r="BF21" s="319" t="s">
        <v>61</v>
      </c>
      <c r="BG21" s="221" t="s">
        <v>62</v>
      </c>
    </row>
    <row r="22" spans="1:59" s="20" customFormat="1" ht="21" hidden="1" customHeight="1" x14ac:dyDescent="0.25">
      <c r="B22" s="324"/>
      <c r="C22" s="324"/>
      <c r="D22" s="327"/>
      <c r="E22" s="324"/>
      <c r="F22" s="324"/>
      <c r="G22" s="320"/>
      <c r="H22" s="36"/>
      <c r="I22" s="220" t="s">
        <v>977</v>
      </c>
      <c r="J22" s="320"/>
      <c r="K22" s="220" t="s">
        <v>978</v>
      </c>
      <c r="M22" s="220" t="s">
        <v>977</v>
      </c>
      <c r="N22" s="320"/>
      <c r="O22" s="220" t="s">
        <v>978</v>
      </c>
      <c r="Q22" s="220" t="s">
        <v>977</v>
      </c>
      <c r="R22" s="320"/>
      <c r="S22" s="220" t="s">
        <v>978</v>
      </c>
      <c r="U22" s="220" t="s">
        <v>977</v>
      </c>
      <c r="V22" s="320"/>
      <c r="W22" s="220" t="s">
        <v>978</v>
      </c>
      <c r="Y22" s="220" t="s">
        <v>977</v>
      </c>
      <c r="Z22" s="320"/>
      <c r="AA22" s="220" t="s">
        <v>978</v>
      </c>
      <c r="AC22" s="220" t="s">
        <v>977</v>
      </c>
      <c r="AD22" s="320"/>
      <c r="AE22" s="220" t="s">
        <v>978</v>
      </c>
      <c r="AG22" s="220" t="s">
        <v>977</v>
      </c>
      <c r="AH22" s="320"/>
      <c r="AI22" s="220" t="s">
        <v>978</v>
      </c>
      <c r="AK22" s="220" t="s">
        <v>977</v>
      </c>
      <c r="AL22" s="320"/>
      <c r="AM22" s="220" t="s">
        <v>978</v>
      </c>
      <c r="AO22" s="220" t="s">
        <v>977</v>
      </c>
      <c r="AP22" s="320"/>
      <c r="AQ22" s="220" t="s">
        <v>978</v>
      </c>
      <c r="AS22" s="220" t="s">
        <v>977</v>
      </c>
      <c r="AT22" s="320"/>
      <c r="AU22" s="220" t="s">
        <v>978</v>
      </c>
      <c r="AW22" s="220" t="s">
        <v>977</v>
      </c>
      <c r="AX22" s="320"/>
      <c r="AY22" s="220" t="s">
        <v>978</v>
      </c>
      <c r="BA22" s="220" t="s">
        <v>977</v>
      </c>
      <c r="BB22" s="320"/>
      <c r="BC22" s="220" t="s">
        <v>978</v>
      </c>
      <c r="BE22" s="220" t="s">
        <v>977</v>
      </c>
      <c r="BF22" s="320"/>
      <c r="BG22" s="220" t="s">
        <v>978</v>
      </c>
    </row>
    <row r="23" spans="1:59" ht="21" hidden="1" customHeight="1" x14ac:dyDescent="0.3">
      <c r="A23" s="11"/>
      <c r="B23" s="181"/>
      <c r="C23" s="69"/>
      <c r="D23" s="34"/>
      <c r="E23" s="34"/>
      <c r="F23" s="34"/>
      <c r="G23" s="57" t="str">
        <f>IFERROR(+VLOOKUP(F23,Datos!$P:$Q,2,0),"")</f>
        <v/>
      </c>
      <c r="H23" s="35"/>
      <c r="I23" s="34"/>
      <c r="J23" s="59">
        <f>IFERROR(+K23/I23,0)</f>
        <v>0</v>
      </c>
      <c r="K23" s="34"/>
      <c r="M23" s="34"/>
      <c r="N23" s="59">
        <f>IFERROR(+O23/M23,0)</f>
        <v>0</v>
      </c>
      <c r="O23" s="34"/>
      <c r="Q23" s="34"/>
      <c r="R23" s="59">
        <f>IFERROR(+S23/Q23,0)</f>
        <v>0</v>
      </c>
      <c r="S23" s="34"/>
      <c r="U23" s="34"/>
      <c r="V23" s="59">
        <f>IFERROR(+W23/U23,0)</f>
        <v>0</v>
      </c>
      <c r="W23" s="34"/>
      <c r="Y23" s="34"/>
      <c r="Z23" s="59">
        <f>IFERROR(+AA23/Y23,0)</f>
        <v>0</v>
      </c>
      <c r="AA23" s="34"/>
      <c r="AC23" s="34"/>
      <c r="AD23" s="59">
        <f>IFERROR(+AE23/AC23,0)</f>
        <v>0</v>
      </c>
      <c r="AE23" s="34"/>
      <c r="AG23" s="34"/>
      <c r="AH23" s="59">
        <f>IFERROR(+AI23/AG23,0)</f>
        <v>0</v>
      </c>
      <c r="AI23" s="34"/>
      <c r="AK23" s="34"/>
      <c r="AL23" s="59">
        <f>IFERROR(+AM23/AK23,0)</f>
        <v>0</v>
      </c>
      <c r="AM23" s="34"/>
      <c r="AO23" s="34"/>
      <c r="AP23" s="59">
        <f>IFERROR(+AQ23/AO23,0)</f>
        <v>0</v>
      </c>
      <c r="AQ23" s="34"/>
      <c r="AS23" s="34"/>
      <c r="AT23" s="59">
        <f>IFERROR(+AU23/AS23,0)</f>
        <v>0</v>
      </c>
      <c r="AU23" s="34"/>
      <c r="AW23" s="34"/>
      <c r="AX23" s="59">
        <f>IFERROR(+AY23/AW23,0)</f>
        <v>0</v>
      </c>
      <c r="AY23" s="34"/>
      <c r="BA23" s="34"/>
      <c r="BB23" s="59">
        <f>IFERROR(+BC23/BA23,0)</f>
        <v>0</v>
      </c>
      <c r="BC23" s="34"/>
      <c r="BE23" s="61">
        <f>+I23+M23+Q23++U23+Y23+AC23+AG23+AK23+AO23+AS23+AW23+BA23</f>
        <v>0</v>
      </c>
      <c r="BF23" s="60">
        <f>IFERROR(+BG23/BE23,0)</f>
        <v>0</v>
      </c>
      <c r="BG23" s="61">
        <f>+K23+O23+S23+W23+AA23+AE23+AI23+AM23+AQ23+AU23+AY23+BC23</f>
        <v>0</v>
      </c>
    </row>
    <row r="24" spans="1:59" ht="21" hidden="1" customHeight="1" x14ac:dyDescent="0.3">
      <c r="A24" s="11"/>
      <c r="B24" s="181"/>
      <c r="C24" s="69"/>
      <c r="D24" s="34"/>
      <c r="E24" s="34"/>
      <c r="F24" s="34"/>
      <c r="G24" s="57" t="str">
        <f>IFERROR(+VLOOKUP(F24,Datos!$P:$Q,2,0),"")</f>
        <v/>
      </c>
      <c r="H24" s="35"/>
      <c r="I24" s="34"/>
      <c r="J24" s="59">
        <f t="shared" ref="J24:J30" si="0">IFERROR(+K24/I24,0)</f>
        <v>0</v>
      </c>
      <c r="K24" s="34"/>
      <c r="M24" s="34"/>
      <c r="N24" s="59">
        <f t="shared" ref="N24:N28" si="1">IFERROR(+O24/M24,0)</f>
        <v>0</v>
      </c>
      <c r="O24" s="34"/>
      <c r="Q24" s="34"/>
      <c r="R24" s="59">
        <f t="shared" ref="R24:R28" si="2">IFERROR(+S24/Q24,0)</f>
        <v>0</v>
      </c>
      <c r="S24" s="34"/>
      <c r="U24" s="34"/>
      <c r="V24" s="59">
        <f t="shared" ref="V24:V28" si="3">IFERROR(+W24/U24,0)</f>
        <v>0</v>
      </c>
      <c r="W24" s="34"/>
      <c r="Y24" s="34"/>
      <c r="Z24" s="59">
        <f t="shared" ref="Z24:Z28" si="4">IFERROR(+AA24/Y24,0)</f>
        <v>0</v>
      </c>
      <c r="AA24" s="34"/>
      <c r="AC24" s="34"/>
      <c r="AD24" s="59">
        <f t="shared" ref="AD24:AD28" si="5">IFERROR(+AE24/AC24,0)</f>
        <v>0</v>
      </c>
      <c r="AE24" s="34"/>
      <c r="AG24" s="34"/>
      <c r="AH24" s="59">
        <f t="shared" ref="AH24:AH28" si="6">IFERROR(+AI24/AG24,0)</f>
        <v>0</v>
      </c>
      <c r="AI24" s="34"/>
      <c r="AK24" s="34"/>
      <c r="AL24" s="59">
        <f t="shared" ref="AL24:AL28" si="7">IFERROR(+AM24/AK24,0)</f>
        <v>0</v>
      </c>
      <c r="AM24" s="34"/>
      <c r="AO24" s="34"/>
      <c r="AP24" s="59">
        <f t="shared" ref="AP24:AP28" si="8">IFERROR(+AQ24/AO24,0)</f>
        <v>0</v>
      </c>
      <c r="AQ24" s="34"/>
      <c r="AS24" s="34"/>
      <c r="AT24" s="59">
        <f t="shared" ref="AT24:AT28" si="9">IFERROR(+AU24/AS24,0)</f>
        <v>0</v>
      </c>
      <c r="AU24" s="34"/>
      <c r="AW24" s="34"/>
      <c r="AX24" s="59">
        <f t="shared" ref="AX24:AX28" si="10">IFERROR(+AY24/AW24,0)</f>
        <v>0</v>
      </c>
      <c r="AY24" s="34"/>
      <c r="BA24" s="34"/>
      <c r="BB24" s="59">
        <f t="shared" ref="BB24:BB28" si="11">IFERROR(+BC24/BA24,0)</f>
        <v>0</v>
      </c>
      <c r="BC24" s="34"/>
      <c r="BE24" s="61">
        <f t="shared" ref="BE24:BE28" si="12">+I24+M24+Q24++U24+Y24+AC24+AG24+AK24+AO24+AS24+AW24+BA24</f>
        <v>0</v>
      </c>
      <c r="BF24" s="60">
        <f t="shared" ref="BF24:BF30" si="13">IFERROR(+BG24/BE24,0)</f>
        <v>0</v>
      </c>
      <c r="BG24" s="61">
        <f t="shared" ref="BG24:BG28" si="14">+K24+O24+S24+W24+AA24+AE24+AI24+AM24+AQ24+AU24+AY24+BC24</f>
        <v>0</v>
      </c>
    </row>
    <row r="25" spans="1:59" ht="21" hidden="1" customHeight="1" x14ac:dyDescent="0.3">
      <c r="A25" s="11"/>
      <c r="B25" s="181"/>
      <c r="C25" s="69"/>
      <c r="D25" s="34"/>
      <c r="E25" s="34"/>
      <c r="F25" s="34"/>
      <c r="G25" s="57" t="str">
        <f>IFERROR(+VLOOKUP(F25,Datos!$P:$Q,2,0),"")</f>
        <v/>
      </c>
      <c r="H25" s="35"/>
      <c r="I25" s="34"/>
      <c r="J25" s="59">
        <f t="shared" si="0"/>
        <v>0</v>
      </c>
      <c r="K25" s="34"/>
      <c r="M25" s="34"/>
      <c r="N25" s="59">
        <f t="shared" si="1"/>
        <v>0</v>
      </c>
      <c r="O25" s="34"/>
      <c r="Q25" s="34"/>
      <c r="R25" s="59">
        <f t="shared" si="2"/>
        <v>0</v>
      </c>
      <c r="S25" s="34"/>
      <c r="U25" s="34"/>
      <c r="V25" s="59">
        <f t="shared" si="3"/>
        <v>0</v>
      </c>
      <c r="W25" s="34"/>
      <c r="Y25" s="34"/>
      <c r="Z25" s="59">
        <f t="shared" si="4"/>
        <v>0</v>
      </c>
      <c r="AA25" s="34"/>
      <c r="AC25" s="34"/>
      <c r="AD25" s="59">
        <f t="shared" si="5"/>
        <v>0</v>
      </c>
      <c r="AE25" s="34"/>
      <c r="AG25" s="34"/>
      <c r="AH25" s="59">
        <f t="shared" si="6"/>
        <v>0</v>
      </c>
      <c r="AI25" s="34"/>
      <c r="AK25" s="34"/>
      <c r="AL25" s="59">
        <f t="shared" si="7"/>
        <v>0</v>
      </c>
      <c r="AM25" s="34"/>
      <c r="AO25" s="34"/>
      <c r="AP25" s="59">
        <f t="shared" si="8"/>
        <v>0</v>
      </c>
      <c r="AQ25" s="34"/>
      <c r="AS25" s="34"/>
      <c r="AT25" s="59">
        <f t="shared" si="9"/>
        <v>0</v>
      </c>
      <c r="AU25" s="34"/>
      <c r="AW25" s="34"/>
      <c r="AX25" s="59">
        <f t="shared" si="10"/>
        <v>0</v>
      </c>
      <c r="AY25" s="34"/>
      <c r="BA25" s="34"/>
      <c r="BB25" s="59">
        <f t="shared" si="11"/>
        <v>0</v>
      </c>
      <c r="BC25" s="34"/>
      <c r="BE25" s="61">
        <f t="shared" si="12"/>
        <v>0</v>
      </c>
      <c r="BF25" s="60">
        <f t="shared" si="13"/>
        <v>0</v>
      </c>
      <c r="BG25" s="61">
        <f t="shared" si="14"/>
        <v>0</v>
      </c>
    </row>
    <row r="26" spans="1:59" ht="21" hidden="1" customHeight="1" x14ac:dyDescent="0.3">
      <c r="A26" s="11"/>
      <c r="B26" s="181"/>
      <c r="C26" s="69"/>
      <c r="D26" s="34"/>
      <c r="E26" s="34"/>
      <c r="F26" s="34"/>
      <c r="G26" s="57" t="str">
        <f>IFERROR(+VLOOKUP(F26,Datos!$P:$Q,2,0),"")</f>
        <v/>
      </c>
      <c r="H26" s="35"/>
      <c r="I26" s="34"/>
      <c r="J26" s="59">
        <f t="shared" si="0"/>
        <v>0</v>
      </c>
      <c r="K26" s="34"/>
      <c r="M26" s="34"/>
      <c r="N26" s="59">
        <f t="shared" si="1"/>
        <v>0</v>
      </c>
      <c r="O26" s="34"/>
      <c r="Q26" s="34"/>
      <c r="R26" s="59">
        <f t="shared" si="2"/>
        <v>0</v>
      </c>
      <c r="S26" s="34"/>
      <c r="U26" s="34"/>
      <c r="V26" s="59">
        <f t="shared" si="3"/>
        <v>0</v>
      </c>
      <c r="W26" s="34"/>
      <c r="Y26" s="34"/>
      <c r="Z26" s="59">
        <f t="shared" si="4"/>
        <v>0</v>
      </c>
      <c r="AA26" s="34"/>
      <c r="AC26" s="34"/>
      <c r="AD26" s="59">
        <f t="shared" si="5"/>
        <v>0</v>
      </c>
      <c r="AE26" s="34"/>
      <c r="AG26" s="34"/>
      <c r="AH26" s="59">
        <f t="shared" si="6"/>
        <v>0</v>
      </c>
      <c r="AI26" s="34"/>
      <c r="AK26" s="34"/>
      <c r="AL26" s="59">
        <f t="shared" si="7"/>
        <v>0</v>
      </c>
      <c r="AM26" s="34"/>
      <c r="AO26" s="34"/>
      <c r="AP26" s="59">
        <f t="shared" si="8"/>
        <v>0</v>
      </c>
      <c r="AQ26" s="34"/>
      <c r="AS26" s="34"/>
      <c r="AT26" s="59">
        <f t="shared" si="9"/>
        <v>0</v>
      </c>
      <c r="AU26" s="34"/>
      <c r="AW26" s="34"/>
      <c r="AX26" s="59">
        <f t="shared" si="10"/>
        <v>0</v>
      </c>
      <c r="AY26" s="34"/>
      <c r="BA26" s="34"/>
      <c r="BB26" s="59">
        <f t="shared" si="11"/>
        <v>0</v>
      </c>
      <c r="BC26" s="34"/>
      <c r="BE26" s="61">
        <f t="shared" si="12"/>
        <v>0</v>
      </c>
      <c r="BF26" s="60">
        <f t="shared" si="13"/>
        <v>0</v>
      </c>
      <c r="BG26" s="61">
        <f t="shared" si="14"/>
        <v>0</v>
      </c>
    </row>
    <row r="27" spans="1:59" ht="21" hidden="1" customHeight="1" x14ac:dyDescent="0.3">
      <c r="A27" s="11"/>
      <c r="B27" s="181"/>
      <c r="C27" s="69"/>
      <c r="D27" s="34"/>
      <c r="E27" s="34"/>
      <c r="F27" s="34"/>
      <c r="G27" s="57" t="str">
        <f>IFERROR(+VLOOKUP(F27,Datos!$P:$Q,2,0),"")</f>
        <v/>
      </c>
      <c r="H27" s="35"/>
      <c r="I27" s="34"/>
      <c r="J27" s="59">
        <f t="shared" si="0"/>
        <v>0</v>
      </c>
      <c r="K27" s="34"/>
      <c r="M27" s="34"/>
      <c r="N27" s="59">
        <f t="shared" si="1"/>
        <v>0</v>
      </c>
      <c r="O27" s="34"/>
      <c r="Q27" s="34"/>
      <c r="R27" s="59">
        <f t="shared" si="2"/>
        <v>0</v>
      </c>
      <c r="S27" s="34"/>
      <c r="U27" s="34"/>
      <c r="V27" s="59">
        <f t="shared" si="3"/>
        <v>0</v>
      </c>
      <c r="W27" s="34"/>
      <c r="Y27" s="34"/>
      <c r="Z27" s="59">
        <f t="shared" si="4"/>
        <v>0</v>
      </c>
      <c r="AA27" s="34"/>
      <c r="AC27" s="34"/>
      <c r="AD27" s="59">
        <f t="shared" si="5"/>
        <v>0</v>
      </c>
      <c r="AE27" s="34"/>
      <c r="AG27" s="34"/>
      <c r="AH27" s="59">
        <f t="shared" si="6"/>
        <v>0</v>
      </c>
      <c r="AI27" s="34"/>
      <c r="AK27" s="34"/>
      <c r="AL27" s="59">
        <f t="shared" si="7"/>
        <v>0</v>
      </c>
      <c r="AM27" s="34"/>
      <c r="AO27" s="34"/>
      <c r="AP27" s="59">
        <f t="shared" si="8"/>
        <v>0</v>
      </c>
      <c r="AQ27" s="34"/>
      <c r="AS27" s="34"/>
      <c r="AT27" s="59">
        <f t="shared" si="9"/>
        <v>0</v>
      </c>
      <c r="AU27" s="34"/>
      <c r="AW27" s="34"/>
      <c r="AX27" s="59">
        <f t="shared" si="10"/>
        <v>0</v>
      </c>
      <c r="AY27" s="34"/>
      <c r="BA27" s="34"/>
      <c r="BB27" s="59">
        <f t="shared" si="11"/>
        <v>0</v>
      </c>
      <c r="BC27" s="34"/>
      <c r="BE27" s="61">
        <f t="shared" si="12"/>
        <v>0</v>
      </c>
      <c r="BF27" s="60">
        <f t="shared" si="13"/>
        <v>0</v>
      </c>
      <c r="BG27" s="61">
        <f t="shared" si="14"/>
        <v>0</v>
      </c>
    </row>
    <row r="28" spans="1:59" ht="21" hidden="1" customHeight="1" x14ac:dyDescent="0.3">
      <c r="A28" s="11"/>
      <c r="B28" s="181"/>
      <c r="C28" s="69"/>
      <c r="D28" s="34"/>
      <c r="E28" s="34"/>
      <c r="F28" s="34"/>
      <c r="G28" s="57" t="str">
        <f>IFERROR(+VLOOKUP(F28,Datos!$P:$Q,2,0),"")</f>
        <v/>
      </c>
      <c r="H28" s="35"/>
      <c r="I28" s="34"/>
      <c r="J28" s="59">
        <f t="shared" si="0"/>
        <v>0</v>
      </c>
      <c r="K28" s="34"/>
      <c r="M28" s="34"/>
      <c r="N28" s="59">
        <f t="shared" si="1"/>
        <v>0</v>
      </c>
      <c r="O28" s="34"/>
      <c r="Q28" s="34"/>
      <c r="R28" s="59">
        <f t="shared" si="2"/>
        <v>0</v>
      </c>
      <c r="S28" s="34"/>
      <c r="U28" s="34"/>
      <c r="V28" s="59">
        <f t="shared" si="3"/>
        <v>0</v>
      </c>
      <c r="W28" s="34"/>
      <c r="Y28" s="34"/>
      <c r="Z28" s="59">
        <f t="shared" si="4"/>
        <v>0</v>
      </c>
      <c r="AA28" s="34"/>
      <c r="AC28" s="34"/>
      <c r="AD28" s="59">
        <f t="shared" si="5"/>
        <v>0</v>
      </c>
      <c r="AE28" s="34"/>
      <c r="AG28" s="34"/>
      <c r="AH28" s="59">
        <f t="shared" si="6"/>
        <v>0</v>
      </c>
      <c r="AI28" s="34"/>
      <c r="AK28" s="34"/>
      <c r="AL28" s="59">
        <f t="shared" si="7"/>
        <v>0</v>
      </c>
      <c r="AM28" s="34"/>
      <c r="AO28" s="34"/>
      <c r="AP28" s="59">
        <f t="shared" si="8"/>
        <v>0</v>
      </c>
      <c r="AQ28" s="34"/>
      <c r="AS28" s="34"/>
      <c r="AT28" s="59">
        <f t="shared" si="9"/>
        <v>0</v>
      </c>
      <c r="AU28" s="34"/>
      <c r="AW28" s="34"/>
      <c r="AX28" s="59">
        <f t="shared" si="10"/>
        <v>0</v>
      </c>
      <c r="AY28" s="34"/>
      <c r="BA28" s="34"/>
      <c r="BB28" s="59">
        <f t="shared" si="11"/>
        <v>0</v>
      </c>
      <c r="BC28" s="34"/>
      <c r="BE28" s="61">
        <f t="shared" si="12"/>
        <v>0</v>
      </c>
      <c r="BF28" s="60">
        <f t="shared" si="13"/>
        <v>0</v>
      </c>
      <c r="BG28" s="61">
        <f t="shared" si="14"/>
        <v>0</v>
      </c>
    </row>
    <row r="29" spans="1:59" ht="21" hidden="1" customHeight="1" x14ac:dyDescent="0.3">
      <c r="A29" s="11"/>
      <c r="B29" s="181"/>
      <c r="C29" s="69"/>
      <c r="D29" s="34"/>
      <c r="E29" s="34"/>
      <c r="F29" s="34"/>
      <c r="G29" s="57" t="str">
        <f>IFERROR(+VLOOKUP(F29,Datos!$P:$Q,2,0),"")</f>
        <v/>
      </c>
      <c r="H29" s="35"/>
      <c r="I29" s="34"/>
      <c r="J29" s="59">
        <f>IFERROR(+K29/I29,0)</f>
        <v>0</v>
      </c>
      <c r="K29" s="34"/>
      <c r="M29" s="34"/>
      <c r="N29" s="59">
        <f>IFERROR(+O29/M29,0)</f>
        <v>0</v>
      </c>
      <c r="O29" s="34"/>
      <c r="Q29" s="34"/>
      <c r="R29" s="59">
        <f>IFERROR(+S29/Q29,0)</f>
        <v>0</v>
      </c>
      <c r="S29" s="34"/>
      <c r="U29" s="34"/>
      <c r="V29" s="59">
        <f>IFERROR(+W29/U29,0)</f>
        <v>0</v>
      </c>
      <c r="W29" s="34"/>
      <c r="Y29" s="34"/>
      <c r="Z29" s="59">
        <f>IFERROR(+AA29/Y29,0)</f>
        <v>0</v>
      </c>
      <c r="AA29" s="34"/>
      <c r="AC29" s="34"/>
      <c r="AD29" s="59">
        <f>IFERROR(+AE29/AC29,0)</f>
        <v>0</v>
      </c>
      <c r="AE29" s="34"/>
      <c r="AG29" s="34"/>
      <c r="AH29" s="59">
        <f>IFERROR(+AI29/AG29,0)</f>
        <v>0</v>
      </c>
      <c r="AI29" s="34"/>
      <c r="AK29" s="34"/>
      <c r="AL29" s="59">
        <f>IFERROR(+AM29/AK29,0)</f>
        <v>0</v>
      </c>
      <c r="AM29" s="34"/>
      <c r="AO29" s="34"/>
      <c r="AP29" s="59">
        <f>IFERROR(+AQ29/AO29,0)</f>
        <v>0</v>
      </c>
      <c r="AQ29" s="34"/>
      <c r="AS29" s="34"/>
      <c r="AT29" s="59">
        <f>IFERROR(+AU29/AS29,0)</f>
        <v>0</v>
      </c>
      <c r="AU29" s="34"/>
      <c r="AW29" s="34"/>
      <c r="AX29" s="59">
        <f>IFERROR(+AY29/AW29,0)</f>
        <v>0</v>
      </c>
      <c r="AY29" s="34"/>
      <c r="BA29" s="34"/>
      <c r="BB29" s="59">
        <f>IFERROR(+BC29/BA29,0)</f>
        <v>0</v>
      </c>
      <c r="BC29" s="34"/>
      <c r="BE29" s="61">
        <f>+I29+M29+Q29++U29+Y29+AC29+AG29+AK29+AO29+AS29+AW29+BA29</f>
        <v>0</v>
      </c>
      <c r="BF29" s="60">
        <f>IFERROR(+BG29/BE29,0)</f>
        <v>0</v>
      </c>
      <c r="BG29" s="61">
        <f>+K29+O29+S29+W29+AA29+AE29+AI29+AM29+AQ29+AU29+AY29+BC29</f>
        <v>0</v>
      </c>
    </row>
    <row r="30" spans="1:59" ht="21" hidden="1" customHeight="1" x14ac:dyDescent="0.3">
      <c r="A30" s="11"/>
      <c r="B30" s="330" t="s">
        <v>227</v>
      </c>
      <c r="C30" s="331"/>
      <c r="D30" s="331"/>
      <c r="E30" s="331"/>
      <c r="F30" s="331"/>
      <c r="G30" s="332"/>
      <c r="H30" s="35"/>
      <c r="I30" s="61">
        <f>SUM(I23:I29)</f>
        <v>0</v>
      </c>
      <c r="J30" s="60">
        <f t="shared" si="0"/>
        <v>0</v>
      </c>
      <c r="K30" s="61">
        <f>SUM(K23:K29)</f>
        <v>0</v>
      </c>
      <c r="M30" s="61">
        <f>SUM(M23:M29)</f>
        <v>0</v>
      </c>
      <c r="N30" s="60">
        <f t="shared" ref="N30" si="15">IFERROR(+O30/M30,0)</f>
        <v>0</v>
      </c>
      <c r="O30" s="61">
        <f>SUM(O23:O29)</f>
        <v>0</v>
      </c>
      <c r="Q30" s="61">
        <f>SUM(Q23:Q29)</f>
        <v>0</v>
      </c>
      <c r="R30" s="60">
        <f t="shared" ref="R30" si="16">IFERROR(+S30/Q30,0)</f>
        <v>0</v>
      </c>
      <c r="S30" s="61">
        <f>SUM(S23:S29)</f>
        <v>0</v>
      </c>
      <c r="U30" s="61">
        <f>SUM(U23:U29)</f>
        <v>0</v>
      </c>
      <c r="V30" s="60">
        <f t="shared" ref="V30" si="17">IFERROR(+W30/U30,0)</f>
        <v>0</v>
      </c>
      <c r="W30" s="61">
        <f>SUM(W23:W29)</f>
        <v>0</v>
      </c>
      <c r="Y30" s="61">
        <f>SUM(Y23:Y29)</f>
        <v>0</v>
      </c>
      <c r="Z30" s="60">
        <f t="shared" ref="Z30" si="18">IFERROR(+AA30/Y30,0)</f>
        <v>0</v>
      </c>
      <c r="AA30" s="61">
        <f>SUM(AA23:AA29)</f>
        <v>0</v>
      </c>
      <c r="AC30" s="61">
        <f>SUM(AC23:AC29)</f>
        <v>0</v>
      </c>
      <c r="AD30" s="60">
        <f t="shared" ref="AD30" si="19">IFERROR(+AE30/AC30,0)</f>
        <v>0</v>
      </c>
      <c r="AE30" s="61">
        <f>SUM(AE23:AE29)</f>
        <v>0</v>
      </c>
      <c r="AG30" s="61">
        <f>SUM(AG23:AG29)</f>
        <v>0</v>
      </c>
      <c r="AH30" s="60">
        <f t="shared" ref="AH30" si="20">IFERROR(+AI30/AG30,0)</f>
        <v>0</v>
      </c>
      <c r="AI30" s="61">
        <f>SUM(AI23:AI29)</f>
        <v>0</v>
      </c>
      <c r="AK30" s="61">
        <f>SUM(AK23:AK29)</f>
        <v>0</v>
      </c>
      <c r="AL30" s="60">
        <f t="shared" ref="AL30" si="21">IFERROR(+AM30/AK30,0)</f>
        <v>0</v>
      </c>
      <c r="AM30" s="61">
        <f>SUM(AM23:AM29)</f>
        <v>0</v>
      </c>
      <c r="AO30" s="61">
        <f>SUM(AO23:AO29)</f>
        <v>0</v>
      </c>
      <c r="AP30" s="60">
        <f t="shared" ref="AP30" si="22">IFERROR(+AQ30/AO30,0)</f>
        <v>0</v>
      </c>
      <c r="AQ30" s="61">
        <f>SUM(AQ23:AQ29)</f>
        <v>0</v>
      </c>
      <c r="AS30" s="61">
        <f>SUM(AS23:AS29)</f>
        <v>0</v>
      </c>
      <c r="AT30" s="60">
        <f t="shared" ref="AT30" si="23">IFERROR(+AU30/AS30,0)</f>
        <v>0</v>
      </c>
      <c r="AU30" s="61">
        <f>SUM(AU23:AU29)</f>
        <v>0</v>
      </c>
      <c r="AW30" s="61">
        <f>SUM(AW23:AW29)</f>
        <v>0</v>
      </c>
      <c r="AX30" s="60">
        <f t="shared" ref="AX30" si="24">IFERROR(+AY30/AW30,0)</f>
        <v>0</v>
      </c>
      <c r="AY30" s="61">
        <f>SUM(AY23:AY29)</f>
        <v>0</v>
      </c>
      <c r="BA30" s="61">
        <f>SUM(BA23:BA29)</f>
        <v>0</v>
      </c>
      <c r="BB30" s="60">
        <f t="shared" ref="BB30" si="25">IFERROR(+BC30/BA30,0)</f>
        <v>0</v>
      </c>
      <c r="BC30" s="61">
        <f>SUM(BC23:BC29)</f>
        <v>0</v>
      </c>
      <c r="BE30" s="61">
        <f>SUM(BE23:BE29)</f>
        <v>0</v>
      </c>
      <c r="BF30" s="60">
        <f t="shared" si="13"/>
        <v>0</v>
      </c>
      <c r="BG30" s="61">
        <f>SUM(BG23:BG29)</f>
        <v>0</v>
      </c>
    </row>
    <row r="31" spans="1:59" hidden="1" x14ac:dyDescent="0.3">
      <c r="A31" s="11"/>
      <c r="B31" s="11"/>
      <c r="C31" s="11"/>
    </row>
    <row r="32" spans="1:59" ht="36" hidden="1" customHeight="1" x14ac:dyDescent="0.3">
      <c r="B32" s="338" t="s">
        <v>231</v>
      </c>
      <c r="C32" s="338"/>
      <c r="D32" s="338"/>
      <c r="E32" s="338"/>
      <c r="F32" s="338"/>
      <c r="G32" s="338"/>
      <c r="H32" s="338"/>
      <c r="I32" s="338"/>
      <c r="J32" s="338"/>
    </row>
    <row r="33" spans="1:59" hidden="1" x14ac:dyDescent="0.3">
      <c r="A33" s="11"/>
      <c r="B33" s="11"/>
      <c r="C33" s="11"/>
    </row>
    <row r="34" spans="1:59" ht="21" hidden="1" customHeight="1" x14ac:dyDescent="0.3">
      <c r="A34" s="11"/>
      <c r="B34" s="329" t="s">
        <v>894</v>
      </c>
      <c r="C34" s="329" t="s">
        <v>895</v>
      </c>
      <c r="D34" s="325" t="s">
        <v>235</v>
      </c>
      <c r="E34" s="322" t="s">
        <v>232</v>
      </c>
      <c r="F34" s="322" t="s">
        <v>233</v>
      </c>
      <c r="G34" s="319" t="s">
        <v>234</v>
      </c>
      <c r="H34" s="36"/>
      <c r="I34" s="328" t="str">
        <f>+"Enero "&amp;$I$6&amp;""</f>
        <v>Enero 2025</v>
      </c>
      <c r="J34" s="328"/>
      <c r="K34" s="328"/>
      <c r="M34" s="328" t="str">
        <f>+"Febrero "&amp;$I$6&amp;""</f>
        <v>Febrero 2025</v>
      </c>
      <c r="N34" s="328"/>
      <c r="O34" s="328"/>
      <c r="Q34" s="328" t="str">
        <f>+"Marzo "&amp;$I$6&amp;""</f>
        <v>Marzo 2025</v>
      </c>
      <c r="R34" s="328"/>
      <c r="S34" s="328"/>
      <c r="U34" s="328" t="str">
        <f>+"Abril "&amp;$I$6&amp;""</f>
        <v>Abril 2025</v>
      </c>
      <c r="V34" s="328"/>
      <c r="W34" s="328"/>
      <c r="Y34" s="328" t="str">
        <f>+"Mayo "&amp;$I$6&amp;""</f>
        <v>Mayo 2025</v>
      </c>
      <c r="Z34" s="328"/>
      <c r="AA34" s="328"/>
      <c r="AC34" s="328" t="str">
        <f>+"Junio "&amp;$I$6&amp;""</f>
        <v>Junio 2025</v>
      </c>
      <c r="AD34" s="328"/>
      <c r="AE34" s="328"/>
      <c r="AG34" s="328" t="str">
        <f>+"Julio "&amp;$I$6&amp;""</f>
        <v>Julio 2025</v>
      </c>
      <c r="AH34" s="328"/>
      <c r="AI34" s="328"/>
      <c r="AK34" s="328" t="str">
        <f>+"Agosto "&amp;$I$6&amp;""</f>
        <v>Agosto 2025</v>
      </c>
      <c r="AL34" s="328"/>
      <c r="AM34" s="328"/>
      <c r="AO34" s="328" t="str">
        <f>+"Septiembre "&amp;$I$6&amp;""</f>
        <v>Septiembre 2025</v>
      </c>
      <c r="AP34" s="328"/>
      <c r="AQ34" s="328"/>
      <c r="AS34" s="328" t="str">
        <f>+"Octubre "&amp;$I$6&amp;""</f>
        <v>Octubre 2025</v>
      </c>
      <c r="AT34" s="328"/>
      <c r="AU34" s="328"/>
      <c r="AW34" s="328" t="str">
        <f>+"Noviembre "&amp;$I$6&amp;""</f>
        <v>Noviembre 2025</v>
      </c>
      <c r="AX34" s="328"/>
      <c r="AY34" s="328"/>
      <c r="BA34" s="328" t="str">
        <f>+"Diciembre "&amp;$I$6&amp;""</f>
        <v>Diciembre 2025</v>
      </c>
      <c r="BB34" s="328"/>
      <c r="BC34" s="328"/>
      <c r="BE34" s="328" t="str">
        <f>+"Acumulado "&amp;$I$6&amp;""</f>
        <v>Acumulado 2025</v>
      </c>
      <c r="BF34" s="328"/>
      <c r="BG34" s="328"/>
    </row>
    <row r="35" spans="1:59" ht="21" hidden="1" customHeight="1" x14ac:dyDescent="0.3">
      <c r="A35" s="11"/>
      <c r="B35" s="329"/>
      <c r="C35" s="329"/>
      <c r="D35" s="326"/>
      <c r="E35" s="323"/>
      <c r="F35" s="323"/>
      <c r="G35" s="321"/>
      <c r="H35" s="36"/>
      <c r="I35" s="221" t="s">
        <v>60</v>
      </c>
      <c r="J35" s="319" t="s">
        <v>61</v>
      </c>
      <c r="K35" s="221" t="s">
        <v>62</v>
      </c>
      <c r="L35" s="20"/>
      <c r="M35" s="221" t="s">
        <v>60</v>
      </c>
      <c r="N35" s="319" t="s">
        <v>61</v>
      </c>
      <c r="O35" s="221" t="s">
        <v>62</v>
      </c>
      <c r="P35" s="20"/>
      <c r="Q35" s="221" t="s">
        <v>60</v>
      </c>
      <c r="R35" s="319" t="s">
        <v>61</v>
      </c>
      <c r="S35" s="221" t="s">
        <v>62</v>
      </c>
      <c r="T35" s="20"/>
      <c r="U35" s="221" t="s">
        <v>60</v>
      </c>
      <c r="V35" s="319" t="s">
        <v>61</v>
      </c>
      <c r="W35" s="221" t="s">
        <v>62</v>
      </c>
      <c r="X35" s="20"/>
      <c r="Y35" s="221" t="s">
        <v>60</v>
      </c>
      <c r="Z35" s="319" t="s">
        <v>61</v>
      </c>
      <c r="AA35" s="221" t="s">
        <v>62</v>
      </c>
      <c r="AB35" s="20"/>
      <c r="AC35" s="221" t="s">
        <v>60</v>
      </c>
      <c r="AD35" s="319" t="s">
        <v>61</v>
      </c>
      <c r="AE35" s="221" t="s">
        <v>62</v>
      </c>
      <c r="AF35" s="20"/>
      <c r="AG35" s="221" t="s">
        <v>60</v>
      </c>
      <c r="AH35" s="319" t="s">
        <v>61</v>
      </c>
      <c r="AI35" s="221" t="s">
        <v>62</v>
      </c>
      <c r="AJ35" s="20"/>
      <c r="AK35" s="221" t="s">
        <v>60</v>
      </c>
      <c r="AL35" s="319" t="s">
        <v>61</v>
      </c>
      <c r="AM35" s="221" t="s">
        <v>62</v>
      </c>
      <c r="AN35" s="20"/>
      <c r="AO35" s="221" t="s">
        <v>60</v>
      </c>
      <c r="AP35" s="319" t="s">
        <v>61</v>
      </c>
      <c r="AQ35" s="221" t="s">
        <v>62</v>
      </c>
      <c r="AR35" s="20"/>
      <c r="AS35" s="221" t="s">
        <v>60</v>
      </c>
      <c r="AT35" s="319" t="s">
        <v>61</v>
      </c>
      <c r="AU35" s="221" t="s">
        <v>62</v>
      </c>
      <c r="AV35" s="20"/>
      <c r="AW35" s="221" t="s">
        <v>60</v>
      </c>
      <c r="AX35" s="319" t="s">
        <v>61</v>
      </c>
      <c r="AY35" s="221" t="s">
        <v>62</v>
      </c>
      <c r="AZ35" s="20"/>
      <c r="BA35" s="221" t="s">
        <v>60</v>
      </c>
      <c r="BB35" s="319" t="s">
        <v>61</v>
      </c>
      <c r="BC35" s="221" t="s">
        <v>62</v>
      </c>
      <c r="BD35" s="20"/>
      <c r="BE35" s="221" t="s">
        <v>60</v>
      </c>
      <c r="BF35" s="319" t="s">
        <v>61</v>
      </c>
      <c r="BG35" s="221" t="s">
        <v>62</v>
      </c>
    </row>
    <row r="36" spans="1:59" ht="21" hidden="1" customHeight="1" x14ac:dyDescent="0.3">
      <c r="A36" s="11"/>
      <c r="B36" s="329"/>
      <c r="C36" s="329"/>
      <c r="D36" s="327"/>
      <c r="E36" s="324"/>
      <c r="F36" s="324"/>
      <c r="G36" s="320"/>
      <c r="H36" s="36"/>
      <c r="I36" s="220" t="s">
        <v>979</v>
      </c>
      <c r="J36" s="320"/>
      <c r="K36" s="220" t="s">
        <v>980</v>
      </c>
      <c r="L36" s="20"/>
      <c r="M36" s="220" t="s">
        <v>979</v>
      </c>
      <c r="N36" s="320"/>
      <c r="O36" s="220" t="s">
        <v>980</v>
      </c>
      <c r="P36" s="20"/>
      <c r="Q36" s="220" t="s">
        <v>979</v>
      </c>
      <c r="R36" s="320"/>
      <c r="S36" s="220" t="s">
        <v>980</v>
      </c>
      <c r="T36" s="20"/>
      <c r="U36" s="220" t="s">
        <v>979</v>
      </c>
      <c r="V36" s="320"/>
      <c r="W36" s="220" t="s">
        <v>980</v>
      </c>
      <c r="X36" s="20"/>
      <c r="Y36" s="220" t="s">
        <v>979</v>
      </c>
      <c r="Z36" s="320"/>
      <c r="AA36" s="220" t="s">
        <v>980</v>
      </c>
      <c r="AB36" s="20"/>
      <c r="AC36" s="220" t="s">
        <v>979</v>
      </c>
      <c r="AD36" s="320"/>
      <c r="AE36" s="220" t="s">
        <v>980</v>
      </c>
      <c r="AF36" s="20"/>
      <c r="AG36" s="220" t="s">
        <v>979</v>
      </c>
      <c r="AH36" s="320"/>
      <c r="AI36" s="220" t="s">
        <v>980</v>
      </c>
      <c r="AJ36" s="20"/>
      <c r="AK36" s="220" t="s">
        <v>979</v>
      </c>
      <c r="AL36" s="320"/>
      <c r="AM36" s="220" t="s">
        <v>980</v>
      </c>
      <c r="AN36" s="20"/>
      <c r="AO36" s="220" t="s">
        <v>979</v>
      </c>
      <c r="AP36" s="320"/>
      <c r="AQ36" s="220" t="s">
        <v>980</v>
      </c>
      <c r="AR36" s="20"/>
      <c r="AS36" s="220" t="s">
        <v>979</v>
      </c>
      <c r="AT36" s="320"/>
      <c r="AU36" s="220" t="s">
        <v>980</v>
      </c>
      <c r="AV36" s="20"/>
      <c r="AW36" s="220" t="s">
        <v>979</v>
      </c>
      <c r="AX36" s="320"/>
      <c r="AY36" s="220" t="s">
        <v>980</v>
      </c>
      <c r="AZ36" s="20"/>
      <c r="BA36" s="220" t="s">
        <v>979</v>
      </c>
      <c r="BB36" s="320"/>
      <c r="BC36" s="220" t="s">
        <v>980</v>
      </c>
      <c r="BD36" s="20"/>
      <c r="BE36" s="220" t="s">
        <v>979</v>
      </c>
      <c r="BF36" s="320"/>
      <c r="BG36" s="220" t="s">
        <v>980</v>
      </c>
    </row>
    <row r="37" spans="1:59" ht="21" hidden="1" customHeight="1" x14ac:dyDescent="0.3">
      <c r="A37" s="11"/>
      <c r="B37" s="181"/>
      <c r="C37" s="69"/>
      <c r="D37" s="34"/>
      <c r="E37" s="34"/>
      <c r="F37" s="34"/>
      <c r="G37" s="57"/>
      <c r="H37" s="35"/>
      <c r="I37" s="34"/>
      <c r="J37" s="59">
        <f>IFERROR(+K37/I37,0)</f>
        <v>0</v>
      </c>
      <c r="K37" s="34"/>
      <c r="M37" s="34"/>
      <c r="N37" s="59">
        <f>IFERROR(+O37/M37,0)</f>
        <v>0</v>
      </c>
      <c r="O37" s="34"/>
      <c r="Q37" s="34"/>
      <c r="R37" s="59">
        <f>IFERROR(+S37/Q37,0)</f>
        <v>0</v>
      </c>
      <c r="S37" s="34"/>
      <c r="U37" s="34"/>
      <c r="V37" s="59">
        <f>IFERROR(+W37/U37,0)</f>
        <v>0</v>
      </c>
      <c r="W37" s="34"/>
      <c r="Y37" s="34"/>
      <c r="Z37" s="59">
        <f>IFERROR(+AA37/Y37,0)</f>
        <v>0</v>
      </c>
      <c r="AA37" s="34"/>
      <c r="AC37" s="34"/>
      <c r="AD37" s="59">
        <f>IFERROR(+AE37/AC37,0)</f>
        <v>0</v>
      </c>
      <c r="AE37" s="34"/>
      <c r="AG37" s="34"/>
      <c r="AH37" s="59">
        <f>IFERROR(+AI37/AG37,0)</f>
        <v>0</v>
      </c>
      <c r="AI37" s="34"/>
      <c r="AK37" s="34"/>
      <c r="AL37" s="59">
        <f>IFERROR(+AM37/AK37,0)</f>
        <v>0</v>
      </c>
      <c r="AM37" s="34"/>
      <c r="AO37" s="34"/>
      <c r="AP37" s="59">
        <f>IFERROR(+AQ37/AO37,0)</f>
        <v>0</v>
      </c>
      <c r="AQ37" s="34"/>
      <c r="AS37" s="34"/>
      <c r="AT37" s="59">
        <f>IFERROR(+AU37/AS37,0)</f>
        <v>0</v>
      </c>
      <c r="AU37" s="34"/>
      <c r="AW37" s="34"/>
      <c r="AX37" s="59">
        <f>IFERROR(+AY37/AW37,0)</f>
        <v>0</v>
      </c>
      <c r="AY37" s="34"/>
      <c r="BA37" s="34"/>
      <c r="BB37" s="59">
        <f>IFERROR(+BC37/BA37,0)</f>
        <v>0</v>
      </c>
      <c r="BC37" s="34"/>
      <c r="BE37" s="61">
        <f>+I37+M37+Q37++U37+Y37+AC37+AG37+AK37+AO37+AS37+AW37+BA37</f>
        <v>0</v>
      </c>
      <c r="BF37" s="60">
        <f>IFERROR(+BG37/BE37,0)</f>
        <v>0</v>
      </c>
      <c r="BG37" s="61">
        <f>+K37+O37+S37+W37+AA37+AE37+AI37+AM37+AQ37+AU37+AY37+BC37</f>
        <v>0</v>
      </c>
    </row>
    <row r="38" spans="1:59" ht="21" hidden="1" customHeight="1" x14ac:dyDescent="0.3">
      <c r="A38" s="11"/>
      <c r="B38" s="181"/>
      <c r="C38" s="69"/>
      <c r="D38" s="34"/>
      <c r="E38" s="34"/>
      <c r="F38" s="34"/>
      <c r="G38" s="57"/>
      <c r="H38" s="35"/>
      <c r="I38" s="34"/>
      <c r="J38" s="59">
        <f t="shared" ref="J38:J43" si="26">IFERROR(+K38/I38,0)</f>
        <v>0</v>
      </c>
      <c r="K38" s="34"/>
      <c r="M38" s="34"/>
      <c r="N38" s="59">
        <f t="shared" ref="N38:N43" si="27">IFERROR(+O38/M38,0)</f>
        <v>0</v>
      </c>
      <c r="O38" s="34"/>
      <c r="Q38" s="34"/>
      <c r="R38" s="59">
        <f t="shared" ref="R38:R43" si="28">IFERROR(+S38/Q38,0)</f>
        <v>0</v>
      </c>
      <c r="S38" s="34"/>
      <c r="U38" s="34"/>
      <c r="V38" s="59">
        <f t="shared" ref="V38:V43" si="29">IFERROR(+W38/U38,0)</f>
        <v>0</v>
      </c>
      <c r="W38" s="34"/>
      <c r="Y38" s="34"/>
      <c r="Z38" s="59">
        <f t="shared" ref="Z38:Z43" si="30">IFERROR(+AA38/Y38,0)</f>
        <v>0</v>
      </c>
      <c r="AA38" s="34"/>
      <c r="AC38" s="34"/>
      <c r="AD38" s="59">
        <f t="shared" ref="AD38:AD43" si="31">IFERROR(+AE38/AC38,0)</f>
        <v>0</v>
      </c>
      <c r="AE38" s="34"/>
      <c r="AG38" s="34"/>
      <c r="AH38" s="59">
        <f t="shared" ref="AH38:AH43" si="32">IFERROR(+AI38/AG38,0)</f>
        <v>0</v>
      </c>
      <c r="AI38" s="34"/>
      <c r="AK38" s="34"/>
      <c r="AL38" s="59">
        <f t="shared" ref="AL38:AL43" si="33">IFERROR(+AM38/AK38,0)</f>
        <v>0</v>
      </c>
      <c r="AM38" s="34"/>
      <c r="AO38" s="34"/>
      <c r="AP38" s="59">
        <f t="shared" ref="AP38:AP43" si="34">IFERROR(+AQ38/AO38,0)</f>
        <v>0</v>
      </c>
      <c r="AQ38" s="34"/>
      <c r="AS38" s="34"/>
      <c r="AT38" s="59">
        <f t="shared" ref="AT38:AT43" si="35">IFERROR(+AU38/AS38,0)</f>
        <v>0</v>
      </c>
      <c r="AU38" s="34"/>
      <c r="AW38" s="34"/>
      <c r="AX38" s="59">
        <f t="shared" ref="AX38:AX43" si="36">IFERROR(+AY38/AW38,0)</f>
        <v>0</v>
      </c>
      <c r="AY38" s="34"/>
      <c r="BA38" s="34"/>
      <c r="BB38" s="59">
        <f t="shared" ref="BB38:BB43" si="37">IFERROR(+BC38/BA38,0)</f>
        <v>0</v>
      </c>
      <c r="BC38" s="34"/>
      <c r="BE38" s="61">
        <f t="shared" ref="BE38:BE43" si="38">+I38+M38+Q38++U38+Y38+AC38+AG38+AK38+AO38+AS38+AW38+BA38</f>
        <v>0</v>
      </c>
      <c r="BF38" s="60">
        <f t="shared" ref="BF38:BF43" si="39">IFERROR(+BG38/BE38,0)</f>
        <v>0</v>
      </c>
      <c r="BG38" s="61">
        <f t="shared" ref="BG38:BG43" si="40">+K38+O38+S38+W38+AA38+AE38+AI38+AM38+AQ38+AU38+AY38+BC38</f>
        <v>0</v>
      </c>
    </row>
    <row r="39" spans="1:59" ht="21" hidden="1" customHeight="1" x14ac:dyDescent="0.3">
      <c r="A39" s="11"/>
      <c r="B39" s="181"/>
      <c r="C39" s="69"/>
      <c r="D39" s="34"/>
      <c r="E39" s="34"/>
      <c r="F39" s="34"/>
      <c r="G39" s="57"/>
      <c r="H39" s="35"/>
      <c r="I39" s="34"/>
      <c r="J39" s="59">
        <f t="shared" si="26"/>
        <v>0</v>
      </c>
      <c r="K39" s="34"/>
      <c r="M39" s="34"/>
      <c r="N39" s="59">
        <f t="shared" si="27"/>
        <v>0</v>
      </c>
      <c r="O39" s="34"/>
      <c r="Q39" s="34"/>
      <c r="R39" s="59">
        <f t="shared" si="28"/>
        <v>0</v>
      </c>
      <c r="S39" s="34"/>
      <c r="U39" s="34"/>
      <c r="V39" s="59">
        <f t="shared" si="29"/>
        <v>0</v>
      </c>
      <c r="W39" s="34"/>
      <c r="Y39" s="34"/>
      <c r="Z39" s="59">
        <f t="shared" si="30"/>
        <v>0</v>
      </c>
      <c r="AA39" s="34"/>
      <c r="AC39" s="34"/>
      <c r="AD39" s="59">
        <f t="shared" si="31"/>
        <v>0</v>
      </c>
      <c r="AE39" s="34"/>
      <c r="AG39" s="34"/>
      <c r="AH39" s="59">
        <f t="shared" si="32"/>
        <v>0</v>
      </c>
      <c r="AI39" s="34"/>
      <c r="AK39" s="34"/>
      <c r="AL39" s="59">
        <f t="shared" si="33"/>
        <v>0</v>
      </c>
      <c r="AM39" s="34"/>
      <c r="AO39" s="34"/>
      <c r="AP39" s="59">
        <f t="shared" si="34"/>
        <v>0</v>
      </c>
      <c r="AQ39" s="34"/>
      <c r="AS39" s="34"/>
      <c r="AT39" s="59">
        <f t="shared" si="35"/>
        <v>0</v>
      </c>
      <c r="AU39" s="34"/>
      <c r="AW39" s="34"/>
      <c r="AX39" s="59">
        <f t="shared" si="36"/>
        <v>0</v>
      </c>
      <c r="AY39" s="34"/>
      <c r="BA39" s="34"/>
      <c r="BB39" s="59">
        <f t="shared" si="37"/>
        <v>0</v>
      </c>
      <c r="BC39" s="34"/>
      <c r="BE39" s="61">
        <f t="shared" si="38"/>
        <v>0</v>
      </c>
      <c r="BF39" s="60">
        <f t="shared" si="39"/>
        <v>0</v>
      </c>
      <c r="BG39" s="61">
        <f t="shared" si="40"/>
        <v>0</v>
      </c>
    </row>
    <row r="40" spans="1:59" ht="21" hidden="1" customHeight="1" x14ac:dyDescent="0.3">
      <c r="A40" s="11"/>
      <c r="B40" s="181"/>
      <c r="C40" s="69"/>
      <c r="D40" s="34"/>
      <c r="E40" s="34"/>
      <c r="F40" s="34"/>
      <c r="G40" s="57"/>
      <c r="H40" s="35"/>
      <c r="I40" s="34"/>
      <c r="J40" s="59">
        <f t="shared" si="26"/>
        <v>0</v>
      </c>
      <c r="K40" s="34"/>
      <c r="M40" s="34"/>
      <c r="N40" s="59">
        <f t="shared" si="27"/>
        <v>0</v>
      </c>
      <c r="O40" s="34"/>
      <c r="Q40" s="34"/>
      <c r="R40" s="59">
        <f t="shared" si="28"/>
        <v>0</v>
      </c>
      <c r="S40" s="34"/>
      <c r="U40" s="34"/>
      <c r="V40" s="59">
        <f t="shared" si="29"/>
        <v>0</v>
      </c>
      <c r="W40" s="34"/>
      <c r="Y40" s="34"/>
      <c r="Z40" s="59">
        <f t="shared" si="30"/>
        <v>0</v>
      </c>
      <c r="AA40" s="34"/>
      <c r="AC40" s="34"/>
      <c r="AD40" s="59">
        <f t="shared" si="31"/>
        <v>0</v>
      </c>
      <c r="AE40" s="34"/>
      <c r="AG40" s="34"/>
      <c r="AH40" s="59">
        <f t="shared" si="32"/>
        <v>0</v>
      </c>
      <c r="AI40" s="34"/>
      <c r="AK40" s="34"/>
      <c r="AL40" s="59">
        <f t="shared" si="33"/>
        <v>0</v>
      </c>
      <c r="AM40" s="34"/>
      <c r="AO40" s="34"/>
      <c r="AP40" s="59">
        <f t="shared" si="34"/>
        <v>0</v>
      </c>
      <c r="AQ40" s="34"/>
      <c r="AS40" s="34"/>
      <c r="AT40" s="59">
        <f t="shared" si="35"/>
        <v>0</v>
      </c>
      <c r="AU40" s="34"/>
      <c r="AW40" s="34"/>
      <c r="AX40" s="59">
        <f t="shared" si="36"/>
        <v>0</v>
      </c>
      <c r="AY40" s="34"/>
      <c r="BA40" s="34"/>
      <c r="BB40" s="59">
        <f t="shared" si="37"/>
        <v>0</v>
      </c>
      <c r="BC40" s="34"/>
      <c r="BE40" s="61">
        <f t="shared" si="38"/>
        <v>0</v>
      </c>
      <c r="BF40" s="60">
        <f t="shared" si="39"/>
        <v>0</v>
      </c>
      <c r="BG40" s="61">
        <f t="shared" si="40"/>
        <v>0</v>
      </c>
    </row>
    <row r="41" spans="1:59" ht="21" hidden="1" customHeight="1" x14ac:dyDescent="0.3">
      <c r="A41" s="11"/>
      <c r="B41" s="181"/>
      <c r="C41" s="69"/>
      <c r="D41" s="34"/>
      <c r="E41" s="34"/>
      <c r="F41" s="34"/>
      <c r="G41" s="57"/>
      <c r="H41" s="35"/>
      <c r="I41" s="34"/>
      <c r="J41" s="59">
        <f t="shared" si="26"/>
        <v>0</v>
      </c>
      <c r="K41" s="34"/>
      <c r="M41" s="34"/>
      <c r="N41" s="59">
        <f t="shared" si="27"/>
        <v>0</v>
      </c>
      <c r="O41" s="34"/>
      <c r="Q41" s="34"/>
      <c r="R41" s="59">
        <f t="shared" si="28"/>
        <v>0</v>
      </c>
      <c r="S41" s="34"/>
      <c r="U41" s="34"/>
      <c r="V41" s="59">
        <f t="shared" si="29"/>
        <v>0</v>
      </c>
      <c r="W41" s="34"/>
      <c r="Y41" s="34"/>
      <c r="Z41" s="59">
        <f t="shared" si="30"/>
        <v>0</v>
      </c>
      <c r="AA41" s="34"/>
      <c r="AC41" s="34"/>
      <c r="AD41" s="59">
        <f t="shared" si="31"/>
        <v>0</v>
      </c>
      <c r="AE41" s="34"/>
      <c r="AG41" s="34"/>
      <c r="AH41" s="59">
        <f t="shared" si="32"/>
        <v>0</v>
      </c>
      <c r="AI41" s="34"/>
      <c r="AK41" s="34"/>
      <c r="AL41" s="59">
        <f t="shared" si="33"/>
        <v>0</v>
      </c>
      <c r="AM41" s="34"/>
      <c r="AO41" s="34"/>
      <c r="AP41" s="59">
        <f t="shared" si="34"/>
        <v>0</v>
      </c>
      <c r="AQ41" s="34"/>
      <c r="AS41" s="34"/>
      <c r="AT41" s="59">
        <f t="shared" si="35"/>
        <v>0</v>
      </c>
      <c r="AU41" s="34"/>
      <c r="AW41" s="34"/>
      <c r="AX41" s="59">
        <f t="shared" si="36"/>
        <v>0</v>
      </c>
      <c r="AY41" s="34"/>
      <c r="BA41" s="34"/>
      <c r="BB41" s="59">
        <f t="shared" si="37"/>
        <v>0</v>
      </c>
      <c r="BC41" s="34"/>
      <c r="BE41" s="61">
        <f t="shared" si="38"/>
        <v>0</v>
      </c>
      <c r="BF41" s="60">
        <f t="shared" si="39"/>
        <v>0</v>
      </c>
      <c r="BG41" s="61">
        <f t="shared" si="40"/>
        <v>0</v>
      </c>
    </row>
    <row r="42" spans="1:59" ht="21" hidden="1" customHeight="1" x14ac:dyDescent="0.3">
      <c r="A42" s="11"/>
      <c r="B42" s="181"/>
      <c r="C42" s="69"/>
      <c r="D42" s="34"/>
      <c r="E42" s="34"/>
      <c r="F42" s="34"/>
      <c r="G42" s="57"/>
      <c r="H42" s="35"/>
      <c r="I42" s="34"/>
      <c r="J42" s="59">
        <f>IFERROR(+K42/I42,0)</f>
        <v>0</v>
      </c>
      <c r="K42" s="34"/>
      <c r="M42" s="34"/>
      <c r="N42" s="59">
        <f>IFERROR(+O42/M42,0)</f>
        <v>0</v>
      </c>
      <c r="O42" s="34"/>
      <c r="Q42" s="34"/>
      <c r="R42" s="59">
        <f>IFERROR(+S42/Q42,0)</f>
        <v>0</v>
      </c>
      <c r="S42" s="34"/>
      <c r="U42" s="34"/>
      <c r="V42" s="59">
        <f>IFERROR(+W42/U42,0)</f>
        <v>0</v>
      </c>
      <c r="W42" s="34"/>
      <c r="Y42" s="34"/>
      <c r="Z42" s="59">
        <f>IFERROR(+AA42/Y42,0)</f>
        <v>0</v>
      </c>
      <c r="AA42" s="34"/>
      <c r="AC42" s="34"/>
      <c r="AD42" s="59">
        <f>IFERROR(+AE42/AC42,0)</f>
        <v>0</v>
      </c>
      <c r="AE42" s="34"/>
      <c r="AG42" s="34"/>
      <c r="AH42" s="59">
        <f>IFERROR(+AI42/AG42,0)</f>
        <v>0</v>
      </c>
      <c r="AI42" s="34"/>
      <c r="AK42" s="34"/>
      <c r="AL42" s="59">
        <f>IFERROR(+AM42/AK42,0)</f>
        <v>0</v>
      </c>
      <c r="AM42" s="34"/>
      <c r="AO42" s="34"/>
      <c r="AP42" s="59">
        <f>IFERROR(+AQ42/AO42,0)</f>
        <v>0</v>
      </c>
      <c r="AQ42" s="34"/>
      <c r="AS42" s="34"/>
      <c r="AT42" s="59">
        <f>IFERROR(+AU42/AS42,0)</f>
        <v>0</v>
      </c>
      <c r="AU42" s="34"/>
      <c r="AW42" s="34"/>
      <c r="AX42" s="59">
        <f>IFERROR(+AY42/AW42,0)</f>
        <v>0</v>
      </c>
      <c r="AY42" s="34"/>
      <c r="BA42" s="34"/>
      <c r="BB42" s="59">
        <f>IFERROR(+BC42/BA42,0)</f>
        <v>0</v>
      </c>
      <c r="BC42" s="34"/>
      <c r="BE42" s="61">
        <f>+I42+M42+Q42++U42+Y42+AC42+AG42+AK42+AO42+AS42+AW42+BA42</f>
        <v>0</v>
      </c>
      <c r="BF42" s="60">
        <f>IFERROR(+BG42/BE42,0)</f>
        <v>0</v>
      </c>
      <c r="BG42" s="61">
        <f>+K42+O42+S42+W42+AA42+AE42+AI42+AM42+AQ42+AU42+AY42+BC42</f>
        <v>0</v>
      </c>
    </row>
    <row r="43" spans="1:59" ht="21" hidden="1" customHeight="1" x14ac:dyDescent="0.3">
      <c r="A43" s="11"/>
      <c r="B43" s="181"/>
      <c r="C43" s="69"/>
      <c r="D43" s="34"/>
      <c r="E43" s="34"/>
      <c r="F43" s="34"/>
      <c r="G43" s="57"/>
      <c r="H43" s="35"/>
      <c r="I43" s="34"/>
      <c r="J43" s="59">
        <f t="shared" si="26"/>
        <v>0</v>
      </c>
      <c r="K43" s="34"/>
      <c r="M43" s="34"/>
      <c r="N43" s="59">
        <f t="shared" si="27"/>
        <v>0</v>
      </c>
      <c r="O43" s="34"/>
      <c r="Q43" s="34"/>
      <c r="R43" s="59">
        <f t="shared" si="28"/>
        <v>0</v>
      </c>
      <c r="S43" s="34"/>
      <c r="U43" s="34"/>
      <c r="V43" s="59">
        <f t="shared" si="29"/>
        <v>0</v>
      </c>
      <c r="W43" s="34"/>
      <c r="Y43" s="34"/>
      <c r="Z43" s="59">
        <f t="shared" si="30"/>
        <v>0</v>
      </c>
      <c r="AA43" s="34"/>
      <c r="AC43" s="34"/>
      <c r="AD43" s="59">
        <f t="shared" si="31"/>
        <v>0</v>
      </c>
      <c r="AE43" s="34"/>
      <c r="AG43" s="34"/>
      <c r="AH43" s="59">
        <f t="shared" si="32"/>
        <v>0</v>
      </c>
      <c r="AI43" s="34"/>
      <c r="AK43" s="34"/>
      <c r="AL43" s="59">
        <f t="shared" si="33"/>
        <v>0</v>
      </c>
      <c r="AM43" s="34"/>
      <c r="AO43" s="34"/>
      <c r="AP43" s="59">
        <f t="shared" si="34"/>
        <v>0</v>
      </c>
      <c r="AQ43" s="34"/>
      <c r="AS43" s="34"/>
      <c r="AT43" s="59">
        <f t="shared" si="35"/>
        <v>0</v>
      </c>
      <c r="AU43" s="34"/>
      <c r="AW43" s="34"/>
      <c r="AX43" s="59">
        <f t="shared" si="36"/>
        <v>0</v>
      </c>
      <c r="AY43" s="34"/>
      <c r="BA43" s="34"/>
      <c r="BB43" s="59">
        <f t="shared" si="37"/>
        <v>0</v>
      </c>
      <c r="BC43" s="34"/>
      <c r="BE43" s="61">
        <f t="shared" si="38"/>
        <v>0</v>
      </c>
      <c r="BF43" s="60">
        <f t="shared" si="39"/>
        <v>0</v>
      </c>
      <c r="BG43" s="61">
        <f t="shared" si="40"/>
        <v>0</v>
      </c>
    </row>
    <row r="44" spans="1:59" ht="21" hidden="1" customHeight="1" x14ac:dyDescent="0.3">
      <c r="A44" s="11"/>
      <c r="B44" s="328" t="s">
        <v>227</v>
      </c>
      <c r="C44" s="328"/>
      <c r="D44" s="328"/>
      <c r="E44" s="328"/>
      <c r="F44" s="328"/>
      <c r="G44" s="328"/>
      <c r="H44" s="35"/>
      <c r="I44" s="61">
        <f>SUM(I37:I43)</f>
        <v>0</v>
      </c>
      <c r="J44" s="60">
        <f t="shared" ref="J44" si="41">IFERROR(+K44/I44,0)</f>
        <v>0</v>
      </c>
      <c r="K44" s="61">
        <f>SUM(K37:K43)</f>
        <v>0</v>
      </c>
      <c r="M44" s="61">
        <f>SUM(M37:M43)</f>
        <v>0</v>
      </c>
      <c r="N44" s="60">
        <f t="shared" ref="N44" si="42">IFERROR(+O44/M44,0)</f>
        <v>0</v>
      </c>
      <c r="O44" s="61">
        <f>SUM(O37:O43)</f>
        <v>0</v>
      </c>
      <c r="Q44" s="61">
        <f>SUM(Q37:Q43)</f>
        <v>0</v>
      </c>
      <c r="R44" s="60">
        <f t="shared" ref="R44" si="43">IFERROR(+S44/Q44,0)</f>
        <v>0</v>
      </c>
      <c r="S44" s="61">
        <f>SUM(S37:S43)</f>
        <v>0</v>
      </c>
      <c r="U44" s="61">
        <f>SUM(U37:U43)</f>
        <v>0</v>
      </c>
      <c r="V44" s="60">
        <f t="shared" ref="V44" si="44">IFERROR(+W44/U44,0)</f>
        <v>0</v>
      </c>
      <c r="W44" s="61">
        <f>SUM(W37:W43)</f>
        <v>0</v>
      </c>
      <c r="Y44" s="61">
        <f>SUM(Y37:Y43)</f>
        <v>0</v>
      </c>
      <c r="Z44" s="60">
        <f t="shared" ref="Z44" si="45">IFERROR(+AA44/Y44,0)</f>
        <v>0</v>
      </c>
      <c r="AA44" s="61">
        <f>SUM(AA37:AA43)</f>
        <v>0</v>
      </c>
      <c r="AC44" s="61">
        <f>SUM(AC37:AC43)</f>
        <v>0</v>
      </c>
      <c r="AD44" s="60">
        <f t="shared" ref="AD44" si="46">IFERROR(+AE44/AC44,0)</f>
        <v>0</v>
      </c>
      <c r="AE44" s="61">
        <f>SUM(AE37:AE43)</f>
        <v>0</v>
      </c>
      <c r="AG44" s="61">
        <f>SUM(AG37:AG43)</f>
        <v>0</v>
      </c>
      <c r="AH44" s="60">
        <f t="shared" ref="AH44" si="47">IFERROR(+AI44/AG44,0)</f>
        <v>0</v>
      </c>
      <c r="AI44" s="61">
        <f>SUM(AI37:AI43)</f>
        <v>0</v>
      </c>
      <c r="AK44" s="61">
        <f>SUM(AK37:AK43)</f>
        <v>0</v>
      </c>
      <c r="AL44" s="60">
        <f t="shared" ref="AL44" si="48">IFERROR(+AM44/AK44,0)</f>
        <v>0</v>
      </c>
      <c r="AM44" s="61">
        <f>SUM(AM37:AM43)</f>
        <v>0</v>
      </c>
      <c r="AO44" s="61">
        <f>SUM(AO37:AO43)</f>
        <v>0</v>
      </c>
      <c r="AP44" s="60">
        <f t="shared" ref="AP44" si="49">IFERROR(+AQ44/AO44,0)</f>
        <v>0</v>
      </c>
      <c r="AQ44" s="61">
        <f>SUM(AQ37:AQ43)</f>
        <v>0</v>
      </c>
      <c r="AS44" s="61">
        <f>SUM(AS37:AS43)</f>
        <v>0</v>
      </c>
      <c r="AT44" s="60">
        <f t="shared" ref="AT44" si="50">IFERROR(+AU44/AS44,0)</f>
        <v>0</v>
      </c>
      <c r="AU44" s="61">
        <f>SUM(AU37:AU43)</f>
        <v>0</v>
      </c>
      <c r="AW44" s="61">
        <f>SUM(AW37:AW43)</f>
        <v>0</v>
      </c>
      <c r="AX44" s="60">
        <f t="shared" ref="AX44" si="51">IFERROR(+AY44/AW44,0)</f>
        <v>0</v>
      </c>
      <c r="AY44" s="61">
        <f>SUM(AY37:AY43)</f>
        <v>0</v>
      </c>
      <c r="BA44" s="61">
        <f>SUM(BA37:BA43)</f>
        <v>0</v>
      </c>
      <c r="BB44" s="60">
        <f t="shared" ref="BB44" si="52">IFERROR(+BC44/BA44,0)</f>
        <v>0</v>
      </c>
      <c r="BC44" s="61">
        <f>SUM(BC37:BC43)</f>
        <v>0</v>
      </c>
      <c r="BE44" s="61">
        <f>SUM(BE37:BE43)</f>
        <v>0</v>
      </c>
      <c r="BF44" s="60">
        <f t="shared" ref="BF44" si="53">IFERROR(+BG44/BE44,0)</f>
        <v>0</v>
      </c>
      <c r="BG44" s="61">
        <f>SUM(BG37:BG43)</f>
        <v>0</v>
      </c>
    </row>
    <row r="45" spans="1:59" hidden="1" x14ac:dyDescent="0.3">
      <c r="A45" s="11"/>
      <c r="B45" s="11"/>
      <c r="C45" s="11"/>
    </row>
    <row r="46" spans="1:59" ht="36" hidden="1" customHeight="1" x14ac:dyDescent="0.3">
      <c r="B46" s="338" t="s">
        <v>237</v>
      </c>
      <c r="C46" s="338"/>
      <c r="D46" s="338"/>
      <c r="E46" s="338"/>
      <c r="F46" s="338"/>
      <c r="G46" s="338"/>
      <c r="H46" s="338"/>
      <c r="I46" s="338"/>
      <c r="J46" s="338"/>
    </row>
    <row r="47" spans="1:59" hidden="1" x14ac:dyDescent="0.3"/>
    <row r="48" spans="1:59" ht="21" hidden="1" customHeight="1" x14ac:dyDescent="0.3">
      <c r="A48" s="11"/>
      <c r="B48" s="329" t="s">
        <v>894</v>
      </c>
      <c r="C48" s="329" t="s">
        <v>895</v>
      </c>
      <c r="D48" s="325" t="s">
        <v>235</v>
      </c>
      <c r="E48" s="322" t="s">
        <v>232</v>
      </c>
      <c r="F48" s="322" t="s">
        <v>233</v>
      </c>
      <c r="G48" s="319" t="s">
        <v>234</v>
      </c>
      <c r="H48" s="36"/>
      <c r="I48" s="328" t="str">
        <f>+"Enero "&amp;$I$6&amp;""</f>
        <v>Enero 2025</v>
      </c>
      <c r="J48" s="328"/>
      <c r="K48" s="328"/>
      <c r="M48" s="328" t="str">
        <f>+"Febrero "&amp;$I$6&amp;""</f>
        <v>Febrero 2025</v>
      </c>
      <c r="N48" s="328"/>
      <c r="O48" s="328"/>
      <c r="Q48" s="328" t="str">
        <f>+"Marzo "&amp;$I$6&amp;""</f>
        <v>Marzo 2025</v>
      </c>
      <c r="R48" s="328"/>
      <c r="S48" s="328"/>
      <c r="U48" s="328" t="str">
        <f>+"Abril "&amp;$I$6&amp;""</f>
        <v>Abril 2025</v>
      </c>
      <c r="V48" s="328"/>
      <c r="W48" s="328"/>
      <c r="Y48" s="328" t="str">
        <f>+"Mayo "&amp;$I$6&amp;""</f>
        <v>Mayo 2025</v>
      </c>
      <c r="Z48" s="328"/>
      <c r="AA48" s="328"/>
      <c r="AC48" s="328" t="str">
        <f>+"Junio "&amp;$I$6&amp;""</f>
        <v>Junio 2025</v>
      </c>
      <c r="AD48" s="328"/>
      <c r="AE48" s="328"/>
      <c r="AG48" s="328" t="str">
        <f>+"Julio "&amp;$I$6&amp;""</f>
        <v>Julio 2025</v>
      </c>
      <c r="AH48" s="328"/>
      <c r="AI48" s="328"/>
      <c r="AK48" s="328" t="str">
        <f>+"Agosto "&amp;$I$6&amp;""</f>
        <v>Agosto 2025</v>
      </c>
      <c r="AL48" s="328"/>
      <c r="AM48" s="328"/>
      <c r="AO48" s="328" t="str">
        <f>+"Septiembre "&amp;$I$6&amp;""</f>
        <v>Septiembre 2025</v>
      </c>
      <c r="AP48" s="328"/>
      <c r="AQ48" s="328"/>
      <c r="AS48" s="328" t="str">
        <f>+"Octubre "&amp;$I$6&amp;""</f>
        <v>Octubre 2025</v>
      </c>
      <c r="AT48" s="328"/>
      <c r="AU48" s="328"/>
      <c r="AW48" s="328" t="str">
        <f>+"Noviembre "&amp;$I$6&amp;""</f>
        <v>Noviembre 2025</v>
      </c>
      <c r="AX48" s="328"/>
      <c r="AY48" s="328"/>
      <c r="BA48" s="328" t="str">
        <f>+"Diciembre "&amp;$I$6&amp;""</f>
        <v>Diciembre 2025</v>
      </c>
      <c r="BB48" s="328"/>
      <c r="BC48" s="328"/>
      <c r="BE48" s="328" t="str">
        <f>+"Acumulado "&amp;$I$6&amp;""</f>
        <v>Acumulado 2025</v>
      </c>
      <c r="BF48" s="328"/>
      <c r="BG48" s="328"/>
    </row>
    <row r="49" spans="1:59" ht="21" hidden="1" customHeight="1" x14ac:dyDescent="0.3">
      <c r="A49" s="11"/>
      <c r="B49" s="329"/>
      <c r="C49" s="329"/>
      <c r="D49" s="326"/>
      <c r="E49" s="323"/>
      <c r="F49" s="323"/>
      <c r="G49" s="321"/>
      <c r="H49" s="36"/>
      <c r="I49" s="221" t="s">
        <v>60</v>
      </c>
      <c r="J49" s="319" t="s">
        <v>61</v>
      </c>
      <c r="K49" s="221" t="s">
        <v>62</v>
      </c>
      <c r="L49" s="20"/>
      <c r="M49" s="221" t="s">
        <v>60</v>
      </c>
      <c r="N49" s="319" t="s">
        <v>61</v>
      </c>
      <c r="O49" s="221" t="s">
        <v>62</v>
      </c>
      <c r="P49" s="20"/>
      <c r="Q49" s="221" t="s">
        <v>60</v>
      </c>
      <c r="R49" s="319" t="s">
        <v>61</v>
      </c>
      <c r="S49" s="221" t="s">
        <v>62</v>
      </c>
      <c r="T49" s="20"/>
      <c r="U49" s="221" t="s">
        <v>60</v>
      </c>
      <c r="V49" s="319" t="s">
        <v>61</v>
      </c>
      <c r="W49" s="221" t="s">
        <v>62</v>
      </c>
      <c r="X49" s="20"/>
      <c r="Y49" s="221" t="s">
        <v>60</v>
      </c>
      <c r="Z49" s="319" t="s">
        <v>61</v>
      </c>
      <c r="AA49" s="221" t="s">
        <v>62</v>
      </c>
      <c r="AB49" s="20"/>
      <c r="AC49" s="221" t="s">
        <v>60</v>
      </c>
      <c r="AD49" s="319" t="s">
        <v>61</v>
      </c>
      <c r="AE49" s="221" t="s">
        <v>62</v>
      </c>
      <c r="AF49" s="20"/>
      <c r="AG49" s="221" t="s">
        <v>60</v>
      </c>
      <c r="AH49" s="319" t="s">
        <v>61</v>
      </c>
      <c r="AI49" s="221" t="s">
        <v>62</v>
      </c>
      <c r="AJ49" s="20"/>
      <c r="AK49" s="221" t="s">
        <v>60</v>
      </c>
      <c r="AL49" s="319" t="s">
        <v>61</v>
      </c>
      <c r="AM49" s="221" t="s">
        <v>62</v>
      </c>
      <c r="AN49" s="20"/>
      <c r="AO49" s="221" t="s">
        <v>60</v>
      </c>
      <c r="AP49" s="319" t="s">
        <v>61</v>
      </c>
      <c r="AQ49" s="221" t="s">
        <v>62</v>
      </c>
      <c r="AR49" s="20"/>
      <c r="AS49" s="221" t="s">
        <v>60</v>
      </c>
      <c r="AT49" s="319" t="s">
        <v>61</v>
      </c>
      <c r="AU49" s="221" t="s">
        <v>62</v>
      </c>
      <c r="AV49" s="20"/>
      <c r="AW49" s="221" t="s">
        <v>60</v>
      </c>
      <c r="AX49" s="319" t="s">
        <v>61</v>
      </c>
      <c r="AY49" s="221" t="s">
        <v>62</v>
      </c>
      <c r="AZ49" s="20"/>
      <c r="BA49" s="221" t="s">
        <v>60</v>
      </c>
      <c r="BB49" s="319" t="s">
        <v>61</v>
      </c>
      <c r="BC49" s="221" t="s">
        <v>62</v>
      </c>
      <c r="BD49" s="20"/>
      <c r="BE49" s="221" t="s">
        <v>60</v>
      </c>
      <c r="BF49" s="319" t="s">
        <v>61</v>
      </c>
      <c r="BG49" s="221" t="s">
        <v>62</v>
      </c>
    </row>
    <row r="50" spans="1:59" ht="21" hidden="1" customHeight="1" x14ac:dyDescent="0.3">
      <c r="A50" s="11"/>
      <c r="B50" s="329"/>
      <c r="C50" s="329"/>
      <c r="D50" s="327"/>
      <c r="E50" s="324"/>
      <c r="F50" s="324"/>
      <c r="G50" s="320"/>
      <c r="H50" s="36"/>
      <c r="I50" s="220" t="s">
        <v>981</v>
      </c>
      <c r="J50" s="320"/>
      <c r="K50" s="220" t="s">
        <v>982</v>
      </c>
      <c r="L50" s="20"/>
      <c r="M50" s="220" t="s">
        <v>981</v>
      </c>
      <c r="N50" s="320"/>
      <c r="O50" s="220" t="s">
        <v>982</v>
      </c>
      <c r="P50" s="20"/>
      <c r="Q50" s="220" t="s">
        <v>981</v>
      </c>
      <c r="R50" s="320"/>
      <c r="S50" s="220" t="s">
        <v>982</v>
      </c>
      <c r="T50" s="20"/>
      <c r="U50" s="220" t="s">
        <v>981</v>
      </c>
      <c r="V50" s="320"/>
      <c r="W50" s="220" t="s">
        <v>982</v>
      </c>
      <c r="X50" s="20"/>
      <c r="Y50" s="220" t="s">
        <v>981</v>
      </c>
      <c r="Z50" s="320"/>
      <c r="AA50" s="220" t="s">
        <v>982</v>
      </c>
      <c r="AB50" s="20"/>
      <c r="AC50" s="220" t="s">
        <v>981</v>
      </c>
      <c r="AD50" s="320"/>
      <c r="AE50" s="220" t="s">
        <v>982</v>
      </c>
      <c r="AF50" s="20"/>
      <c r="AG50" s="220" t="s">
        <v>981</v>
      </c>
      <c r="AH50" s="320"/>
      <c r="AI50" s="220" t="s">
        <v>982</v>
      </c>
      <c r="AJ50" s="20"/>
      <c r="AK50" s="220" t="s">
        <v>981</v>
      </c>
      <c r="AL50" s="320"/>
      <c r="AM50" s="220" t="s">
        <v>982</v>
      </c>
      <c r="AN50" s="20"/>
      <c r="AO50" s="220" t="s">
        <v>981</v>
      </c>
      <c r="AP50" s="320"/>
      <c r="AQ50" s="220" t="s">
        <v>982</v>
      </c>
      <c r="AR50" s="20"/>
      <c r="AS50" s="220" t="s">
        <v>981</v>
      </c>
      <c r="AT50" s="320"/>
      <c r="AU50" s="220" t="s">
        <v>982</v>
      </c>
      <c r="AV50" s="20"/>
      <c r="AW50" s="220" t="s">
        <v>981</v>
      </c>
      <c r="AX50" s="320"/>
      <c r="AY50" s="220" t="s">
        <v>982</v>
      </c>
      <c r="AZ50" s="20"/>
      <c r="BA50" s="220" t="s">
        <v>981</v>
      </c>
      <c r="BB50" s="320"/>
      <c r="BC50" s="220" t="s">
        <v>982</v>
      </c>
      <c r="BD50" s="20"/>
      <c r="BE50" s="220" t="s">
        <v>981</v>
      </c>
      <c r="BF50" s="320"/>
      <c r="BG50" s="220" t="s">
        <v>982</v>
      </c>
    </row>
    <row r="51" spans="1:59" ht="21" hidden="1" customHeight="1" x14ac:dyDescent="0.3">
      <c r="A51" s="11"/>
      <c r="B51" s="181"/>
      <c r="C51" s="69"/>
      <c r="D51" s="34"/>
      <c r="E51" s="34"/>
      <c r="F51" s="34"/>
      <c r="G51" s="57"/>
      <c r="H51" s="35"/>
      <c r="I51" s="34"/>
      <c r="J51" s="59">
        <f>IFERROR(+K51/I51,0)</f>
        <v>0</v>
      </c>
      <c r="K51" s="34"/>
      <c r="M51" s="34"/>
      <c r="N51" s="59">
        <f>IFERROR(+O51/M51,0)</f>
        <v>0</v>
      </c>
      <c r="O51" s="34"/>
      <c r="Q51" s="34"/>
      <c r="R51" s="59">
        <f>IFERROR(+S51/Q51,0)</f>
        <v>0</v>
      </c>
      <c r="S51" s="34"/>
      <c r="U51" s="34"/>
      <c r="V51" s="59">
        <f>IFERROR(+W51/U51,0)</f>
        <v>0</v>
      </c>
      <c r="W51" s="34"/>
      <c r="Y51" s="34"/>
      <c r="Z51" s="59">
        <f>IFERROR(+AA51/Y51,0)</f>
        <v>0</v>
      </c>
      <c r="AA51" s="34"/>
      <c r="AC51" s="34"/>
      <c r="AD51" s="59">
        <f>IFERROR(+AE51/AC51,0)</f>
        <v>0</v>
      </c>
      <c r="AE51" s="34"/>
      <c r="AG51" s="34"/>
      <c r="AH51" s="59">
        <f>IFERROR(+AI51/AG51,0)</f>
        <v>0</v>
      </c>
      <c r="AI51" s="34"/>
      <c r="AK51" s="34"/>
      <c r="AL51" s="59">
        <f>IFERROR(+AM51/AK51,0)</f>
        <v>0</v>
      </c>
      <c r="AM51" s="34"/>
      <c r="AO51" s="34"/>
      <c r="AP51" s="59">
        <f>IFERROR(+AQ51/AO51,0)</f>
        <v>0</v>
      </c>
      <c r="AQ51" s="34"/>
      <c r="AS51" s="34"/>
      <c r="AT51" s="59">
        <f>IFERROR(+AU51/AS51,0)</f>
        <v>0</v>
      </c>
      <c r="AU51" s="34"/>
      <c r="AW51" s="34"/>
      <c r="AX51" s="59">
        <f>IFERROR(+AY51/AW51,0)</f>
        <v>0</v>
      </c>
      <c r="AY51" s="34"/>
      <c r="BA51" s="34"/>
      <c r="BB51" s="59">
        <f>IFERROR(+BC51/BA51,0)</f>
        <v>0</v>
      </c>
      <c r="BC51" s="34"/>
      <c r="BE51" s="61">
        <f>+I51+M51+Q51++U51+Y51+AC51+AG51+AK51+AO51+AS51+AW51+BA51</f>
        <v>0</v>
      </c>
      <c r="BF51" s="60">
        <f>IFERROR(+BG51/BE51,0)</f>
        <v>0</v>
      </c>
      <c r="BG51" s="61">
        <f>+K51+O51+S51+W51+AA51+AE51+AI51+AM51+AQ51+AU51+AY51+BC51</f>
        <v>0</v>
      </c>
    </row>
    <row r="52" spans="1:59" ht="21" hidden="1" customHeight="1" x14ac:dyDescent="0.3">
      <c r="A52" s="11"/>
      <c r="B52" s="181"/>
      <c r="C52" s="69"/>
      <c r="D52" s="34"/>
      <c r="E52" s="34"/>
      <c r="F52" s="34"/>
      <c r="G52" s="57"/>
      <c r="H52" s="35"/>
      <c r="I52" s="34"/>
      <c r="J52" s="59">
        <f t="shared" ref="J52:J57" si="54">IFERROR(+K52/I52,0)</f>
        <v>0</v>
      </c>
      <c r="K52" s="34"/>
      <c r="M52" s="34"/>
      <c r="N52" s="59">
        <f t="shared" ref="N52:N57" si="55">IFERROR(+O52/M52,0)</f>
        <v>0</v>
      </c>
      <c r="O52" s="34"/>
      <c r="Q52" s="34"/>
      <c r="R52" s="59">
        <f t="shared" ref="R52:R57" si="56">IFERROR(+S52/Q52,0)</f>
        <v>0</v>
      </c>
      <c r="S52" s="34"/>
      <c r="U52" s="34"/>
      <c r="V52" s="59">
        <f t="shared" ref="V52:V57" si="57">IFERROR(+W52/U52,0)</f>
        <v>0</v>
      </c>
      <c r="W52" s="34"/>
      <c r="Y52" s="34"/>
      <c r="Z52" s="59">
        <f t="shared" ref="Z52:Z57" si="58">IFERROR(+AA52/Y52,0)</f>
        <v>0</v>
      </c>
      <c r="AA52" s="34"/>
      <c r="AC52" s="34"/>
      <c r="AD52" s="59">
        <f t="shared" ref="AD52:AD57" si="59">IFERROR(+AE52/AC52,0)</f>
        <v>0</v>
      </c>
      <c r="AE52" s="34"/>
      <c r="AG52" s="34"/>
      <c r="AH52" s="59">
        <f t="shared" ref="AH52:AH57" si="60">IFERROR(+AI52/AG52,0)</f>
        <v>0</v>
      </c>
      <c r="AI52" s="34"/>
      <c r="AK52" s="34"/>
      <c r="AL52" s="59">
        <f t="shared" ref="AL52:AL57" si="61">IFERROR(+AM52/AK52,0)</f>
        <v>0</v>
      </c>
      <c r="AM52" s="34"/>
      <c r="AO52" s="34"/>
      <c r="AP52" s="59">
        <f t="shared" ref="AP52:AP57" si="62">IFERROR(+AQ52/AO52,0)</f>
        <v>0</v>
      </c>
      <c r="AQ52" s="34"/>
      <c r="AS52" s="34"/>
      <c r="AT52" s="59">
        <f t="shared" ref="AT52:AT57" si="63">IFERROR(+AU52/AS52,0)</f>
        <v>0</v>
      </c>
      <c r="AU52" s="34"/>
      <c r="AW52" s="34"/>
      <c r="AX52" s="59">
        <f t="shared" ref="AX52:AX57" si="64">IFERROR(+AY52/AW52,0)</f>
        <v>0</v>
      </c>
      <c r="AY52" s="34"/>
      <c r="BA52" s="34"/>
      <c r="BB52" s="59">
        <f t="shared" ref="BB52:BB57" si="65">IFERROR(+BC52/BA52,0)</f>
        <v>0</v>
      </c>
      <c r="BC52" s="34"/>
      <c r="BE52" s="61">
        <f t="shared" ref="BE52:BE56" si="66">+I52+M52+Q52++U52+Y52+AC52+AG52+AK52+AO52+AS52+AW52+BA52</f>
        <v>0</v>
      </c>
      <c r="BF52" s="60">
        <f t="shared" ref="BF52:BF56" si="67">IFERROR(+BG52/BE52,0)</f>
        <v>0</v>
      </c>
      <c r="BG52" s="61">
        <f t="shared" ref="BG52:BG56" si="68">+K52+O52+S52+W52+AA52+AE52+AI52+AM52+AQ52+AU52+AY52+BC52</f>
        <v>0</v>
      </c>
    </row>
    <row r="53" spans="1:59" ht="21" hidden="1" customHeight="1" x14ac:dyDescent="0.3">
      <c r="A53" s="11"/>
      <c r="B53" s="181"/>
      <c r="C53" s="69"/>
      <c r="D53" s="34"/>
      <c r="E53" s="34"/>
      <c r="F53" s="34"/>
      <c r="G53" s="57"/>
      <c r="H53" s="35"/>
      <c r="I53" s="34"/>
      <c r="J53" s="59">
        <f t="shared" si="54"/>
        <v>0</v>
      </c>
      <c r="K53" s="34"/>
      <c r="M53" s="34"/>
      <c r="N53" s="59">
        <f t="shared" si="55"/>
        <v>0</v>
      </c>
      <c r="O53" s="34"/>
      <c r="Q53" s="34"/>
      <c r="R53" s="59">
        <f t="shared" si="56"/>
        <v>0</v>
      </c>
      <c r="S53" s="34"/>
      <c r="U53" s="34"/>
      <c r="V53" s="59">
        <f t="shared" si="57"/>
        <v>0</v>
      </c>
      <c r="W53" s="34"/>
      <c r="Y53" s="34"/>
      <c r="Z53" s="59">
        <f t="shared" si="58"/>
        <v>0</v>
      </c>
      <c r="AA53" s="34"/>
      <c r="AC53" s="34"/>
      <c r="AD53" s="59">
        <f t="shared" si="59"/>
        <v>0</v>
      </c>
      <c r="AE53" s="34"/>
      <c r="AG53" s="34"/>
      <c r="AH53" s="59">
        <f t="shared" si="60"/>
        <v>0</v>
      </c>
      <c r="AI53" s="34"/>
      <c r="AK53" s="34"/>
      <c r="AL53" s="59">
        <f t="shared" si="61"/>
        <v>0</v>
      </c>
      <c r="AM53" s="34"/>
      <c r="AO53" s="34"/>
      <c r="AP53" s="59">
        <f t="shared" si="62"/>
        <v>0</v>
      </c>
      <c r="AQ53" s="34"/>
      <c r="AS53" s="34"/>
      <c r="AT53" s="59">
        <f t="shared" si="63"/>
        <v>0</v>
      </c>
      <c r="AU53" s="34"/>
      <c r="AW53" s="34"/>
      <c r="AX53" s="59">
        <f t="shared" si="64"/>
        <v>0</v>
      </c>
      <c r="AY53" s="34"/>
      <c r="BA53" s="34"/>
      <c r="BB53" s="59">
        <f t="shared" si="65"/>
        <v>0</v>
      </c>
      <c r="BC53" s="34"/>
      <c r="BE53" s="61">
        <f t="shared" si="66"/>
        <v>0</v>
      </c>
      <c r="BF53" s="60">
        <f t="shared" si="67"/>
        <v>0</v>
      </c>
      <c r="BG53" s="61">
        <f t="shared" si="68"/>
        <v>0</v>
      </c>
    </row>
    <row r="54" spans="1:59" ht="21" hidden="1" customHeight="1" x14ac:dyDescent="0.3">
      <c r="A54" s="11"/>
      <c r="B54" s="181"/>
      <c r="C54" s="69"/>
      <c r="D54" s="34"/>
      <c r="E54" s="34"/>
      <c r="F54" s="34"/>
      <c r="G54" s="57"/>
      <c r="H54" s="35"/>
      <c r="I54" s="34"/>
      <c r="J54" s="59">
        <f t="shared" si="54"/>
        <v>0</v>
      </c>
      <c r="K54" s="34"/>
      <c r="M54" s="34"/>
      <c r="N54" s="59">
        <f t="shared" si="55"/>
        <v>0</v>
      </c>
      <c r="O54" s="34"/>
      <c r="Q54" s="34"/>
      <c r="R54" s="59">
        <f t="shared" si="56"/>
        <v>0</v>
      </c>
      <c r="S54" s="34"/>
      <c r="U54" s="34"/>
      <c r="V54" s="59">
        <f t="shared" si="57"/>
        <v>0</v>
      </c>
      <c r="W54" s="34"/>
      <c r="Y54" s="34"/>
      <c r="Z54" s="59">
        <f t="shared" si="58"/>
        <v>0</v>
      </c>
      <c r="AA54" s="34"/>
      <c r="AC54" s="34"/>
      <c r="AD54" s="59">
        <f t="shared" si="59"/>
        <v>0</v>
      </c>
      <c r="AE54" s="34"/>
      <c r="AG54" s="34"/>
      <c r="AH54" s="59">
        <f t="shared" si="60"/>
        <v>0</v>
      </c>
      <c r="AI54" s="34"/>
      <c r="AK54" s="34"/>
      <c r="AL54" s="59">
        <f t="shared" si="61"/>
        <v>0</v>
      </c>
      <c r="AM54" s="34"/>
      <c r="AO54" s="34"/>
      <c r="AP54" s="59">
        <f t="shared" si="62"/>
        <v>0</v>
      </c>
      <c r="AQ54" s="34"/>
      <c r="AS54" s="34"/>
      <c r="AT54" s="59">
        <f t="shared" si="63"/>
        <v>0</v>
      </c>
      <c r="AU54" s="34"/>
      <c r="AW54" s="34"/>
      <c r="AX54" s="59">
        <f t="shared" si="64"/>
        <v>0</v>
      </c>
      <c r="AY54" s="34"/>
      <c r="BA54" s="34"/>
      <c r="BB54" s="59">
        <f t="shared" si="65"/>
        <v>0</v>
      </c>
      <c r="BC54" s="34"/>
      <c r="BE54" s="61">
        <f t="shared" ref="BE54" si="69">+I54+M54+Q54++U54+Y54+AC54+AG54+AK54+AO54+AS54+AW54+BA54</f>
        <v>0</v>
      </c>
      <c r="BF54" s="60">
        <f t="shared" ref="BF54" si="70">IFERROR(+BG54/BE54,0)</f>
        <v>0</v>
      </c>
      <c r="BG54" s="61">
        <f t="shared" ref="BG54" si="71">+K54+O54+S54+W54+AA54+AE54+AI54+AM54+AQ54+AU54+AY54+BC54</f>
        <v>0</v>
      </c>
    </row>
    <row r="55" spans="1:59" ht="21" hidden="1" customHeight="1" x14ac:dyDescent="0.3">
      <c r="A55" s="11"/>
      <c r="B55" s="181"/>
      <c r="C55" s="69"/>
      <c r="D55" s="34"/>
      <c r="E55" s="34"/>
      <c r="F55" s="34"/>
      <c r="G55" s="57"/>
      <c r="H55" s="35"/>
      <c r="I55" s="34"/>
      <c r="J55" s="59">
        <f t="shared" si="54"/>
        <v>0</v>
      </c>
      <c r="K55" s="34"/>
      <c r="M55" s="34"/>
      <c r="N55" s="59">
        <f t="shared" si="55"/>
        <v>0</v>
      </c>
      <c r="O55" s="34"/>
      <c r="Q55" s="34"/>
      <c r="R55" s="59">
        <f t="shared" si="56"/>
        <v>0</v>
      </c>
      <c r="S55" s="34"/>
      <c r="U55" s="34"/>
      <c r="V55" s="59">
        <f t="shared" si="57"/>
        <v>0</v>
      </c>
      <c r="W55" s="34"/>
      <c r="Y55" s="34"/>
      <c r="Z55" s="59">
        <f t="shared" si="58"/>
        <v>0</v>
      </c>
      <c r="AA55" s="34"/>
      <c r="AC55" s="34"/>
      <c r="AD55" s="59">
        <f t="shared" si="59"/>
        <v>0</v>
      </c>
      <c r="AE55" s="34"/>
      <c r="AG55" s="34"/>
      <c r="AH55" s="59">
        <f t="shared" si="60"/>
        <v>0</v>
      </c>
      <c r="AI55" s="34"/>
      <c r="AK55" s="34"/>
      <c r="AL55" s="59">
        <f t="shared" si="61"/>
        <v>0</v>
      </c>
      <c r="AM55" s="34"/>
      <c r="AO55" s="34"/>
      <c r="AP55" s="59">
        <f t="shared" si="62"/>
        <v>0</v>
      </c>
      <c r="AQ55" s="34"/>
      <c r="AS55" s="34"/>
      <c r="AT55" s="59">
        <f t="shared" si="63"/>
        <v>0</v>
      </c>
      <c r="AU55" s="34"/>
      <c r="AW55" s="34"/>
      <c r="AX55" s="59">
        <f t="shared" si="64"/>
        <v>0</v>
      </c>
      <c r="AY55" s="34"/>
      <c r="BA55" s="34"/>
      <c r="BB55" s="59">
        <f t="shared" si="65"/>
        <v>0</v>
      </c>
      <c r="BC55" s="34"/>
      <c r="BE55" s="61">
        <f t="shared" si="66"/>
        <v>0</v>
      </c>
      <c r="BF55" s="60">
        <f t="shared" si="67"/>
        <v>0</v>
      </c>
      <c r="BG55" s="61">
        <f t="shared" si="68"/>
        <v>0</v>
      </c>
    </row>
    <row r="56" spans="1:59" ht="21" hidden="1" customHeight="1" x14ac:dyDescent="0.3">
      <c r="A56" s="11"/>
      <c r="B56" s="181"/>
      <c r="C56" s="69"/>
      <c r="D56" s="34"/>
      <c r="E56" s="34"/>
      <c r="F56" s="34"/>
      <c r="G56" s="57"/>
      <c r="H56" s="35"/>
      <c r="I56" s="34"/>
      <c r="J56" s="59">
        <f>IFERROR(+K56/I56,0)</f>
        <v>0</v>
      </c>
      <c r="K56" s="34"/>
      <c r="M56" s="34"/>
      <c r="N56" s="59">
        <f>IFERROR(+O56/M56,0)</f>
        <v>0</v>
      </c>
      <c r="O56" s="34"/>
      <c r="Q56" s="34"/>
      <c r="R56" s="59">
        <f>IFERROR(+S56/Q56,0)</f>
        <v>0</v>
      </c>
      <c r="S56" s="34"/>
      <c r="U56" s="34"/>
      <c r="V56" s="59">
        <f>IFERROR(+W56/U56,0)</f>
        <v>0</v>
      </c>
      <c r="W56" s="34"/>
      <c r="Y56" s="34"/>
      <c r="Z56" s="59">
        <f>IFERROR(+AA56/Y56,0)</f>
        <v>0</v>
      </c>
      <c r="AA56" s="34"/>
      <c r="AC56" s="34"/>
      <c r="AD56" s="59">
        <f>IFERROR(+AE56/AC56,0)</f>
        <v>0</v>
      </c>
      <c r="AE56" s="34"/>
      <c r="AG56" s="34"/>
      <c r="AH56" s="59">
        <f>IFERROR(+AI56/AG56,0)</f>
        <v>0</v>
      </c>
      <c r="AI56" s="34"/>
      <c r="AK56" s="34"/>
      <c r="AL56" s="59">
        <f>IFERROR(+AM56/AK56,0)</f>
        <v>0</v>
      </c>
      <c r="AM56" s="34"/>
      <c r="AO56" s="34"/>
      <c r="AP56" s="59">
        <f>IFERROR(+AQ56/AO56,0)</f>
        <v>0</v>
      </c>
      <c r="AQ56" s="34"/>
      <c r="AS56" s="34"/>
      <c r="AT56" s="59">
        <f>IFERROR(+AU56/AS56,0)</f>
        <v>0</v>
      </c>
      <c r="AU56" s="34"/>
      <c r="AW56" s="34"/>
      <c r="AX56" s="59">
        <f>IFERROR(+AY56/AW56,0)</f>
        <v>0</v>
      </c>
      <c r="AY56" s="34"/>
      <c r="BA56" s="34"/>
      <c r="BB56" s="59">
        <f>IFERROR(+BC56/BA56,0)</f>
        <v>0</v>
      </c>
      <c r="BC56" s="34"/>
      <c r="BE56" s="61">
        <f t="shared" si="66"/>
        <v>0</v>
      </c>
      <c r="BF56" s="60">
        <f t="shared" si="67"/>
        <v>0</v>
      </c>
      <c r="BG56" s="61">
        <f t="shared" si="68"/>
        <v>0</v>
      </c>
    </row>
    <row r="57" spans="1:59" ht="21" hidden="1" customHeight="1" x14ac:dyDescent="0.3">
      <c r="A57" s="11"/>
      <c r="B57" s="181"/>
      <c r="C57" s="69"/>
      <c r="D57" s="34"/>
      <c r="E57" s="34"/>
      <c r="F57" s="34"/>
      <c r="G57" s="57" t="str">
        <f>IFERROR(+VLOOKUP(F57,Datos!$P:$Q,2,0),"")</f>
        <v/>
      </c>
      <c r="H57" s="35"/>
      <c r="I57" s="34"/>
      <c r="J57" s="59">
        <f t="shared" si="54"/>
        <v>0</v>
      </c>
      <c r="K57" s="34"/>
      <c r="M57" s="34"/>
      <c r="N57" s="59">
        <f t="shared" si="55"/>
        <v>0</v>
      </c>
      <c r="O57" s="34"/>
      <c r="Q57" s="34"/>
      <c r="R57" s="59">
        <f t="shared" si="56"/>
        <v>0</v>
      </c>
      <c r="S57" s="34"/>
      <c r="U57" s="34"/>
      <c r="V57" s="59">
        <f t="shared" si="57"/>
        <v>0</v>
      </c>
      <c r="W57" s="34"/>
      <c r="Y57" s="34"/>
      <c r="Z57" s="59">
        <f t="shared" si="58"/>
        <v>0</v>
      </c>
      <c r="AA57" s="34"/>
      <c r="AC57" s="34"/>
      <c r="AD57" s="59">
        <f t="shared" si="59"/>
        <v>0</v>
      </c>
      <c r="AE57" s="34"/>
      <c r="AG57" s="34"/>
      <c r="AH57" s="59">
        <f t="shared" si="60"/>
        <v>0</v>
      </c>
      <c r="AI57" s="34"/>
      <c r="AK57" s="34"/>
      <c r="AL57" s="59">
        <f t="shared" si="61"/>
        <v>0</v>
      </c>
      <c r="AM57" s="34"/>
      <c r="AO57" s="34"/>
      <c r="AP57" s="59">
        <f t="shared" si="62"/>
        <v>0</v>
      </c>
      <c r="AQ57" s="34"/>
      <c r="AS57" s="34"/>
      <c r="AT57" s="59">
        <f t="shared" si="63"/>
        <v>0</v>
      </c>
      <c r="AU57" s="34"/>
      <c r="AW57" s="34"/>
      <c r="AX57" s="59">
        <f t="shared" si="64"/>
        <v>0</v>
      </c>
      <c r="AY57" s="34"/>
      <c r="BA57" s="34"/>
      <c r="BB57" s="59">
        <f t="shared" si="65"/>
        <v>0</v>
      </c>
      <c r="BC57" s="34"/>
      <c r="BE57" s="61">
        <f>+I57+M57+Q57++U57+Y57+AC57+AG57+AK57+AO57+AS57+AW57+BA57</f>
        <v>0</v>
      </c>
      <c r="BF57" s="60">
        <f>IFERROR(+BG57/BE57,0)</f>
        <v>0</v>
      </c>
      <c r="BG57" s="61">
        <f>+K57+O57+S57+W57+AA57+AE57+AI57+AM57+AQ57+AU57+AY57+BC57</f>
        <v>0</v>
      </c>
    </row>
    <row r="58" spans="1:59" ht="21" hidden="1" customHeight="1" x14ac:dyDescent="0.3">
      <c r="A58" s="11"/>
      <c r="B58" s="330" t="s">
        <v>227</v>
      </c>
      <c r="C58" s="331"/>
      <c r="D58" s="331"/>
      <c r="E58" s="331"/>
      <c r="F58" s="331"/>
      <c r="G58" s="332"/>
      <c r="H58" s="35"/>
      <c r="I58" s="61">
        <f>SUM(I51:I57)</f>
        <v>0</v>
      </c>
      <c r="J58" s="60">
        <f t="shared" ref="J58" si="72">IFERROR(+K58/I58,0)</f>
        <v>0</v>
      </c>
      <c r="K58" s="61">
        <f>SUM(K51:K57)</f>
        <v>0</v>
      </c>
      <c r="M58" s="61">
        <f>SUM(M51:M57)</f>
        <v>0</v>
      </c>
      <c r="N58" s="60">
        <f t="shared" ref="N58" si="73">IFERROR(+O58/M58,0)</f>
        <v>0</v>
      </c>
      <c r="O58" s="61">
        <f>SUM(O51:O57)</f>
        <v>0</v>
      </c>
      <c r="Q58" s="61">
        <f>SUM(Q51:Q57)</f>
        <v>0</v>
      </c>
      <c r="R58" s="60">
        <f t="shared" ref="R58" si="74">IFERROR(+S58/Q58,0)</f>
        <v>0</v>
      </c>
      <c r="S58" s="61">
        <f>SUM(S51:S57)</f>
        <v>0</v>
      </c>
      <c r="U58" s="61">
        <f>SUM(U51:U57)</f>
        <v>0</v>
      </c>
      <c r="V58" s="60">
        <f t="shared" ref="V58" si="75">IFERROR(+W58/U58,0)</f>
        <v>0</v>
      </c>
      <c r="W58" s="61">
        <f>SUM(W51:W57)</f>
        <v>0</v>
      </c>
      <c r="Y58" s="61">
        <f>SUM(Y51:Y57)</f>
        <v>0</v>
      </c>
      <c r="Z58" s="60">
        <f t="shared" ref="Z58" si="76">IFERROR(+AA58/Y58,0)</f>
        <v>0</v>
      </c>
      <c r="AA58" s="61">
        <f>SUM(AA51:AA57)</f>
        <v>0</v>
      </c>
      <c r="AC58" s="61">
        <f>SUM(AC51:AC57)</f>
        <v>0</v>
      </c>
      <c r="AD58" s="60">
        <f t="shared" ref="AD58" si="77">IFERROR(+AE58/AC58,0)</f>
        <v>0</v>
      </c>
      <c r="AE58" s="61">
        <f>SUM(AE51:AE57)</f>
        <v>0</v>
      </c>
      <c r="AG58" s="61">
        <f>SUM(AG51:AG57)</f>
        <v>0</v>
      </c>
      <c r="AH58" s="60">
        <f t="shared" ref="AH58" si="78">IFERROR(+AI58/AG58,0)</f>
        <v>0</v>
      </c>
      <c r="AI58" s="61">
        <f>SUM(AI51:AI57)</f>
        <v>0</v>
      </c>
      <c r="AK58" s="61">
        <f>SUM(AK51:AK57)</f>
        <v>0</v>
      </c>
      <c r="AL58" s="60">
        <f t="shared" ref="AL58" si="79">IFERROR(+AM58/AK58,0)</f>
        <v>0</v>
      </c>
      <c r="AM58" s="61">
        <f>SUM(AM51:AM57)</f>
        <v>0</v>
      </c>
      <c r="AO58" s="61">
        <f>SUM(AO51:AO57)</f>
        <v>0</v>
      </c>
      <c r="AP58" s="60">
        <f t="shared" ref="AP58" si="80">IFERROR(+AQ58/AO58,0)</f>
        <v>0</v>
      </c>
      <c r="AQ58" s="61">
        <f>SUM(AQ51:AQ57)</f>
        <v>0</v>
      </c>
      <c r="AS58" s="61">
        <f>SUM(AS51:AS57)</f>
        <v>0</v>
      </c>
      <c r="AT58" s="60">
        <f t="shared" ref="AT58" si="81">IFERROR(+AU58/AS58,0)</f>
        <v>0</v>
      </c>
      <c r="AU58" s="61">
        <f>SUM(AU51:AU57)</f>
        <v>0</v>
      </c>
      <c r="AW58" s="61">
        <f>SUM(AW51:AW57)</f>
        <v>0</v>
      </c>
      <c r="AX58" s="60">
        <f t="shared" ref="AX58" si="82">IFERROR(+AY58/AW58,0)</f>
        <v>0</v>
      </c>
      <c r="AY58" s="61">
        <f>SUM(AY51:AY57)</f>
        <v>0</v>
      </c>
      <c r="BA58" s="61">
        <f>SUM(BA51:BA57)</f>
        <v>0</v>
      </c>
      <c r="BB58" s="60">
        <f t="shared" ref="BB58" si="83">IFERROR(+BC58/BA58,0)</f>
        <v>0</v>
      </c>
      <c r="BC58" s="61">
        <f>SUM(BC51:BC57)</f>
        <v>0</v>
      </c>
      <c r="BE58" s="61">
        <f>SUM(BE51:BE57)</f>
        <v>0</v>
      </c>
      <c r="BF58" s="60">
        <f t="shared" ref="BF58" si="84">IFERROR(+BG58/BE58,0)</f>
        <v>0</v>
      </c>
      <c r="BG58" s="61">
        <f>SUM(BG51:BG57)</f>
        <v>0</v>
      </c>
    </row>
    <row r="59" spans="1:59" hidden="1" x14ac:dyDescent="0.3"/>
    <row r="60" spans="1:59" ht="36" hidden="1" customHeight="1" x14ac:dyDescent="0.3">
      <c r="B60" s="338" t="s">
        <v>236</v>
      </c>
      <c r="C60" s="338"/>
      <c r="D60" s="338"/>
      <c r="E60" s="338"/>
      <c r="F60" s="338"/>
      <c r="G60" s="338"/>
      <c r="H60" s="338"/>
      <c r="I60" s="338"/>
      <c r="J60" s="338"/>
    </row>
    <row r="61" spans="1:59" hidden="1" x14ac:dyDescent="0.3"/>
    <row r="62" spans="1:59" ht="21" hidden="1" customHeight="1" x14ac:dyDescent="0.3">
      <c r="A62" s="11"/>
      <c r="B62" s="322" t="s">
        <v>894</v>
      </c>
      <c r="C62" s="322" t="s">
        <v>895</v>
      </c>
      <c r="D62" s="325" t="s">
        <v>235</v>
      </c>
      <c r="E62" s="322" t="s">
        <v>232</v>
      </c>
      <c r="F62" s="329" t="s">
        <v>233</v>
      </c>
      <c r="G62" s="351" t="s">
        <v>234</v>
      </c>
      <c r="H62" s="36"/>
      <c r="I62" s="328" t="str">
        <f>+"Enero "&amp;$I$6&amp;""</f>
        <v>Enero 2025</v>
      </c>
      <c r="J62" s="328"/>
      <c r="K62" s="328"/>
      <c r="M62" s="328" t="str">
        <f>+"Febrero "&amp;$I$6&amp;""</f>
        <v>Febrero 2025</v>
      </c>
      <c r="N62" s="328"/>
      <c r="O62" s="328"/>
      <c r="Q62" s="328" t="str">
        <f>+"Marzo "&amp;$I$6&amp;""</f>
        <v>Marzo 2025</v>
      </c>
      <c r="R62" s="328"/>
      <c r="S62" s="328"/>
      <c r="U62" s="328" t="str">
        <f>+"Abril "&amp;$I$6&amp;""</f>
        <v>Abril 2025</v>
      </c>
      <c r="V62" s="328"/>
      <c r="W62" s="328"/>
      <c r="Y62" s="328" t="str">
        <f>+"Mayo "&amp;$I$6&amp;""</f>
        <v>Mayo 2025</v>
      </c>
      <c r="Z62" s="328"/>
      <c r="AA62" s="328"/>
      <c r="AC62" s="328" t="str">
        <f>+"Junio "&amp;$I$6&amp;""</f>
        <v>Junio 2025</v>
      </c>
      <c r="AD62" s="328"/>
      <c r="AE62" s="328"/>
      <c r="AG62" s="328" t="str">
        <f>+"Julio "&amp;$I$6&amp;""</f>
        <v>Julio 2025</v>
      </c>
      <c r="AH62" s="328"/>
      <c r="AI62" s="328"/>
      <c r="AK62" s="328" t="str">
        <f>+"Agosto "&amp;$I$6&amp;""</f>
        <v>Agosto 2025</v>
      </c>
      <c r="AL62" s="328"/>
      <c r="AM62" s="328"/>
      <c r="AO62" s="328" t="str">
        <f>+"Septiembre "&amp;$I$6&amp;""</f>
        <v>Septiembre 2025</v>
      </c>
      <c r="AP62" s="328"/>
      <c r="AQ62" s="328"/>
      <c r="AS62" s="328" t="str">
        <f>+"Octubre "&amp;$I$6&amp;""</f>
        <v>Octubre 2025</v>
      </c>
      <c r="AT62" s="328"/>
      <c r="AU62" s="328"/>
      <c r="AW62" s="328" t="str">
        <f>+"Noviembre "&amp;$I$6&amp;""</f>
        <v>Noviembre 2025</v>
      </c>
      <c r="AX62" s="328"/>
      <c r="AY62" s="328"/>
      <c r="BA62" s="328" t="str">
        <f>+"Diciembre "&amp;$I$6&amp;""</f>
        <v>Diciembre 2025</v>
      </c>
      <c r="BB62" s="328"/>
      <c r="BC62" s="328"/>
      <c r="BE62" s="328" t="str">
        <f>+"Acumulado "&amp;$I$6&amp;""</f>
        <v>Acumulado 2025</v>
      </c>
      <c r="BF62" s="328"/>
      <c r="BG62" s="328"/>
    </row>
    <row r="63" spans="1:59" ht="21" hidden="1" customHeight="1" x14ac:dyDescent="0.3">
      <c r="A63" s="11"/>
      <c r="B63" s="324"/>
      <c r="C63" s="324"/>
      <c r="D63" s="327"/>
      <c r="E63" s="324"/>
      <c r="F63" s="329"/>
      <c r="G63" s="329"/>
      <c r="H63" s="36"/>
      <c r="I63" s="222" t="s">
        <v>983</v>
      </c>
      <c r="J63" s="58" t="s">
        <v>61</v>
      </c>
      <c r="K63" s="58" t="s">
        <v>62</v>
      </c>
      <c r="M63" s="222" t="s">
        <v>983</v>
      </c>
      <c r="N63" s="58" t="s">
        <v>61</v>
      </c>
      <c r="O63" s="58" t="s">
        <v>62</v>
      </c>
      <c r="Q63" s="222" t="s">
        <v>983</v>
      </c>
      <c r="R63" s="58" t="s">
        <v>61</v>
      </c>
      <c r="S63" s="58" t="s">
        <v>62</v>
      </c>
      <c r="U63" s="222" t="s">
        <v>983</v>
      </c>
      <c r="V63" s="58" t="s">
        <v>61</v>
      </c>
      <c r="W63" s="58" t="s">
        <v>62</v>
      </c>
      <c r="Y63" s="222" t="s">
        <v>983</v>
      </c>
      <c r="Z63" s="58" t="s">
        <v>61</v>
      </c>
      <c r="AA63" s="58" t="s">
        <v>62</v>
      </c>
      <c r="AC63" s="222" t="s">
        <v>983</v>
      </c>
      <c r="AD63" s="58" t="s">
        <v>61</v>
      </c>
      <c r="AE63" s="58" t="s">
        <v>62</v>
      </c>
      <c r="AG63" s="222" t="s">
        <v>983</v>
      </c>
      <c r="AH63" s="58" t="s">
        <v>61</v>
      </c>
      <c r="AI63" s="58" t="s">
        <v>62</v>
      </c>
      <c r="AK63" s="222" t="s">
        <v>983</v>
      </c>
      <c r="AL63" s="58" t="s">
        <v>61</v>
      </c>
      <c r="AM63" s="58" t="s">
        <v>62</v>
      </c>
      <c r="AO63" s="222" t="s">
        <v>983</v>
      </c>
      <c r="AP63" s="58" t="s">
        <v>61</v>
      </c>
      <c r="AQ63" s="58" t="s">
        <v>62</v>
      </c>
      <c r="AS63" s="222" t="s">
        <v>983</v>
      </c>
      <c r="AT63" s="58" t="s">
        <v>61</v>
      </c>
      <c r="AU63" s="58" t="s">
        <v>62</v>
      </c>
      <c r="AW63" s="222" t="s">
        <v>983</v>
      </c>
      <c r="AX63" s="58" t="s">
        <v>61</v>
      </c>
      <c r="AY63" s="58" t="s">
        <v>62</v>
      </c>
      <c r="BA63" s="222" t="s">
        <v>983</v>
      </c>
      <c r="BB63" s="58" t="s">
        <v>61</v>
      </c>
      <c r="BC63" s="58" t="s">
        <v>62</v>
      </c>
      <c r="BE63" s="222" t="s">
        <v>983</v>
      </c>
      <c r="BF63" s="58" t="s">
        <v>61</v>
      </c>
      <c r="BG63" s="58" t="s">
        <v>62</v>
      </c>
    </row>
    <row r="64" spans="1:59" ht="21" hidden="1" customHeight="1" x14ac:dyDescent="0.3">
      <c r="A64" s="11"/>
      <c r="B64" s="181"/>
      <c r="C64" s="34"/>
      <c r="D64" s="34"/>
      <c r="E64" s="34"/>
      <c r="F64" s="34"/>
      <c r="G64" s="57"/>
      <c r="H64" s="35"/>
      <c r="I64" s="34"/>
      <c r="J64" s="59">
        <f>IFERROR(+K64/I64,0)</f>
        <v>0</v>
      </c>
      <c r="K64" s="122"/>
      <c r="M64" s="34"/>
      <c r="N64" s="59">
        <f>IFERROR(+O64/M64,0)</f>
        <v>0</v>
      </c>
      <c r="O64" s="122"/>
      <c r="Q64" s="34"/>
      <c r="R64" s="59">
        <f>IFERROR(+S64/Q64,0)</f>
        <v>0</v>
      </c>
      <c r="S64" s="122"/>
      <c r="U64" s="34"/>
      <c r="V64" s="59">
        <f>IFERROR(+W64/U64,0)</f>
        <v>0</v>
      </c>
      <c r="W64" s="122"/>
      <c r="Y64" s="34"/>
      <c r="Z64" s="59">
        <f>IFERROR(+AA64/Y64,0)</f>
        <v>0</v>
      </c>
      <c r="AA64" s="122"/>
      <c r="AC64" s="34"/>
      <c r="AD64" s="59">
        <f>IFERROR(+AE64/AC64,0)</f>
        <v>0</v>
      </c>
      <c r="AE64" s="122"/>
      <c r="AG64" s="34"/>
      <c r="AH64" s="59">
        <f>IFERROR(+AI64/AG64,0)</f>
        <v>0</v>
      </c>
      <c r="AI64" s="122"/>
      <c r="AK64" s="34"/>
      <c r="AL64" s="59">
        <f>IFERROR(+AM64/AK64,0)</f>
        <v>0</v>
      </c>
      <c r="AM64" s="122"/>
      <c r="AO64" s="34"/>
      <c r="AP64" s="59">
        <f>IFERROR(+AQ64/AO64,0)</f>
        <v>0</v>
      </c>
      <c r="AQ64" s="122"/>
      <c r="AS64" s="34"/>
      <c r="AT64" s="59">
        <f>IFERROR(+AU64/AS64,0)</f>
        <v>0</v>
      </c>
      <c r="AU64" s="122"/>
      <c r="AW64" s="34"/>
      <c r="AX64" s="59">
        <f>IFERROR(+AY64/AW64,0)</f>
        <v>0</v>
      </c>
      <c r="AY64" s="122"/>
      <c r="BA64" s="34"/>
      <c r="BB64" s="59">
        <f>IFERROR(+BC64/BA64,0)</f>
        <v>0</v>
      </c>
      <c r="BC64" s="122"/>
      <c r="BE64" s="61">
        <f>+I64+M64+Q64++U64+Y64+AC64+AG64+AK64+AO64+AS64+AW64+BA64</f>
        <v>0</v>
      </c>
      <c r="BF64" s="60">
        <f>IFERROR(+BG64/BE64,0)</f>
        <v>0</v>
      </c>
      <c r="BG64" s="61">
        <f>+K64+O64+S64+W64+AA64+AE64+AI64+AM64+AQ64+AU64+AY64+BC64</f>
        <v>0</v>
      </c>
    </row>
    <row r="65" spans="1:59" ht="21" hidden="1" customHeight="1" x14ac:dyDescent="0.3">
      <c r="A65" s="11"/>
      <c r="B65" s="181"/>
      <c r="C65" s="34"/>
      <c r="D65" s="34"/>
      <c r="E65" s="34"/>
      <c r="F65" s="34"/>
      <c r="G65" s="57"/>
      <c r="H65" s="35"/>
      <c r="I65" s="34"/>
      <c r="J65" s="59">
        <f t="shared" ref="J65:J69" si="85">IFERROR(+K65/I65,0)</f>
        <v>0</v>
      </c>
      <c r="K65" s="122"/>
      <c r="M65" s="34"/>
      <c r="N65" s="59">
        <f t="shared" ref="N65:N69" si="86">IFERROR(+O65/M65,0)</f>
        <v>0</v>
      </c>
      <c r="O65" s="122"/>
      <c r="Q65" s="34"/>
      <c r="R65" s="59">
        <f t="shared" ref="R65:R69" si="87">IFERROR(+S65/Q65,0)</f>
        <v>0</v>
      </c>
      <c r="S65" s="122"/>
      <c r="U65" s="34"/>
      <c r="V65" s="59">
        <f t="shared" ref="V65:V69" si="88">IFERROR(+W65/U65,0)</f>
        <v>0</v>
      </c>
      <c r="W65" s="122"/>
      <c r="Y65" s="34"/>
      <c r="Z65" s="59">
        <f t="shared" ref="Z65:Z69" si="89">IFERROR(+AA65/Y65,0)</f>
        <v>0</v>
      </c>
      <c r="AA65" s="122"/>
      <c r="AC65" s="34"/>
      <c r="AD65" s="59">
        <f t="shared" ref="AD65:AD69" si="90">IFERROR(+AE65/AC65,0)</f>
        <v>0</v>
      </c>
      <c r="AE65" s="122"/>
      <c r="AG65" s="34"/>
      <c r="AH65" s="59">
        <f t="shared" ref="AH65:AH69" si="91">IFERROR(+AI65/AG65,0)</f>
        <v>0</v>
      </c>
      <c r="AI65" s="122"/>
      <c r="AK65" s="34"/>
      <c r="AL65" s="59">
        <f t="shared" ref="AL65:AL69" si="92">IFERROR(+AM65/AK65,0)</f>
        <v>0</v>
      </c>
      <c r="AM65" s="122"/>
      <c r="AO65" s="34"/>
      <c r="AP65" s="59">
        <f t="shared" ref="AP65:AP69" si="93">IFERROR(+AQ65/AO65,0)</f>
        <v>0</v>
      </c>
      <c r="AQ65" s="122"/>
      <c r="AS65" s="34"/>
      <c r="AT65" s="59">
        <f t="shared" ref="AT65:AT69" si="94">IFERROR(+AU65/AS65,0)</f>
        <v>0</v>
      </c>
      <c r="AU65" s="122"/>
      <c r="AW65" s="34"/>
      <c r="AX65" s="59">
        <f t="shared" ref="AX65:AX69" si="95">IFERROR(+AY65/AW65,0)</f>
        <v>0</v>
      </c>
      <c r="AY65" s="122"/>
      <c r="BA65" s="34"/>
      <c r="BB65" s="59">
        <f t="shared" ref="BB65:BB69" si="96">IFERROR(+BC65/BA65,0)</f>
        <v>0</v>
      </c>
      <c r="BC65" s="122"/>
      <c r="BE65" s="61">
        <f t="shared" ref="BE65:BE69" si="97">+I65+M65+Q65++U65+Y65+AC65+AG65+AK65+AO65+AS65+AW65+BA65</f>
        <v>0</v>
      </c>
      <c r="BF65" s="60">
        <f t="shared" ref="BF65:BF69" si="98">IFERROR(+BG65/BE65,0)</f>
        <v>0</v>
      </c>
      <c r="BG65" s="61">
        <f t="shared" ref="BG65:BG69" si="99">+K65+O65+S65+W65+AA65+AE65+AI65+AM65+AQ65+AU65+AY65+BC65</f>
        <v>0</v>
      </c>
    </row>
    <row r="66" spans="1:59" ht="21" hidden="1" customHeight="1" x14ac:dyDescent="0.3">
      <c r="A66" s="11"/>
      <c r="B66" s="181"/>
      <c r="C66" s="34"/>
      <c r="D66" s="34"/>
      <c r="E66" s="34"/>
      <c r="F66" s="34"/>
      <c r="G66" s="57"/>
      <c r="H66" s="35"/>
      <c r="I66" s="34"/>
      <c r="J66" s="59">
        <f t="shared" si="85"/>
        <v>0</v>
      </c>
      <c r="K66" s="122"/>
      <c r="M66" s="34"/>
      <c r="N66" s="59">
        <f t="shared" si="86"/>
        <v>0</v>
      </c>
      <c r="O66" s="122"/>
      <c r="Q66" s="34"/>
      <c r="R66" s="59">
        <f t="shared" si="87"/>
        <v>0</v>
      </c>
      <c r="S66" s="122"/>
      <c r="U66" s="34"/>
      <c r="V66" s="59">
        <f t="shared" si="88"/>
        <v>0</v>
      </c>
      <c r="W66" s="122"/>
      <c r="Y66" s="34"/>
      <c r="Z66" s="59">
        <f t="shared" si="89"/>
        <v>0</v>
      </c>
      <c r="AA66" s="122"/>
      <c r="AC66" s="34"/>
      <c r="AD66" s="59">
        <f t="shared" si="90"/>
        <v>0</v>
      </c>
      <c r="AE66" s="122"/>
      <c r="AG66" s="34"/>
      <c r="AH66" s="59">
        <f t="shared" si="91"/>
        <v>0</v>
      </c>
      <c r="AI66" s="122"/>
      <c r="AK66" s="34"/>
      <c r="AL66" s="59">
        <f t="shared" si="92"/>
        <v>0</v>
      </c>
      <c r="AM66" s="122"/>
      <c r="AO66" s="34"/>
      <c r="AP66" s="59">
        <f t="shared" si="93"/>
        <v>0</v>
      </c>
      <c r="AQ66" s="122"/>
      <c r="AS66" s="34"/>
      <c r="AT66" s="59">
        <f t="shared" si="94"/>
        <v>0</v>
      </c>
      <c r="AU66" s="122"/>
      <c r="AW66" s="34"/>
      <c r="AX66" s="59">
        <f t="shared" si="95"/>
        <v>0</v>
      </c>
      <c r="AY66" s="122"/>
      <c r="BA66" s="34"/>
      <c r="BB66" s="59">
        <f t="shared" si="96"/>
        <v>0</v>
      </c>
      <c r="BC66" s="122"/>
      <c r="BE66" s="61">
        <f t="shared" si="97"/>
        <v>0</v>
      </c>
      <c r="BF66" s="60">
        <f t="shared" si="98"/>
        <v>0</v>
      </c>
      <c r="BG66" s="61">
        <f t="shared" si="99"/>
        <v>0</v>
      </c>
    </row>
    <row r="67" spans="1:59" ht="21" hidden="1" customHeight="1" x14ac:dyDescent="0.3">
      <c r="A67" s="11"/>
      <c r="B67" s="181"/>
      <c r="C67" s="34"/>
      <c r="D67" s="34"/>
      <c r="E67" s="34"/>
      <c r="F67" s="34"/>
      <c r="G67" s="57"/>
      <c r="H67" s="35"/>
      <c r="I67" s="34"/>
      <c r="J67" s="59">
        <f t="shared" si="85"/>
        <v>0</v>
      </c>
      <c r="K67" s="122"/>
      <c r="M67" s="34"/>
      <c r="N67" s="59">
        <f t="shared" si="86"/>
        <v>0</v>
      </c>
      <c r="O67" s="122"/>
      <c r="Q67" s="34"/>
      <c r="R67" s="59">
        <f t="shared" si="87"/>
        <v>0</v>
      </c>
      <c r="S67" s="122"/>
      <c r="U67" s="34"/>
      <c r="V67" s="59">
        <f t="shared" si="88"/>
        <v>0</v>
      </c>
      <c r="W67" s="122"/>
      <c r="Y67" s="34"/>
      <c r="Z67" s="59">
        <f t="shared" si="89"/>
        <v>0</v>
      </c>
      <c r="AA67" s="122"/>
      <c r="AC67" s="34"/>
      <c r="AD67" s="59">
        <f t="shared" si="90"/>
        <v>0</v>
      </c>
      <c r="AE67" s="122"/>
      <c r="AG67" s="34"/>
      <c r="AH67" s="59">
        <f t="shared" si="91"/>
        <v>0</v>
      </c>
      <c r="AI67" s="122"/>
      <c r="AK67" s="34"/>
      <c r="AL67" s="59">
        <f t="shared" si="92"/>
        <v>0</v>
      </c>
      <c r="AM67" s="122"/>
      <c r="AO67" s="34"/>
      <c r="AP67" s="59">
        <f t="shared" si="93"/>
        <v>0</v>
      </c>
      <c r="AQ67" s="122"/>
      <c r="AS67" s="34"/>
      <c r="AT67" s="59">
        <f t="shared" si="94"/>
        <v>0</v>
      </c>
      <c r="AU67" s="122"/>
      <c r="AW67" s="34"/>
      <c r="AX67" s="59">
        <f t="shared" si="95"/>
        <v>0</v>
      </c>
      <c r="AY67" s="122"/>
      <c r="BA67" s="34"/>
      <c r="BB67" s="59">
        <f t="shared" si="96"/>
        <v>0</v>
      </c>
      <c r="BC67" s="122"/>
      <c r="BE67" s="61">
        <f t="shared" si="97"/>
        <v>0</v>
      </c>
      <c r="BF67" s="60">
        <f t="shared" si="98"/>
        <v>0</v>
      </c>
      <c r="BG67" s="61">
        <f t="shared" si="99"/>
        <v>0</v>
      </c>
    </row>
    <row r="68" spans="1:59" ht="21" hidden="1" customHeight="1" x14ac:dyDescent="0.3">
      <c r="A68" s="11"/>
      <c r="B68" s="181"/>
      <c r="C68" s="34"/>
      <c r="D68" s="34"/>
      <c r="E68" s="34"/>
      <c r="F68" s="34"/>
      <c r="G68" s="57"/>
      <c r="H68" s="35"/>
      <c r="I68" s="34"/>
      <c r="J68" s="59">
        <f t="shared" si="85"/>
        <v>0</v>
      </c>
      <c r="K68" s="122"/>
      <c r="M68" s="34"/>
      <c r="N68" s="59">
        <f t="shared" si="86"/>
        <v>0</v>
      </c>
      <c r="O68" s="122"/>
      <c r="Q68" s="34"/>
      <c r="R68" s="59">
        <f t="shared" si="87"/>
        <v>0</v>
      </c>
      <c r="S68" s="122"/>
      <c r="U68" s="34"/>
      <c r="V68" s="59">
        <f t="shared" si="88"/>
        <v>0</v>
      </c>
      <c r="W68" s="122"/>
      <c r="Y68" s="34"/>
      <c r="Z68" s="59">
        <f t="shared" si="89"/>
        <v>0</v>
      </c>
      <c r="AA68" s="122"/>
      <c r="AC68" s="34"/>
      <c r="AD68" s="59">
        <f t="shared" si="90"/>
        <v>0</v>
      </c>
      <c r="AE68" s="122"/>
      <c r="AG68" s="34"/>
      <c r="AH68" s="59">
        <f t="shared" si="91"/>
        <v>0</v>
      </c>
      <c r="AI68" s="122"/>
      <c r="AK68" s="34"/>
      <c r="AL68" s="59">
        <f t="shared" si="92"/>
        <v>0</v>
      </c>
      <c r="AM68" s="122"/>
      <c r="AO68" s="34"/>
      <c r="AP68" s="59">
        <f t="shared" si="93"/>
        <v>0</v>
      </c>
      <c r="AQ68" s="122"/>
      <c r="AS68" s="34"/>
      <c r="AT68" s="59">
        <f t="shared" si="94"/>
        <v>0</v>
      </c>
      <c r="AU68" s="122"/>
      <c r="AW68" s="34"/>
      <c r="AX68" s="59">
        <f t="shared" si="95"/>
        <v>0</v>
      </c>
      <c r="AY68" s="122"/>
      <c r="BA68" s="34"/>
      <c r="BB68" s="59">
        <f t="shared" si="96"/>
        <v>0</v>
      </c>
      <c r="BC68" s="122"/>
      <c r="BE68" s="61">
        <f t="shared" si="97"/>
        <v>0</v>
      </c>
      <c r="BF68" s="60">
        <f t="shared" si="98"/>
        <v>0</v>
      </c>
      <c r="BG68" s="61">
        <f t="shared" si="99"/>
        <v>0</v>
      </c>
    </row>
    <row r="69" spans="1:59" ht="21" hidden="1" customHeight="1" x14ac:dyDescent="0.3">
      <c r="A69" s="11"/>
      <c r="B69" s="181"/>
      <c r="C69" s="34"/>
      <c r="D69" s="34"/>
      <c r="E69" s="34"/>
      <c r="F69" s="34"/>
      <c r="G69" s="57"/>
      <c r="H69" s="35"/>
      <c r="I69" s="34"/>
      <c r="J69" s="59">
        <f t="shared" si="85"/>
        <v>0</v>
      </c>
      <c r="K69" s="122"/>
      <c r="M69" s="34"/>
      <c r="N69" s="59">
        <f t="shared" si="86"/>
        <v>0</v>
      </c>
      <c r="O69" s="122"/>
      <c r="Q69" s="34"/>
      <c r="R69" s="59">
        <f t="shared" si="87"/>
        <v>0</v>
      </c>
      <c r="S69" s="122"/>
      <c r="U69" s="34"/>
      <c r="V69" s="59">
        <f t="shared" si="88"/>
        <v>0</v>
      </c>
      <c r="W69" s="122"/>
      <c r="Y69" s="34"/>
      <c r="Z69" s="59">
        <f t="shared" si="89"/>
        <v>0</v>
      </c>
      <c r="AA69" s="122"/>
      <c r="AC69" s="34"/>
      <c r="AD69" s="59">
        <f t="shared" si="90"/>
        <v>0</v>
      </c>
      <c r="AE69" s="122"/>
      <c r="AG69" s="34"/>
      <c r="AH69" s="59">
        <f t="shared" si="91"/>
        <v>0</v>
      </c>
      <c r="AI69" s="122"/>
      <c r="AK69" s="34"/>
      <c r="AL69" s="59">
        <f t="shared" si="92"/>
        <v>0</v>
      </c>
      <c r="AM69" s="122"/>
      <c r="AO69" s="34"/>
      <c r="AP69" s="59">
        <f t="shared" si="93"/>
        <v>0</v>
      </c>
      <c r="AQ69" s="122"/>
      <c r="AS69" s="34"/>
      <c r="AT69" s="59">
        <f t="shared" si="94"/>
        <v>0</v>
      </c>
      <c r="AU69" s="122"/>
      <c r="AW69" s="34"/>
      <c r="AX69" s="59">
        <f t="shared" si="95"/>
        <v>0</v>
      </c>
      <c r="AY69" s="122"/>
      <c r="BA69" s="34"/>
      <c r="BB69" s="59">
        <f t="shared" si="96"/>
        <v>0</v>
      </c>
      <c r="BC69" s="122"/>
      <c r="BE69" s="61">
        <f t="shared" si="97"/>
        <v>0</v>
      </c>
      <c r="BF69" s="60">
        <f t="shared" si="98"/>
        <v>0</v>
      </c>
      <c r="BG69" s="61">
        <f t="shared" si="99"/>
        <v>0</v>
      </c>
    </row>
    <row r="70" spans="1:59" ht="21" hidden="1" customHeight="1" x14ac:dyDescent="0.3">
      <c r="A70" s="11"/>
      <c r="B70" s="181"/>
      <c r="C70" s="34"/>
      <c r="D70" s="34"/>
      <c r="E70" s="34"/>
      <c r="F70" s="34"/>
      <c r="G70" s="57" t="str">
        <f>IFERROR(+VLOOKUP(F70,Datos!$P:$Q,2,0),"")</f>
        <v/>
      </c>
      <c r="H70" s="35"/>
      <c r="I70" s="34"/>
      <c r="J70" s="59">
        <f>IFERROR(+K70/I70,0)</f>
        <v>0</v>
      </c>
      <c r="K70" s="122"/>
      <c r="M70" s="34"/>
      <c r="N70" s="59">
        <f>IFERROR(+O70/M70,0)</f>
        <v>0</v>
      </c>
      <c r="O70" s="122"/>
      <c r="Q70" s="34"/>
      <c r="R70" s="59">
        <f>IFERROR(+S70/Q70,0)</f>
        <v>0</v>
      </c>
      <c r="S70" s="122"/>
      <c r="U70" s="34"/>
      <c r="V70" s="59">
        <f>IFERROR(+W70/U70,0)</f>
        <v>0</v>
      </c>
      <c r="W70" s="122"/>
      <c r="Y70" s="34"/>
      <c r="Z70" s="59">
        <f>IFERROR(+AA70/Y70,0)</f>
        <v>0</v>
      </c>
      <c r="AA70" s="122"/>
      <c r="AC70" s="34"/>
      <c r="AD70" s="59">
        <f>IFERROR(+AE70/AC70,0)</f>
        <v>0</v>
      </c>
      <c r="AE70" s="122"/>
      <c r="AG70" s="34"/>
      <c r="AH70" s="59">
        <f>IFERROR(+AI70/AG70,0)</f>
        <v>0</v>
      </c>
      <c r="AI70" s="122"/>
      <c r="AK70" s="34"/>
      <c r="AL70" s="59">
        <f>IFERROR(+AM70/AK70,0)</f>
        <v>0</v>
      </c>
      <c r="AM70" s="122"/>
      <c r="AO70" s="34"/>
      <c r="AP70" s="59">
        <f>IFERROR(+AQ70/AO70,0)</f>
        <v>0</v>
      </c>
      <c r="AQ70" s="122"/>
      <c r="AS70" s="34"/>
      <c r="AT70" s="59">
        <f>IFERROR(+AU70/AS70,0)</f>
        <v>0</v>
      </c>
      <c r="AU70" s="122"/>
      <c r="AW70" s="34"/>
      <c r="AX70" s="59">
        <f>IFERROR(+AY70/AW70,0)</f>
        <v>0</v>
      </c>
      <c r="AY70" s="122"/>
      <c r="BA70" s="34"/>
      <c r="BB70" s="59">
        <f>IFERROR(+BC70/BA70,0)</f>
        <v>0</v>
      </c>
      <c r="BC70" s="122"/>
      <c r="BE70" s="61">
        <f>+I70+M70+Q70++U70+Y70+AC70+AG70+AK70+AO70+AS70+AW70+BA70</f>
        <v>0</v>
      </c>
      <c r="BF70" s="60">
        <f>IFERROR(+BG70/BE70,0)</f>
        <v>0</v>
      </c>
      <c r="BG70" s="61">
        <f>+K70+O70+S70+W70+AA70+AE70+AI70+AM70+AQ70+AU70+AY70+BC70</f>
        <v>0</v>
      </c>
    </row>
    <row r="71" spans="1:59" ht="21" hidden="1" customHeight="1" x14ac:dyDescent="0.3">
      <c r="A71" s="11"/>
      <c r="B71" s="330" t="s">
        <v>227</v>
      </c>
      <c r="C71" s="331"/>
      <c r="D71" s="331"/>
      <c r="E71" s="331"/>
      <c r="F71" s="331"/>
      <c r="G71" s="332"/>
      <c r="H71" s="35"/>
      <c r="I71" s="61">
        <f>SUM(I64:I70)</f>
        <v>0</v>
      </c>
      <c r="J71" s="60">
        <f t="shared" ref="J71" si="100">IFERROR(+K71/I71,0)</f>
        <v>0</v>
      </c>
      <c r="K71" s="61">
        <f>SUM(K64:K70)</f>
        <v>0</v>
      </c>
      <c r="M71" s="61">
        <f>SUM(M64:M70)</f>
        <v>0</v>
      </c>
      <c r="N71" s="60">
        <f t="shared" ref="N71" si="101">IFERROR(+O71/M71,0)</f>
        <v>0</v>
      </c>
      <c r="O71" s="61">
        <f>SUM(O64:O70)</f>
        <v>0</v>
      </c>
      <c r="Q71" s="61">
        <f>SUM(Q64:Q70)</f>
        <v>0</v>
      </c>
      <c r="R71" s="60">
        <f t="shared" ref="R71" si="102">IFERROR(+S71/Q71,0)</f>
        <v>0</v>
      </c>
      <c r="S71" s="61">
        <f>SUM(S64:S70)</f>
        <v>0</v>
      </c>
      <c r="U71" s="61">
        <f>SUM(U64:U70)</f>
        <v>0</v>
      </c>
      <c r="V71" s="60">
        <f t="shared" ref="V71" si="103">IFERROR(+W71/U71,0)</f>
        <v>0</v>
      </c>
      <c r="W71" s="61">
        <f>SUM(W64:W70)</f>
        <v>0</v>
      </c>
      <c r="Y71" s="61">
        <f>SUM(Y64:Y70)</f>
        <v>0</v>
      </c>
      <c r="Z71" s="60">
        <f t="shared" ref="Z71" si="104">IFERROR(+AA71/Y71,0)</f>
        <v>0</v>
      </c>
      <c r="AA71" s="61">
        <f>SUM(AA64:AA70)</f>
        <v>0</v>
      </c>
      <c r="AC71" s="61">
        <f>SUM(AC64:AC70)</f>
        <v>0</v>
      </c>
      <c r="AD71" s="60">
        <f t="shared" ref="AD71" si="105">IFERROR(+AE71/AC71,0)</f>
        <v>0</v>
      </c>
      <c r="AE71" s="61">
        <f>SUM(AE64:AE70)</f>
        <v>0</v>
      </c>
      <c r="AG71" s="61">
        <f>SUM(AG64:AG70)</f>
        <v>0</v>
      </c>
      <c r="AH71" s="60">
        <f t="shared" ref="AH71" si="106">IFERROR(+AI71/AG71,0)</f>
        <v>0</v>
      </c>
      <c r="AI71" s="61">
        <f>SUM(AI64:AI70)</f>
        <v>0</v>
      </c>
      <c r="AK71" s="61">
        <f>SUM(AK64:AK70)</f>
        <v>0</v>
      </c>
      <c r="AL71" s="60">
        <f t="shared" ref="AL71" si="107">IFERROR(+AM71/AK71,0)</f>
        <v>0</v>
      </c>
      <c r="AM71" s="61">
        <f>SUM(AM64:AM70)</f>
        <v>0</v>
      </c>
      <c r="AO71" s="61">
        <f>SUM(AO64:AO70)</f>
        <v>0</v>
      </c>
      <c r="AP71" s="60">
        <f t="shared" ref="AP71" si="108">IFERROR(+AQ71/AO71,0)</f>
        <v>0</v>
      </c>
      <c r="AQ71" s="61">
        <f>SUM(AQ64:AQ70)</f>
        <v>0</v>
      </c>
      <c r="AS71" s="61">
        <f>SUM(AS64:AS70)</f>
        <v>0</v>
      </c>
      <c r="AT71" s="60">
        <f t="shared" ref="AT71" si="109">IFERROR(+AU71/AS71,0)</f>
        <v>0</v>
      </c>
      <c r="AU71" s="61">
        <f>SUM(AU64:AU70)</f>
        <v>0</v>
      </c>
      <c r="AW71" s="61">
        <f>SUM(AW64:AW70)</f>
        <v>0</v>
      </c>
      <c r="AX71" s="60">
        <f t="shared" ref="AX71" si="110">IFERROR(+AY71/AW71,0)</f>
        <v>0</v>
      </c>
      <c r="AY71" s="61">
        <f>SUM(AY64:AY70)</f>
        <v>0</v>
      </c>
      <c r="BA71" s="61">
        <f>SUM(BA64:BA70)</f>
        <v>0</v>
      </c>
      <c r="BB71" s="60">
        <f t="shared" ref="BB71" si="111">IFERROR(+BC71/BA71,0)</f>
        <v>0</v>
      </c>
      <c r="BC71" s="61">
        <f>SUM(BC64:BC70)</f>
        <v>0</v>
      </c>
      <c r="BE71" s="61">
        <f>SUM(BE64:BE70)</f>
        <v>0</v>
      </c>
      <c r="BF71" s="60">
        <f t="shared" ref="BF71" si="112">IFERROR(+BG71/BE71,0)</f>
        <v>0</v>
      </c>
      <c r="BG71" s="61">
        <f>SUM(BG64:BG70)</f>
        <v>0</v>
      </c>
    </row>
    <row r="72" spans="1:59" hidden="1" x14ac:dyDescent="0.3"/>
    <row r="73" spans="1:59" ht="36" hidden="1" customHeight="1" x14ac:dyDescent="0.3">
      <c r="B73" s="338" t="s">
        <v>238</v>
      </c>
      <c r="C73" s="338"/>
      <c r="D73" s="338"/>
      <c r="E73" s="338"/>
      <c r="F73" s="338"/>
      <c r="G73" s="338"/>
      <c r="H73" s="338"/>
      <c r="I73" s="338"/>
      <c r="J73" s="338"/>
    </row>
    <row r="74" spans="1:59" hidden="1" x14ac:dyDescent="0.3"/>
    <row r="75" spans="1:59" ht="21" hidden="1" customHeight="1" x14ac:dyDescent="0.3">
      <c r="A75" s="11"/>
      <c r="B75" s="322" t="s">
        <v>894</v>
      </c>
      <c r="C75" s="322" t="s">
        <v>895</v>
      </c>
      <c r="D75" s="325" t="s">
        <v>235</v>
      </c>
      <c r="E75" s="322" t="s">
        <v>232</v>
      </c>
      <c r="F75" s="329" t="s">
        <v>233</v>
      </c>
      <c r="G75" s="351" t="s">
        <v>234</v>
      </c>
      <c r="H75" s="36"/>
      <c r="I75" s="328" t="str">
        <f>+"Enero "&amp;$I$6&amp;""</f>
        <v>Enero 2025</v>
      </c>
      <c r="J75" s="328"/>
      <c r="K75" s="328"/>
      <c r="M75" s="328" t="str">
        <f>+"Febrero "&amp;$I$6&amp;""</f>
        <v>Febrero 2025</v>
      </c>
      <c r="N75" s="328"/>
      <c r="O75" s="328"/>
      <c r="Q75" s="328" t="str">
        <f>+"Marzo "&amp;$I$6&amp;""</f>
        <v>Marzo 2025</v>
      </c>
      <c r="R75" s="328"/>
      <c r="S75" s="328"/>
      <c r="U75" s="328" t="str">
        <f>+"Abril "&amp;$I$6&amp;""</f>
        <v>Abril 2025</v>
      </c>
      <c r="V75" s="328"/>
      <c r="W75" s="328"/>
      <c r="Y75" s="328" t="str">
        <f>+"Mayo "&amp;$I$6&amp;""</f>
        <v>Mayo 2025</v>
      </c>
      <c r="Z75" s="328"/>
      <c r="AA75" s="328"/>
      <c r="AC75" s="328" t="str">
        <f>+"Junio "&amp;$I$6&amp;""</f>
        <v>Junio 2025</v>
      </c>
      <c r="AD75" s="328"/>
      <c r="AE75" s="328"/>
      <c r="AG75" s="328" t="str">
        <f>+"Julio "&amp;$I$6&amp;""</f>
        <v>Julio 2025</v>
      </c>
      <c r="AH75" s="328"/>
      <c r="AI75" s="328"/>
      <c r="AK75" s="328" t="str">
        <f>+"Agosto "&amp;$I$6&amp;""</f>
        <v>Agosto 2025</v>
      </c>
      <c r="AL75" s="328"/>
      <c r="AM75" s="328"/>
      <c r="AO75" s="328" t="str">
        <f>+"Septiembre "&amp;$I$6&amp;""</f>
        <v>Septiembre 2025</v>
      </c>
      <c r="AP75" s="328"/>
      <c r="AQ75" s="328"/>
      <c r="AS75" s="328" t="str">
        <f>+"Octubre "&amp;$I$6&amp;""</f>
        <v>Octubre 2025</v>
      </c>
      <c r="AT75" s="328"/>
      <c r="AU75" s="328"/>
      <c r="AW75" s="328" t="str">
        <f>+"Noviembre "&amp;$I$6&amp;""</f>
        <v>Noviembre 2025</v>
      </c>
      <c r="AX75" s="328"/>
      <c r="AY75" s="328"/>
      <c r="BA75" s="328" t="str">
        <f>+"Diciembre "&amp;$I$6&amp;""</f>
        <v>Diciembre 2025</v>
      </c>
      <c r="BB75" s="328"/>
      <c r="BC75" s="328"/>
      <c r="BE75" s="328" t="str">
        <f>+"Acumulado "&amp;$I$6&amp;""</f>
        <v>Acumulado 2025</v>
      </c>
      <c r="BF75" s="328"/>
      <c r="BG75" s="328"/>
    </row>
    <row r="76" spans="1:59" ht="21" hidden="1" customHeight="1" x14ac:dyDescent="0.3">
      <c r="A76" s="11"/>
      <c r="B76" s="324"/>
      <c r="C76" s="324"/>
      <c r="D76" s="327"/>
      <c r="E76" s="324"/>
      <c r="F76" s="329"/>
      <c r="G76" s="329"/>
      <c r="H76" s="36"/>
      <c r="I76" s="222" t="s">
        <v>984</v>
      </c>
      <c r="J76" s="58" t="s">
        <v>61</v>
      </c>
      <c r="K76" s="58" t="s">
        <v>62</v>
      </c>
      <c r="M76" s="222" t="s">
        <v>984</v>
      </c>
      <c r="N76" s="58" t="s">
        <v>61</v>
      </c>
      <c r="O76" s="58" t="s">
        <v>62</v>
      </c>
      <c r="Q76" s="222" t="s">
        <v>984</v>
      </c>
      <c r="R76" s="58" t="s">
        <v>61</v>
      </c>
      <c r="S76" s="58" t="s">
        <v>62</v>
      </c>
      <c r="U76" s="222" t="s">
        <v>984</v>
      </c>
      <c r="V76" s="58" t="s">
        <v>61</v>
      </c>
      <c r="W76" s="58" t="s">
        <v>62</v>
      </c>
      <c r="Y76" s="222" t="s">
        <v>984</v>
      </c>
      <c r="Z76" s="58" t="s">
        <v>61</v>
      </c>
      <c r="AA76" s="58" t="s">
        <v>62</v>
      </c>
      <c r="AC76" s="222" t="s">
        <v>984</v>
      </c>
      <c r="AD76" s="58" t="s">
        <v>61</v>
      </c>
      <c r="AE76" s="58" t="s">
        <v>62</v>
      </c>
      <c r="AG76" s="222" t="s">
        <v>984</v>
      </c>
      <c r="AH76" s="58" t="s">
        <v>61</v>
      </c>
      <c r="AI76" s="58" t="s">
        <v>62</v>
      </c>
      <c r="AK76" s="222" t="s">
        <v>984</v>
      </c>
      <c r="AL76" s="58" t="s">
        <v>61</v>
      </c>
      <c r="AM76" s="58" t="s">
        <v>62</v>
      </c>
      <c r="AO76" s="222" t="s">
        <v>984</v>
      </c>
      <c r="AP76" s="58" t="s">
        <v>61</v>
      </c>
      <c r="AQ76" s="58" t="s">
        <v>62</v>
      </c>
      <c r="AS76" s="222" t="s">
        <v>984</v>
      </c>
      <c r="AT76" s="58" t="s">
        <v>61</v>
      </c>
      <c r="AU76" s="58" t="s">
        <v>62</v>
      </c>
      <c r="AW76" s="222" t="s">
        <v>984</v>
      </c>
      <c r="AX76" s="58" t="s">
        <v>61</v>
      </c>
      <c r="AY76" s="58" t="s">
        <v>62</v>
      </c>
      <c r="BA76" s="222" t="s">
        <v>984</v>
      </c>
      <c r="BB76" s="58" t="s">
        <v>61</v>
      </c>
      <c r="BC76" s="58" t="s">
        <v>62</v>
      </c>
      <c r="BE76" s="222" t="s">
        <v>984</v>
      </c>
      <c r="BF76" s="58" t="s">
        <v>61</v>
      </c>
      <c r="BG76" s="58" t="s">
        <v>62</v>
      </c>
    </row>
    <row r="77" spans="1:59" ht="21" hidden="1" customHeight="1" x14ac:dyDescent="0.3">
      <c r="A77" s="11"/>
      <c r="B77" s="181"/>
      <c r="C77" s="34"/>
      <c r="D77" s="34"/>
      <c r="E77" s="34"/>
      <c r="F77" s="34"/>
      <c r="G77" s="57"/>
      <c r="H77" s="35"/>
      <c r="I77" s="34"/>
      <c r="J77" s="59">
        <f>IFERROR(+K77/I77,0)</f>
        <v>0</v>
      </c>
      <c r="K77" s="122"/>
      <c r="M77" s="34"/>
      <c r="N77" s="59">
        <f>IFERROR(+O77/M77,0)</f>
        <v>0</v>
      </c>
      <c r="O77" s="122"/>
      <c r="Q77" s="34"/>
      <c r="R77" s="59">
        <f>IFERROR(+S77/Q77,0)</f>
        <v>0</v>
      </c>
      <c r="S77" s="122"/>
      <c r="U77" s="34"/>
      <c r="V77" s="59">
        <f>IFERROR(+W77/U77,0)</f>
        <v>0</v>
      </c>
      <c r="W77" s="122"/>
      <c r="Y77" s="34"/>
      <c r="Z77" s="59">
        <f>IFERROR(+AA77/Y77,0)</f>
        <v>0</v>
      </c>
      <c r="AA77" s="122"/>
      <c r="AC77" s="34"/>
      <c r="AD77" s="59">
        <f>IFERROR(+AE77/AC77,0)</f>
        <v>0</v>
      </c>
      <c r="AE77" s="122"/>
      <c r="AG77" s="34"/>
      <c r="AH77" s="59">
        <f>IFERROR(+AI77/AG77,0)</f>
        <v>0</v>
      </c>
      <c r="AI77" s="122"/>
      <c r="AK77" s="34"/>
      <c r="AL77" s="59">
        <f>IFERROR(+AM77/AK77,0)</f>
        <v>0</v>
      </c>
      <c r="AM77" s="122"/>
      <c r="AO77" s="34"/>
      <c r="AP77" s="59">
        <f>IFERROR(+AQ77/AO77,0)</f>
        <v>0</v>
      </c>
      <c r="AQ77" s="122"/>
      <c r="AS77" s="34"/>
      <c r="AT77" s="59">
        <f>IFERROR(+AU77/AS77,0)</f>
        <v>0</v>
      </c>
      <c r="AU77" s="122"/>
      <c r="AW77" s="34"/>
      <c r="AX77" s="59">
        <f>IFERROR(+AY77/AW77,0)</f>
        <v>0</v>
      </c>
      <c r="AY77" s="122"/>
      <c r="BA77" s="34"/>
      <c r="BB77" s="59">
        <f>IFERROR(+BC77/BA77,0)</f>
        <v>0</v>
      </c>
      <c r="BC77" s="122"/>
      <c r="BE77" s="61">
        <f>+I77+M77+Q77++U77+Y77+AC77+AG77+AK77+AO77+AS77+AW77+BA77</f>
        <v>0</v>
      </c>
      <c r="BF77" s="60">
        <f>IFERROR(+BG77/BE77,0)</f>
        <v>0</v>
      </c>
      <c r="BG77" s="61">
        <f>+K77+O77+S77+W77+AA77+AE77+AI77+AM77+AQ77+AU77+AY77+BC77</f>
        <v>0</v>
      </c>
    </row>
    <row r="78" spans="1:59" ht="21" hidden="1" customHeight="1" x14ac:dyDescent="0.3">
      <c r="A78" s="11"/>
      <c r="B78" s="181"/>
      <c r="C78" s="34"/>
      <c r="D78" s="34"/>
      <c r="E78" s="34"/>
      <c r="F78" s="34"/>
      <c r="G78" s="57"/>
      <c r="H78" s="35"/>
      <c r="I78" s="34"/>
      <c r="J78" s="59">
        <f t="shared" ref="J78:J82" si="113">IFERROR(+K78/I78,0)</f>
        <v>0</v>
      </c>
      <c r="K78" s="122"/>
      <c r="M78" s="34"/>
      <c r="N78" s="59">
        <f t="shared" ref="N78:N82" si="114">IFERROR(+O78/M78,0)</f>
        <v>0</v>
      </c>
      <c r="O78" s="122"/>
      <c r="Q78" s="34"/>
      <c r="R78" s="59">
        <f t="shared" ref="R78:R82" si="115">IFERROR(+S78/Q78,0)</f>
        <v>0</v>
      </c>
      <c r="S78" s="122"/>
      <c r="U78" s="34"/>
      <c r="V78" s="59">
        <f t="shared" ref="V78:V82" si="116">IFERROR(+W78/U78,0)</f>
        <v>0</v>
      </c>
      <c r="W78" s="122"/>
      <c r="Y78" s="34"/>
      <c r="Z78" s="59">
        <f t="shared" ref="Z78:Z82" si="117">IFERROR(+AA78/Y78,0)</f>
        <v>0</v>
      </c>
      <c r="AA78" s="122"/>
      <c r="AC78" s="34"/>
      <c r="AD78" s="59">
        <f t="shared" ref="AD78:AD82" si="118">IFERROR(+AE78/AC78,0)</f>
        <v>0</v>
      </c>
      <c r="AE78" s="122"/>
      <c r="AG78" s="34"/>
      <c r="AH78" s="59">
        <f t="shared" ref="AH78:AH82" si="119">IFERROR(+AI78/AG78,0)</f>
        <v>0</v>
      </c>
      <c r="AI78" s="122"/>
      <c r="AK78" s="34"/>
      <c r="AL78" s="59">
        <f t="shared" ref="AL78:AL82" si="120">IFERROR(+AM78/AK78,0)</f>
        <v>0</v>
      </c>
      <c r="AM78" s="122"/>
      <c r="AO78" s="34"/>
      <c r="AP78" s="59">
        <f t="shared" ref="AP78:AP82" si="121">IFERROR(+AQ78/AO78,0)</f>
        <v>0</v>
      </c>
      <c r="AQ78" s="122"/>
      <c r="AS78" s="34"/>
      <c r="AT78" s="59">
        <f t="shared" ref="AT78:AT82" si="122">IFERROR(+AU78/AS78,0)</f>
        <v>0</v>
      </c>
      <c r="AU78" s="122"/>
      <c r="AW78" s="34"/>
      <c r="AX78" s="59">
        <f t="shared" ref="AX78:AX82" si="123">IFERROR(+AY78/AW78,0)</f>
        <v>0</v>
      </c>
      <c r="AY78" s="122"/>
      <c r="BA78" s="34"/>
      <c r="BB78" s="59">
        <f t="shared" ref="BB78:BB82" si="124">IFERROR(+BC78/BA78,0)</f>
        <v>0</v>
      </c>
      <c r="BC78" s="122"/>
      <c r="BE78" s="61">
        <f t="shared" ref="BE78:BE82" si="125">+I78+M78+Q78++U78+Y78+AC78+AG78+AK78+AO78+AS78+AW78+BA78</f>
        <v>0</v>
      </c>
      <c r="BF78" s="60">
        <f t="shared" ref="BF78:BF82" si="126">IFERROR(+BG78/BE78,0)</f>
        <v>0</v>
      </c>
      <c r="BG78" s="61">
        <f t="shared" ref="BG78:BG82" si="127">+K78+O78+S78+W78+AA78+AE78+AI78+AM78+AQ78+AU78+AY78+BC78</f>
        <v>0</v>
      </c>
    </row>
    <row r="79" spans="1:59" ht="21" hidden="1" customHeight="1" x14ac:dyDescent="0.3">
      <c r="A79" s="11"/>
      <c r="B79" s="181"/>
      <c r="C79" s="34"/>
      <c r="D79" s="34"/>
      <c r="E79" s="34"/>
      <c r="F79" s="34"/>
      <c r="G79" s="57"/>
      <c r="H79" s="35"/>
      <c r="I79" s="34"/>
      <c r="J79" s="59">
        <f t="shared" si="113"/>
        <v>0</v>
      </c>
      <c r="K79" s="122"/>
      <c r="M79" s="34"/>
      <c r="N79" s="59">
        <f t="shared" si="114"/>
        <v>0</v>
      </c>
      <c r="O79" s="122"/>
      <c r="Q79" s="34"/>
      <c r="R79" s="59">
        <f t="shared" si="115"/>
        <v>0</v>
      </c>
      <c r="S79" s="122"/>
      <c r="U79" s="34"/>
      <c r="V79" s="59">
        <f t="shared" si="116"/>
        <v>0</v>
      </c>
      <c r="W79" s="122"/>
      <c r="Y79" s="34"/>
      <c r="Z79" s="59">
        <f t="shared" si="117"/>
        <v>0</v>
      </c>
      <c r="AA79" s="122"/>
      <c r="AC79" s="34"/>
      <c r="AD79" s="59">
        <f t="shared" si="118"/>
        <v>0</v>
      </c>
      <c r="AE79" s="122"/>
      <c r="AG79" s="34"/>
      <c r="AH79" s="59">
        <f t="shared" si="119"/>
        <v>0</v>
      </c>
      <c r="AI79" s="122"/>
      <c r="AK79" s="34"/>
      <c r="AL79" s="59">
        <f t="shared" si="120"/>
        <v>0</v>
      </c>
      <c r="AM79" s="122"/>
      <c r="AO79" s="34"/>
      <c r="AP79" s="59">
        <f t="shared" si="121"/>
        <v>0</v>
      </c>
      <c r="AQ79" s="122"/>
      <c r="AS79" s="34"/>
      <c r="AT79" s="59">
        <f t="shared" si="122"/>
        <v>0</v>
      </c>
      <c r="AU79" s="122"/>
      <c r="AW79" s="34"/>
      <c r="AX79" s="59">
        <f t="shared" si="123"/>
        <v>0</v>
      </c>
      <c r="AY79" s="122"/>
      <c r="BA79" s="34"/>
      <c r="BB79" s="59">
        <f t="shared" si="124"/>
        <v>0</v>
      </c>
      <c r="BC79" s="122"/>
      <c r="BE79" s="61">
        <f t="shared" si="125"/>
        <v>0</v>
      </c>
      <c r="BF79" s="60">
        <f t="shared" si="126"/>
        <v>0</v>
      </c>
      <c r="BG79" s="61">
        <f t="shared" si="127"/>
        <v>0</v>
      </c>
    </row>
    <row r="80" spans="1:59" ht="21" hidden="1" customHeight="1" x14ac:dyDescent="0.3">
      <c r="A80" s="11"/>
      <c r="B80" s="181"/>
      <c r="C80" s="34"/>
      <c r="D80" s="34"/>
      <c r="E80" s="34"/>
      <c r="F80" s="34"/>
      <c r="G80" s="57"/>
      <c r="H80" s="35"/>
      <c r="I80" s="34"/>
      <c r="J80" s="59">
        <f t="shared" si="113"/>
        <v>0</v>
      </c>
      <c r="K80" s="122"/>
      <c r="M80" s="34"/>
      <c r="N80" s="59">
        <f t="shared" si="114"/>
        <v>0</v>
      </c>
      <c r="O80" s="122"/>
      <c r="Q80" s="34"/>
      <c r="R80" s="59">
        <f t="shared" si="115"/>
        <v>0</v>
      </c>
      <c r="S80" s="122"/>
      <c r="U80" s="34"/>
      <c r="V80" s="59">
        <f t="shared" si="116"/>
        <v>0</v>
      </c>
      <c r="W80" s="122"/>
      <c r="Y80" s="34"/>
      <c r="Z80" s="59">
        <f t="shared" si="117"/>
        <v>0</v>
      </c>
      <c r="AA80" s="122"/>
      <c r="AC80" s="34"/>
      <c r="AD80" s="59">
        <f t="shared" si="118"/>
        <v>0</v>
      </c>
      <c r="AE80" s="122"/>
      <c r="AG80" s="34"/>
      <c r="AH80" s="59">
        <f t="shared" si="119"/>
        <v>0</v>
      </c>
      <c r="AI80" s="122"/>
      <c r="AK80" s="34"/>
      <c r="AL80" s="59">
        <f t="shared" si="120"/>
        <v>0</v>
      </c>
      <c r="AM80" s="122"/>
      <c r="AO80" s="34"/>
      <c r="AP80" s="59">
        <f t="shared" si="121"/>
        <v>0</v>
      </c>
      <c r="AQ80" s="122"/>
      <c r="AS80" s="34"/>
      <c r="AT80" s="59">
        <f t="shared" si="122"/>
        <v>0</v>
      </c>
      <c r="AU80" s="122"/>
      <c r="AW80" s="34"/>
      <c r="AX80" s="59">
        <f t="shared" si="123"/>
        <v>0</v>
      </c>
      <c r="AY80" s="122"/>
      <c r="BA80" s="34"/>
      <c r="BB80" s="59">
        <f t="shared" si="124"/>
        <v>0</v>
      </c>
      <c r="BC80" s="122"/>
      <c r="BE80" s="61">
        <f t="shared" si="125"/>
        <v>0</v>
      </c>
      <c r="BF80" s="60">
        <f t="shared" si="126"/>
        <v>0</v>
      </c>
      <c r="BG80" s="61">
        <f t="shared" si="127"/>
        <v>0</v>
      </c>
    </row>
    <row r="81" spans="1:59" ht="21" hidden="1" customHeight="1" x14ac:dyDescent="0.3">
      <c r="A81" s="11"/>
      <c r="B81" s="181"/>
      <c r="C81" s="34"/>
      <c r="D81" s="34"/>
      <c r="E81" s="34"/>
      <c r="F81" s="34"/>
      <c r="G81" s="57"/>
      <c r="H81" s="35"/>
      <c r="I81" s="34"/>
      <c r="J81" s="59">
        <f t="shared" si="113"/>
        <v>0</v>
      </c>
      <c r="K81" s="122"/>
      <c r="M81" s="34"/>
      <c r="N81" s="59">
        <f t="shared" si="114"/>
        <v>0</v>
      </c>
      <c r="O81" s="122"/>
      <c r="Q81" s="34"/>
      <c r="R81" s="59">
        <f t="shared" si="115"/>
        <v>0</v>
      </c>
      <c r="S81" s="122"/>
      <c r="U81" s="34"/>
      <c r="V81" s="59">
        <f t="shared" si="116"/>
        <v>0</v>
      </c>
      <c r="W81" s="122"/>
      <c r="Y81" s="34"/>
      <c r="Z81" s="59">
        <f t="shared" si="117"/>
        <v>0</v>
      </c>
      <c r="AA81" s="122"/>
      <c r="AC81" s="34"/>
      <c r="AD81" s="59">
        <f t="shared" si="118"/>
        <v>0</v>
      </c>
      <c r="AE81" s="122"/>
      <c r="AG81" s="34"/>
      <c r="AH81" s="59">
        <f t="shared" si="119"/>
        <v>0</v>
      </c>
      <c r="AI81" s="122"/>
      <c r="AK81" s="34"/>
      <c r="AL81" s="59">
        <f t="shared" si="120"/>
        <v>0</v>
      </c>
      <c r="AM81" s="122"/>
      <c r="AO81" s="34"/>
      <c r="AP81" s="59">
        <f t="shared" si="121"/>
        <v>0</v>
      </c>
      <c r="AQ81" s="122"/>
      <c r="AS81" s="34"/>
      <c r="AT81" s="59">
        <f t="shared" si="122"/>
        <v>0</v>
      </c>
      <c r="AU81" s="122"/>
      <c r="AW81" s="34"/>
      <c r="AX81" s="59">
        <f t="shared" si="123"/>
        <v>0</v>
      </c>
      <c r="AY81" s="122"/>
      <c r="BA81" s="34"/>
      <c r="BB81" s="59">
        <f t="shared" si="124"/>
        <v>0</v>
      </c>
      <c r="BC81" s="122"/>
      <c r="BE81" s="61">
        <f t="shared" si="125"/>
        <v>0</v>
      </c>
      <c r="BF81" s="60">
        <f t="shared" si="126"/>
        <v>0</v>
      </c>
      <c r="BG81" s="61">
        <f t="shared" si="127"/>
        <v>0</v>
      </c>
    </row>
    <row r="82" spans="1:59" ht="21" hidden="1" customHeight="1" x14ac:dyDescent="0.3">
      <c r="A82" s="11"/>
      <c r="B82" s="181"/>
      <c r="C82" s="34"/>
      <c r="D82" s="34"/>
      <c r="E82" s="34"/>
      <c r="F82" s="34"/>
      <c r="G82" s="57"/>
      <c r="H82" s="35"/>
      <c r="I82" s="34"/>
      <c r="J82" s="59">
        <f t="shared" si="113"/>
        <v>0</v>
      </c>
      <c r="K82" s="122"/>
      <c r="M82" s="34"/>
      <c r="N82" s="59">
        <f t="shared" si="114"/>
        <v>0</v>
      </c>
      <c r="O82" s="122"/>
      <c r="Q82" s="34"/>
      <c r="R82" s="59">
        <f t="shared" si="115"/>
        <v>0</v>
      </c>
      <c r="S82" s="122"/>
      <c r="U82" s="34"/>
      <c r="V82" s="59">
        <f t="shared" si="116"/>
        <v>0</v>
      </c>
      <c r="W82" s="122"/>
      <c r="Y82" s="34"/>
      <c r="Z82" s="59">
        <f t="shared" si="117"/>
        <v>0</v>
      </c>
      <c r="AA82" s="122"/>
      <c r="AC82" s="34"/>
      <c r="AD82" s="59">
        <f t="shared" si="118"/>
        <v>0</v>
      </c>
      <c r="AE82" s="122"/>
      <c r="AG82" s="34"/>
      <c r="AH82" s="59">
        <f t="shared" si="119"/>
        <v>0</v>
      </c>
      <c r="AI82" s="122"/>
      <c r="AK82" s="34"/>
      <c r="AL82" s="59">
        <f t="shared" si="120"/>
        <v>0</v>
      </c>
      <c r="AM82" s="122"/>
      <c r="AO82" s="34"/>
      <c r="AP82" s="59">
        <f t="shared" si="121"/>
        <v>0</v>
      </c>
      <c r="AQ82" s="122"/>
      <c r="AS82" s="34"/>
      <c r="AT82" s="59">
        <f t="shared" si="122"/>
        <v>0</v>
      </c>
      <c r="AU82" s="122"/>
      <c r="AW82" s="34"/>
      <c r="AX82" s="59">
        <f t="shared" si="123"/>
        <v>0</v>
      </c>
      <c r="AY82" s="122"/>
      <c r="BA82" s="34"/>
      <c r="BB82" s="59">
        <f t="shared" si="124"/>
        <v>0</v>
      </c>
      <c r="BC82" s="122"/>
      <c r="BE82" s="61">
        <f t="shared" si="125"/>
        <v>0</v>
      </c>
      <c r="BF82" s="60">
        <f t="shared" si="126"/>
        <v>0</v>
      </c>
      <c r="BG82" s="61">
        <f t="shared" si="127"/>
        <v>0</v>
      </c>
    </row>
    <row r="83" spans="1:59" ht="21" hidden="1" customHeight="1" x14ac:dyDescent="0.3">
      <c r="A83" s="11"/>
      <c r="B83" s="181"/>
      <c r="C83" s="34"/>
      <c r="D83" s="34"/>
      <c r="E83" s="34"/>
      <c r="F83" s="34"/>
      <c r="G83" s="57" t="str">
        <f>IFERROR(+VLOOKUP(F83,Datos!$P:$Q,2,0),"")</f>
        <v/>
      </c>
      <c r="H83" s="35"/>
      <c r="I83" s="34"/>
      <c r="J83" s="59">
        <f>IFERROR(+K83/I83,0)</f>
        <v>0</v>
      </c>
      <c r="K83" s="122"/>
      <c r="M83" s="34"/>
      <c r="N83" s="59">
        <f>IFERROR(+O83/M83,0)</f>
        <v>0</v>
      </c>
      <c r="O83" s="122"/>
      <c r="Q83" s="34"/>
      <c r="R83" s="59">
        <f>IFERROR(+S83/Q83,0)</f>
        <v>0</v>
      </c>
      <c r="S83" s="122"/>
      <c r="U83" s="34"/>
      <c r="V83" s="59">
        <f>IFERROR(+W83/U83,0)</f>
        <v>0</v>
      </c>
      <c r="W83" s="122"/>
      <c r="Y83" s="34"/>
      <c r="Z83" s="59">
        <f>IFERROR(+AA83/Y83,0)</f>
        <v>0</v>
      </c>
      <c r="AA83" s="122"/>
      <c r="AC83" s="34"/>
      <c r="AD83" s="59">
        <f>IFERROR(+AE83/AC83,0)</f>
        <v>0</v>
      </c>
      <c r="AE83" s="122"/>
      <c r="AG83" s="34"/>
      <c r="AH83" s="59">
        <f>IFERROR(+AI83/AG83,0)</f>
        <v>0</v>
      </c>
      <c r="AI83" s="122"/>
      <c r="AK83" s="34"/>
      <c r="AL83" s="59">
        <f>IFERROR(+AM83/AK83,0)</f>
        <v>0</v>
      </c>
      <c r="AM83" s="122"/>
      <c r="AO83" s="34"/>
      <c r="AP83" s="59">
        <f>IFERROR(+AQ83/AO83,0)</f>
        <v>0</v>
      </c>
      <c r="AQ83" s="122"/>
      <c r="AS83" s="34"/>
      <c r="AT83" s="59">
        <f>IFERROR(+AU83/AS83,0)</f>
        <v>0</v>
      </c>
      <c r="AU83" s="122"/>
      <c r="AW83" s="34"/>
      <c r="AX83" s="59">
        <f>IFERROR(+AY83/AW83,0)</f>
        <v>0</v>
      </c>
      <c r="AY83" s="122"/>
      <c r="BA83" s="34"/>
      <c r="BB83" s="59">
        <f>IFERROR(+BC83/BA83,0)</f>
        <v>0</v>
      </c>
      <c r="BC83" s="122"/>
      <c r="BE83" s="61">
        <f>+I83+M83+Q83++U83+Y83+AC83+AG83+AK83+AO83+AS83+AW83+BA83</f>
        <v>0</v>
      </c>
      <c r="BF83" s="60">
        <f>IFERROR(+BG83/BE83,0)</f>
        <v>0</v>
      </c>
      <c r="BG83" s="61">
        <f>+K83+O83+S83+W83+AA83+AE83+AI83+AM83+AQ83+AU83+AY83+BC83</f>
        <v>0</v>
      </c>
    </row>
    <row r="84" spans="1:59" ht="21" hidden="1" customHeight="1" x14ac:dyDescent="0.3">
      <c r="A84" s="11"/>
      <c r="B84" s="330" t="s">
        <v>227</v>
      </c>
      <c r="C84" s="331"/>
      <c r="D84" s="331"/>
      <c r="E84" s="331"/>
      <c r="F84" s="331"/>
      <c r="G84" s="332"/>
      <c r="H84" s="35"/>
      <c r="I84" s="61">
        <f>SUM(I77:I83)</f>
        <v>0</v>
      </c>
      <c r="J84" s="60">
        <f t="shared" ref="J84" si="128">IFERROR(+K84/I84,0)</f>
        <v>0</v>
      </c>
      <c r="K84" s="61">
        <f>SUM(K77:K83)</f>
        <v>0</v>
      </c>
      <c r="M84" s="61">
        <f>SUM(M77:M83)</f>
        <v>0</v>
      </c>
      <c r="N84" s="60">
        <f t="shared" ref="N84" si="129">IFERROR(+O84/M84,0)</f>
        <v>0</v>
      </c>
      <c r="O84" s="61">
        <f>SUM(O77:O83)</f>
        <v>0</v>
      </c>
      <c r="Q84" s="61">
        <f>SUM(Q77:Q83)</f>
        <v>0</v>
      </c>
      <c r="R84" s="60">
        <f t="shared" ref="R84" si="130">IFERROR(+S84/Q84,0)</f>
        <v>0</v>
      </c>
      <c r="S84" s="61">
        <f>SUM(S77:S83)</f>
        <v>0</v>
      </c>
      <c r="U84" s="61">
        <f>SUM(U77:U83)</f>
        <v>0</v>
      </c>
      <c r="V84" s="60">
        <f t="shared" ref="V84" si="131">IFERROR(+W84/U84,0)</f>
        <v>0</v>
      </c>
      <c r="W84" s="61">
        <f>SUM(W77:W83)</f>
        <v>0</v>
      </c>
      <c r="Y84" s="61">
        <f>SUM(Y77:Y83)</f>
        <v>0</v>
      </c>
      <c r="Z84" s="60">
        <f t="shared" ref="Z84" si="132">IFERROR(+AA84/Y84,0)</f>
        <v>0</v>
      </c>
      <c r="AA84" s="61">
        <f>SUM(AA77:AA83)</f>
        <v>0</v>
      </c>
      <c r="AC84" s="61">
        <f>SUM(AC77:AC83)</f>
        <v>0</v>
      </c>
      <c r="AD84" s="60">
        <f t="shared" ref="AD84" si="133">IFERROR(+AE84/AC84,0)</f>
        <v>0</v>
      </c>
      <c r="AE84" s="61">
        <f>SUM(AE77:AE83)</f>
        <v>0</v>
      </c>
      <c r="AG84" s="61">
        <f>SUM(AG77:AG83)</f>
        <v>0</v>
      </c>
      <c r="AH84" s="60">
        <f t="shared" ref="AH84" si="134">IFERROR(+AI84/AG84,0)</f>
        <v>0</v>
      </c>
      <c r="AI84" s="61">
        <f>SUM(AI77:AI83)</f>
        <v>0</v>
      </c>
      <c r="AK84" s="61">
        <f>SUM(AK77:AK83)</f>
        <v>0</v>
      </c>
      <c r="AL84" s="60">
        <f t="shared" ref="AL84" si="135">IFERROR(+AM84/AK84,0)</f>
        <v>0</v>
      </c>
      <c r="AM84" s="61">
        <f>SUM(AM77:AM83)</f>
        <v>0</v>
      </c>
      <c r="AO84" s="61">
        <f>SUM(AO77:AO83)</f>
        <v>0</v>
      </c>
      <c r="AP84" s="60">
        <f t="shared" ref="AP84" si="136">IFERROR(+AQ84/AO84,0)</f>
        <v>0</v>
      </c>
      <c r="AQ84" s="61">
        <f>SUM(AQ77:AQ83)</f>
        <v>0</v>
      </c>
      <c r="AS84" s="61">
        <f>SUM(AS77:AS83)</f>
        <v>0</v>
      </c>
      <c r="AT84" s="60">
        <f t="shared" ref="AT84" si="137">IFERROR(+AU84/AS84,0)</f>
        <v>0</v>
      </c>
      <c r="AU84" s="61">
        <f>SUM(AU77:AU83)</f>
        <v>0</v>
      </c>
      <c r="AW84" s="61">
        <f>SUM(AW77:AW83)</f>
        <v>0</v>
      </c>
      <c r="AX84" s="60">
        <f t="shared" ref="AX84" si="138">IFERROR(+AY84/AW84,0)</f>
        <v>0</v>
      </c>
      <c r="AY84" s="61">
        <f>SUM(AY77:AY83)</f>
        <v>0</v>
      </c>
      <c r="BA84" s="61">
        <f>SUM(BA77:BA83)</f>
        <v>0</v>
      </c>
      <c r="BB84" s="60">
        <f t="shared" ref="BB84" si="139">IFERROR(+BC84/BA84,0)</f>
        <v>0</v>
      </c>
      <c r="BC84" s="61">
        <f>SUM(BC77:BC83)</f>
        <v>0</v>
      </c>
      <c r="BE84" s="61">
        <f>SUM(BE77:BE83)</f>
        <v>0</v>
      </c>
      <c r="BF84" s="60">
        <f t="shared" ref="BF84" si="140">IFERROR(+BG84/BE84,0)</f>
        <v>0</v>
      </c>
      <c r="BG84" s="61">
        <f>SUM(BG77:BG83)</f>
        <v>0</v>
      </c>
    </row>
    <row r="85" spans="1:59" hidden="1" x14ac:dyDescent="0.3"/>
    <row r="86" spans="1:59" ht="36" hidden="1" customHeight="1" x14ac:dyDescent="0.3">
      <c r="B86" s="338" t="s">
        <v>239</v>
      </c>
      <c r="C86" s="338"/>
      <c r="D86" s="338"/>
      <c r="E86" s="338"/>
      <c r="F86" s="338"/>
      <c r="G86" s="338"/>
      <c r="H86" s="338"/>
      <c r="I86" s="338"/>
      <c r="J86" s="338"/>
    </row>
    <row r="87" spans="1:59" hidden="1" x14ac:dyDescent="0.3"/>
    <row r="88" spans="1:59" ht="21" hidden="1" customHeight="1" x14ac:dyDescent="0.3">
      <c r="A88" s="11"/>
      <c r="B88" s="322" t="s">
        <v>894</v>
      </c>
      <c r="C88" s="322" t="s">
        <v>895</v>
      </c>
      <c r="D88" s="325" t="s">
        <v>235</v>
      </c>
      <c r="E88" s="322" t="s">
        <v>232</v>
      </c>
      <c r="F88" s="329" t="s">
        <v>233</v>
      </c>
      <c r="G88" s="351" t="s">
        <v>234</v>
      </c>
      <c r="H88" s="36"/>
      <c r="I88" s="328" t="str">
        <f>+"Enero "&amp;$I$6&amp;""</f>
        <v>Enero 2025</v>
      </c>
      <c r="J88" s="328"/>
      <c r="K88" s="328"/>
      <c r="M88" s="328" t="str">
        <f>+"Febrero "&amp;$I$6&amp;""</f>
        <v>Febrero 2025</v>
      </c>
      <c r="N88" s="328"/>
      <c r="O88" s="328"/>
      <c r="Q88" s="328" t="str">
        <f>+"Marzo "&amp;$I$6&amp;""</f>
        <v>Marzo 2025</v>
      </c>
      <c r="R88" s="328"/>
      <c r="S88" s="328"/>
      <c r="U88" s="328" t="str">
        <f>+"Abril "&amp;$I$6&amp;""</f>
        <v>Abril 2025</v>
      </c>
      <c r="V88" s="328"/>
      <c r="W88" s="328"/>
      <c r="Y88" s="328" t="str">
        <f>+"Mayo "&amp;$I$6&amp;""</f>
        <v>Mayo 2025</v>
      </c>
      <c r="Z88" s="328"/>
      <c r="AA88" s="328"/>
      <c r="AC88" s="328" t="str">
        <f>+"Junio "&amp;$I$6&amp;""</f>
        <v>Junio 2025</v>
      </c>
      <c r="AD88" s="328"/>
      <c r="AE88" s="328"/>
      <c r="AG88" s="328" t="str">
        <f>+"Julio "&amp;$I$6&amp;""</f>
        <v>Julio 2025</v>
      </c>
      <c r="AH88" s="328"/>
      <c r="AI88" s="328"/>
      <c r="AK88" s="328" t="str">
        <f>+"Agosto "&amp;$I$6&amp;""</f>
        <v>Agosto 2025</v>
      </c>
      <c r="AL88" s="328"/>
      <c r="AM88" s="328"/>
      <c r="AO88" s="328" t="str">
        <f>+"Septiembre "&amp;$I$6&amp;""</f>
        <v>Septiembre 2025</v>
      </c>
      <c r="AP88" s="328"/>
      <c r="AQ88" s="328"/>
      <c r="AS88" s="328" t="str">
        <f>+"Octubre "&amp;$I$6&amp;""</f>
        <v>Octubre 2025</v>
      </c>
      <c r="AT88" s="328"/>
      <c r="AU88" s="328"/>
      <c r="AW88" s="328" t="str">
        <f>+"Noviembre "&amp;$I$6&amp;""</f>
        <v>Noviembre 2025</v>
      </c>
      <c r="AX88" s="328"/>
      <c r="AY88" s="328"/>
      <c r="BA88" s="328" t="str">
        <f>+"Diciembre "&amp;$I$6&amp;""</f>
        <v>Diciembre 2025</v>
      </c>
      <c r="BB88" s="328"/>
      <c r="BC88" s="328"/>
      <c r="BE88" s="328" t="str">
        <f>+"Acumulado "&amp;$I$6&amp;""</f>
        <v>Acumulado 2025</v>
      </c>
      <c r="BF88" s="328"/>
      <c r="BG88" s="328"/>
    </row>
    <row r="89" spans="1:59" ht="21" hidden="1" customHeight="1" x14ac:dyDescent="0.3">
      <c r="A89" s="11"/>
      <c r="B89" s="324"/>
      <c r="C89" s="324"/>
      <c r="D89" s="327"/>
      <c r="E89" s="324"/>
      <c r="F89" s="329"/>
      <c r="G89" s="329"/>
      <c r="H89" s="36"/>
      <c r="I89" s="222" t="s">
        <v>985</v>
      </c>
      <c r="J89" s="58" t="s">
        <v>61</v>
      </c>
      <c r="K89" s="58" t="s">
        <v>62</v>
      </c>
      <c r="M89" s="222" t="s">
        <v>985</v>
      </c>
      <c r="N89" s="58" t="s">
        <v>61</v>
      </c>
      <c r="O89" s="58" t="s">
        <v>62</v>
      </c>
      <c r="Q89" s="222" t="s">
        <v>985</v>
      </c>
      <c r="R89" s="58" t="s">
        <v>61</v>
      </c>
      <c r="S89" s="58" t="s">
        <v>62</v>
      </c>
      <c r="U89" s="222" t="s">
        <v>985</v>
      </c>
      <c r="V89" s="58" t="s">
        <v>61</v>
      </c>
      <c r="W89" s="58" t="s">
        <v>62</v>
      </c>
      <c r="Y89" s="222" t="s">
        <v>985</v>
      </c>
      <c r="Z89" s="58" t="s">
        <v>61</v>
      </c>
      <c r="AA89" s="58" t="s">
        <v>62</v>
      </c>
      <c r="AC89" s="222" t="s">
        <v>985</v>
      </c>
      <c r="AD89" s="58" t="s">
        <v>61</v>
      </c>
      <c r="AE89" s="58" t="s">
        <v>62</v>
      </c>
      <c r="AG89" s="222" t="s">
        <v>985</v>
      </c>
      <c r="AH89" s="58" t="s">
        <v>61</v>
      </c>
      <c r="AI89" s="58" t="s">
        <v>62</v>
      </c>
      <c r="AK89" s="222" t="s">
        <v>985</v>
      </c>
      <c r="AL89" s="58" t="s">
        <v>61</v>
      </c>
      <c r="AM89" s="58" t="s">
        <v>62</v>
      </c>
      <c r="AO89" s="222" t="s">
        <v>985</v>
      </c>
      <c r="AP89" s="58" t="s">
        <v>61</v>
      </c>
      <c r="AQ89" s="58" t="s">
        <v>62</v>
      </c>
      <c r="AS89" s="222" t="s">
        <v>985</v>
      </c>
      <c r="AT89" s="58" t="s">
        <v>61</v>
      </c>
      <c r="AU89" s="58" t="s">
        <v>62</v>
      </c>
      <c r="AW89" s="222" t="s">
        <v>985</v>
      </c>
      <c r="AX89" s="58" t="s">
        <v>61</v>
      </c>
      <c r="AY89" s="58" t="s">
        <v>62</v>
      </c>
      <c r="BA89" s="222" t="s">
        <v>985</v>
      </c>
      <c r="BB89" s="58" t="s">
        <v>61</v>
      </c>
      <c r="BC89" s="58" t="s">
        <v>62</v>
      </c>
      <c r="BE89" s="222" t="s">
        <v>985</v>
      </c>
      <c r="BF89" s="58" t="s">
        <v>61</v>
      </c>
      <c r="BG89" s="58" t="s">
        <v>62</v>
      </c>
    </row>
    <row r="90" spans="1:59" ht="21" hidden="1" customHeight="1" x14ac:dyDescent="0.3">
      <c r="A90" s="11"/>
      <c r="B90" s="181"/>
      <c r="C90" s="34"/>
      <c r="D90" s="34"/>
      <c r="E90" s="34"/>
      <c r="F90" s="34"/>
      <c r="G90" s="57"/>
      <c r="H90" s="35"/>
      <c r="I90" s="34"/>
      <c r="J90" s="59">
        <f>IFERROR(+K90/I90,0)</f>
        <v>0</v>
      </c>
      <c r="K90" s="122"/>
      <c r="M90" s="34"/>
      <c r="N90" s="59">
        <f>IFERROR(+O90/M90,0)</f>
        <v>0</v>
      </c>
      <c r="O90" s="122"/>
      <c r="Q90" s="34"/>
      <c r="R90" s="59">
        <f>IFERROR(+S90/Q90,0)</f>
        <v>0</v>
      </c>
      <c r="S90" s="122"/>
      <c r="U90" s="34"/>
      <c r="V90" s="59">
        <f>IFERROR(+W90/U90,0)</f>
        <v>0</v>
      </c>
      <c r="W90" s="122"/>
      <c r="Y90" s="34"/>
      <c r="Z90" s="59">
        <f>IFERROR(+AA90/Y90,0)</f>
        <v>0</v>
      </c>
      <c r="AA90" s="122"/>
      <c r="AC90" s="34"/>
      <c r="AD90" s="59">
        <f>IFERROR(+AE90/AC90,0)</f>
        <v>0</v>
      </c>
      <c r="AE90" s="122"/>
      <c r="AG90" s="34"/>
      <c r="AH90" s="59">
        <f>IFERROR(+AI90/AG90,0)</f>
        <v>0</v>
      </c>
      <c r="AI90" s="122"/>
      <c r="AK90" s="34"/>
      <c r="AL90" s="59">
        <f>IFERROR(+AM90/AK90,0)</f>
        <v>0</v>
      </c>
      <c r="AM90" s="122"/>
      <c r="AO90" s="34"/>
      <c r="AP90" s="59">
        <f>IFERROR(+AQ90/AO90,0)</f>
        <v>0</v>
      </c>
      <c r="AQ90" s="122"/>
      <c r="AS90" s="34"/>
      <c r="AT90" s="59">
        <f>IFERROR(+AU90/AS90,0)</f>
        <v>0</v>
      </c>
      <c r="AU90" s="122"/>
      <c r="AW90" s="34"/>
      <c r="AX90" s="59">
        <f>IFERROR(+AY90/AW90,0)</f>
        <v>0</v>
      </c>
      <c r="AY90" s="122"/>
      <c r="BA90" s="34"/>
      <c r="BB90" s="59">
        <f>IFERROR(+BC90/BA90,0)</f>
        <v>0</v>
      </c>
      <c r="BC90" s="122"/>
      <c r="BE90" s="61">
        <f>+I90+M90+Q90++U90+Y90+AC90+AG90+AK90+AO90+AS90+AW90+BA90</f>
        <v>0</v>
      </c>
      <c r="BF90" s="60">
        <f>IFERROR(+BG90/BE90,0)</f>
        <v>0</v>
      </c>
      <c r="BG90" s="61">
        <f>+K90+O90+S90+W90+AA90+AE90+AI90+AM90+AQ90+AU90+AY90+BC90</f>
        <v>0</v>
      </c>
    </row>
    <row r="91" spans="1:59" ht="21" hidden="1" customHeight="1" x14ac:dyDescent="0.3">
      <c r="A91" s="11"/>
      <c r="B91" s="181"/>
      <c r="C91" s="34"/>
      <c r="D91" s="34"/>
      <c r="E91" s="34"/>
      <c r="F91" s="34"/>
      <c r="G91" s="57"/>
      <c r="H91" s="35"/>
      <c r="I91" s="34"/>
      <c r="J91" s="59">
        <f t="shared" ref="J91:J95" si="141">IFERROR(+K91/I91,0)</f>
        <v>0</v>
      </c>
      <c r="K91" s="122"/>
      <c r="M91" s="34"/>
      <c r="N91" s="59">
        <f t="shared" ref="N91:N95" si="142">IFERROR(+O91/M91,0)</f>
        <v>0</v>
      </c>
      <c r="O91" s="122"/>
      <c r="Q91" s="34"/>
      <c r="R91" s="59">
        <f t="shared" ref="R91:R95" si="143">IFERROR(+S91/Q91,0)</f>
        <v>0</v>
      </c>
      <c r="S91" s="122"/>
      <c r="U91" s="34"/>
      <c r="V91" s="59">
        <f t="shared" ref="V91:V95" si="144">IFERROR(+W91/U91,0)</f>
        <v>0</v>
      </c>
      <c r="W91" s="122"/>
      <c r="Y91" s="34"/>
      <c r="Z91" s="59">
        <f t="shared" ref="Z91:Z95" si="145">IFERROR(+AA91/Y91,0)</f>
        <v>0</v>
      </c>
      <c r="AA91" s="122"/>
      <c r="AC91" s="34"/>
      <c r="AD91" s="59">
        <f t="shared" ref="AD91:AD95" si="146">IFERROR(+AE91/AC91,0)</f>
        <v>0</v>
      </c>
      <c r="AE91" s="122"/>
      <c r="AG91" s="34"/>
      <c r="AH91" s="59">
        <f t="shared" ref="AH91:AH95" si="147">IFERROR(+AI91/AG91,0)</f>
        <v>0</v>
      </c>
      <c r="AI91" s="122"/>
      <c r="AK91" s="34"/>
      <c r="AL91" s="59">
        <f t="shared" ref="AL91:AL95" si="148">IFERROR(+AM91/AK91,0)</f>
        <v>0</v>
      </c>
      <c r="AM91" s="122"/>
      <c r="AO91" s="34"/>
      <c r="AP91" s="59">
        <f t="shared" ref="AP91:AP95" si="149">IFERROR(+AQ91/AO91,0)</f>
        <v>0</v>
      </c>
      <c r="AQ91" s="122"/>
      <c r="AS91" s="34"/>
      <c r="AT91" s="59">
        <f t="shared" ref="AT91:AT95" si="150">IFERROR(+AU91/AS91,0)</f>
        <v>0</v>
      </c>
      <c r="AU91" s="122"/>
      <c r="AW91" s="34"/>
      <c r="AX91" s="59">
        <f t="shared" ref="AX91:AX95" si="151">IFERROR(+AY91/AW91,0)</f>
        <v>0</v>
      </c>
      <c r="AY91" s="122"/>
      <c r="BA91" s="34"/>
      <c r="BB91" s="59">
        <f t="shared" ref="BB91:BB95" si="152">IFERROR(+BC91/BA91,0)</f>
        <v>0</v>
      </c>
      <c r="BC91" s="122"/>
      <c r="BE91" s="61">
        <f t="shared" ref="BE91:BE95" si="153">+I91+M91+Q91++U91+Y91+AC91+AG91+AK91+AO91+AS91+AW91+BA91</f>
        <v>0</v>
      </c>
      <c r="BF91" s="60">
        <f t="shared" ref="BF91:BF95" si="154">IFERROR(+BG91/BE91,0)</f>
        <v>0</v>
      </c>
      <c r="BG91" s="61">
        <f t="shared" ref="BG91:BG95" si="155">+K91+O91+S91+W91+AA91+AE91+AI91+AM91+AQ91+AU91+AY91+BC91</f>
        <v>0</v>
      </c>
    </row>
    <row r="92" spans="1:59" ht="21" hidden="1" customHeight="1" x14ac:dyDescent="0.3">
      <c r="A92" s="11"/>
      <c r="B92" s="181"/>
      <c r="C92" s="34"/>
      <c r="D92" s="34"/>
      <c r="E92" s="34"/>
      <c r="F92" s="34"/>
      <c r="G92" s="57"/>
      <c r="H92" s="35"/>
      <c r="I92" s="34"/>
      <c r="J92" s="59">
        <f t="shared" si="141"/>
        <v>0</v>
      </c>
      <c r="K92" s="122"/>
      <c r="M92" s="34"/>
      <c r="N92" s="59">
        <f t="shared" si="142"/>
        <v>0</v>
      </c>
      <c r="O92" s="122"/>
      <c r="Q92" s="34"/>
      <c r="R92" s="59">
        <f t="shared" si="143"/>
        <v>0</v>
      </c>
      <c r="S92" s="122"/>
      <c r="U92" s="34"/>
      <c r="V92" s="59">
        <f t="shared" si="144"/>
        <v>0</v>
      </c>
      <c r="W92" s="122"/>
      <c r="Y92" s="34"/>
      <c r="Z92" s="59">
        <f t="shared" si="145"/>
        <v>0</v>
      </c>
      <c r="AA92" s="122"/>
      <c r="AC92" s="34"/>
      <c r="AD92" s="59">
        <f t="shared" si="146"/>
        <v>0</v>
      </c>
      <c r="AE92" s="122"/>
      <c r="AG92" s="34"/>
      <c r="AH92" s="59">
        <f t="shared" si="147"/>
        <v>0</v>
      </c>
      <c r="AI92" s="122"/>
      <c r="AK92" s="34"/>
      <c r="AL92" s="59">
        <f t="shared" si="148"/>
        <v>0</v>
      </c>
      <c r="AM92" s="122"/>
      <c r="AO92" s="34"/>
      <c r="AP92" s="59">
        <f t="shared" si="149"/>
        <v>0</v>
      </c>
      <c r="AQ92" s="122"/>
      <c r="AS92" s="34"/>
      <c r="AT92" s="59">
        <f t="shared" si="150"/>
        <v>0</v>
      </c>
      <c r="AU92" s="122"/>
      <c r="AW92" s="34"/>
      <c r="AX92" s="59">
        <f t="shared" si="151"/>
        <v>0</v>
      </c>
      <c r="AY92" s="122"/>
      <c r="BA92" s="34"/>
      <c r="BB92" s="59">
        <f t="shared" si="152"/>
        <v>0</v>
      </c>
      <c r="BC92" s="122"/>
      <c r="BE92" s="61">
        <f t="shared" si="153"/>
        <v>0</v>
      </c>
      <c r="BF92" s="60">
        <f t="shared" si="154"/>
        <v>0</v>
      </c>
      <c r="BG92" s="61">
        <f t="shared" si="155"/>
        <v>0</v>
      </c>
    </row>
    <row r="93" spans="1:59" ht="21" hidden="1" customHeight="1" x14ac:dyDescent="0.3">
      <c r="A93" s="11"/>
      <c r="B93" s="181"/>
      <c r="C93" s="34"/>
      <c r="D93" s="34"/>
      <c r="E93" s="34"/>
      <c r="F93" s="34"/>
      <c r="G93" s="57"/>
      <c r="H93" s="35"/>
      <c r="I93" s="34"/>
      <c r="J93" s="59">
        <f t="shared" si="141"/>
        <v>0</v>
      </c>
      <c r="K93" s="122"/>
      <c r="M93" s="34"/>
      <c r="N93" s="59">
        <f t="shared" si="142"/>
        <v>0</v>
      </c>
      <c r="O93" s="122"/>
      <c r="Q93" s="34"/>
      <c r="R93" s="59">
        <f t="shared" si="143"/>
        <v>0</v>
      </c>
      <c r="S93" s="122"/>
      <c r="U93" s="34"/>
      <c r="V93" s="59">
        <f t="shared" si="144"/>
        <v>0</v>
      </c>
      <c r="W93" s="122"/>
      <c r="Y93" s="34"/>
      <c r="Z93" s="59">
        <f t="shared" si="145"/>
        <v>0</v>
      </c>
      <c r="AA93" s="122"/>
      <c r="AC93" s="34"/>
      <c r="AD93" s="59">
        <f t="shared" si="146"/>
        <v>0</v>
      </c>
      <c r="AE93" s="122"/>
      <c r="AG93" s="34"/>
      <c r="AH93" s="59">
        <f t="shared" si="147"/>
        <v>0</v>
      </c>
      <c r="AI93" s="122"/>
      <c r="AK93" s="34"/>
      <c r="AL93" s="59">
        <f t="shared" si="148"/>
        <v>0</v>
      </c>
      <c r="AM93" s="122"/>
      <c r="AO93" s="34"/>
      <c r="AP93" s="59">
        <f t="shared" si="149"/>
        <v>0</v>
      </c>
      <c r="AQ93" s="122"/>
      <c r="AS93" s="34"/>
      <c r="AT93" s="59">
        <f t="shared" si="150"/>
        <v>0</v>
      </c>
      <c r="AU93" s="122"/>
      <c r="AW93" s="34"/>
      <c r="AX93" s="59">
        <f t="shared" si="151"/>
        <v>0</v>
      </c>
      <c r="AY93" s="122"/>
      <c r="BA93" s="34"/>
      <c r="BB93" s="59">
        <f t="shared" si="152"/>
        <v>0</v>
      </c>
      <c r="BC93" s="122"/>
      <c r="BE93" s="61">
        <f t="shared" si="153"/>
        <v>0</v>
      </c>
      <c r="BF93" s="60">
        <f t="shared" si="154"/>
        <v>0</v>
      </c>
      <c r="BG93" s="61">
        <f t="shared" si="155"/>
        <v>0</v>
      </c>
    </row>
    <row r="94" spans="1:59" ht="21" hidden="1" customHeight="1" x14ac:dyDescent="0.3">
      <c r="A94" s="11"/>
      <c r="B94" s="181"/>
      <c r="C94" s="34"/>
      <c r="D94" s="34"/>
      <c r="E94" s="34"/>
      <c r="F94" s="34"/>
      <c r="G94" s="57"/>
      <c r="H94" s="35"/>
      <c r="I94" s="34"/>
      <c r="J94" s="59">
        <f t="shared" si="141"/>
        <v>0</v>
      </c>
      <c r="K94" s="122"/>
      <c r="M94" s="34"/>
      <c r="N94" s="59">
        <f t="shared" si="142"/>
        <v>0</v>
      </c>
      <c r="O94" s="122"/>
      <c r="Q94" s="34"/>
      <c r="R94" s="59">
        <f t="shared" si="143"/>
        <v>0</v>
      </c>
      <c r="S94" s="122"/>
      <c r="U94" s="34"/>
      <c r="V94" s="59">
        <f t="shared" si="144"/>
        <v>0</v>
      </c>
      <c r="W94" s="122"/>
      <c r="Y94" s="34"/>
      <c r="Z94" s="59">
        <f t="shared" si="145"/>
        <v>0</v>
      </c>
      <c r="AA94" s="122"/>
      <c r="AC94" s="34"/>
      <c r="AD94" s="59">
        <f t="shared" si="146"/>
        <v>0</v>
      </c>
      <c r="AE94" s="122"/>
      <c r="AG94" s="34"/>
      <c r="AH94" s="59">
        <f t="shared" si="147"/>
        <v>0</v>
      </c>
      <c r="AI94" s="122"/>
      <c r="AK94" s="34"/>
      <c r="AL94" s="59">
        <f t="shared" si="148"/>
        <v>0</v>
      </c>
      <c r="AM94" s="122"/>
      <c r="AO94" s="34"/>
      <c r="AP94" s="59">
        <f t="shared" si="149"/>
        <v>0</v>
      </c>
      <c r="AQ94" s="122"/>
      <c r="AS94" s="34"/>
      <c r="AT94" s="59">
        <f t="shared" si="150"/>
        <v>0</v>
      </c>
      <c r="AU94" s="122"/>
      <c r="AW94" s="34"/>
      <c r="AX94" s="59">
        <f t="shared" si="151"/>
        <v>0</v>
      </c>
      <c r="AY94" s="122"/>
      <c r="BA94" s="34"/>
      <c r="BB94" s="59">
        <f t="shared" si="152"/>
        <v>0</v>
      </c>
      <c r="BC94" s="122"/>
      <c r="BE94" s="61">
        <f t="shared" si="153"/>
        <v>0</v>
      </c>
      <c r="BF94" s="60">
        <f t="shared" si="154"/>
        <v>0</v>
      </c>
      <c r="BG94" s="61">
        <f t="shared" si="155"/>
        <v>0</v>
      </c>
    </row>
    <row r="95" spans="1:59" ht="21" hidden="1" customHeight="1" x14ac:dyDescent="0.3">
      <c r="A95" s="11"/>
      <c r="B95" s="181"/>
      <c r="C95" s="34"/>
      <c r="D95" s="34"/>
      <c r="E95" s="34"/>
      <c r="F95" s="34"/>
      <c r="G95" s="57"/>
      <c r="H95" s="35"/>
      <c r="I95" s="34"/>
      <c r="J95" s="59">
        <f t="shared" si="141"/>
        <v>0</v>
      </c>
      <c r="K95" s="122"/>
      <c r="M95" s="34"/>
      <c r="N95" s="59">
        <f t="shared" si="142"/>
        <v>0</v>
      </c>
      <c r="O95" s="122"/>
      <c r="Q95" s="34"/>
      <c r="R95" s="59">
        <f t="shared" si="143"/>
        <v>0</v>
      </c>
      <c r="S95" s="122"/>
      <c r="U95" s="34"/>
      <c r="V95" s="59">
        <f t="shared" si="144"/>
        <v>0</v>
      </c>
      <c r="W95" s="122"/>
      <c r="Y95" s="34"/>
      <c r="Z95" s="59">
        <f t="shared" si="145"/>
        <v>0</v>
      </c>
      <c r="AA95" s="122"/>
      <c r="AC95" s="34"/>
      <c r="AD95" s="59">
        <f t="shared" si="146"/>
        <v>0</v>
      </c>
      <c r="AE95" s="122"/>
      <c r="AG95" s="34"/>
      <c r="AH95" s="59">
        <f t="shared" si="147"/>
        <v>0</v>
      </c>
      <c r="AI95" s="122"/>
      <c r="AK95" s="34"/>
      <c r="AL95" s="59">
        <f t="shared" si="148"/>
        <v>0</v>
      </c>
      <c r="AM95" s="122"/>
      <c r="AO95" s="34"/>
      <c r="AP95" s="59">
        <f t="shared" si="149"/>
        <v>0</v>
      </c>
      <c r="AQ95" s="122"/>
      <c r="AS95" s="34"/>
      <c r="AT95" s="59">
        <f t="shared" si="150"/>
        <v>0</v>
      </c>
      <c r="AU95" s="122"/>
      <c r="AW95" s="34"/>
      <c r="AX95" s="59">
        <f t="shared" si="151"/>
        <v>0</v>
      </c>
      <c r="AY95" s="122"/>
      <c r="BA95" s="34"/>
      <c r="BB95" s="59">
        <f t="shared" si="152"/>
        <v>0</v>
      </c>
      <c r="BC95" s="122"/>
      <c r="BE95" s="61">
        <f t="shared" si="153"/>
        <v>0</v>
      </c>
      <c r="BF95" s="60">
        <f t="shared" si="154"/>
        <v>0</v>
      </c>
      <c r="BG95" s="61">
        <f t="shared" si="155"/>
        <v>0</v>
      </c>
    </row>
    <row r="96" spans="1:59" ht="21" hidden="1" customHeight="1" x14ac:dyDescent="0.3">
      <c r="A96" s="11"/>
      <c r="B96" s="181"/>
      <c r="C96" s="34"/>
      <c r="D96" s="34"/>
      <c r="E96" s="34"/>
      <c r="F96" s="34"/>
      <c r="G96" s="57" t="str">
        <f>IFERROR(+VLOOKUP(F96,Datos!$P:$Q,2,0),"")</f>
        <v/>
      </c>
      <c r="H96" s="35"/>
      <c r="I96" s="34"/>
      <c r="J96" s="59">
        <f>IFERROR(+K96/I96,0)</f>
        <v>0</v>
      </c>
      <c r="K96" s="122"/>
      <c r="M96" s="34"/>
      <c r="N96" s="59">
        <f>IFERROR(+O96/M96,0)</f>
        <v>0</v>
      </c>
      <c r="O96" s="122"/>
      <c r="Q96" s="34"/>
      <c r="R96" s="59">
        <f>IFERROR(+S96/Q96,0)</f>
        <v>0</v>
      </c>
      <c r="S96" s="122"/>
      <c r="U96" s="34"/>
      <c r="V96" s="59">
        <f>IFERROR(+W96/U96,0)</f>
        <v>0</v>
      </c>
      <c r="W96" s="122"/>
      <c r="Y96" s="34"/>
      <c r="Z96" s="59">
        <f>IFERROR(+AA96/Y96,0)</f>
        <v>0</v>
      </c>
      <c r="AA96" s="122"/>
      <c r="AC96" s="34"/>
      <c r="AD96" s="59">
        <f>IFERROR(+AE96/AC96,0)</f>
        <v>0</v>
      </c>
      <c r="AE96" s="122"/>
      <c r="AG96" s="34"/>
      <c r="AH96" s="59">
        <f>IFERROR(+AI96/AG96,0)</f>
        <v>0</v>
      </c>
      <c r="AI96" s="122"/>
      <c r="AK96" s="34"/>
      <c r="AL96" s="59">
        <f>IFERROR(+AM96/AK96,0)</f>
        <v>0</v>
      </c>
      <c r="AM96" s="122"/>
      <c r="AO96" s="34"/>
      <c r="AP96" s="59">
        <f>IFERROR(+AQ96/AO96,0)</f>
        <v>0</v>
      </c>
      <c r="AQ96" s="122"/>
      <c r="AS96" s="34"/>
      <c r="AT96" s="59">
        <f>IFERROR(+AU96/AS96,0)</f>
        <v>0</v>
      </c>
      <c r="AU96" s="122"/>
      <c r="AW96" s="34"/>
      <c r="AX96" s="59">
        <f>IFERROR(+AY96/AW96,0)</f>
        <v>0</v>
      </c>
      <c r="AY96" s="122"/>
      <c r="BA96" s="34"/>
      <c r="BB96" s="59">
        <f>IFERROR(+BC96/BA96,0)</f>
        <v>0</v>
      </c>
      <c r="BC96" s="122"/>
      <c r="BE96" s="61">
        <f>+I96+M96+Q96++U96+Y96+AC96+AG96+AK96+AO96+AS96+AW96+BA96</f>
        <v>0</v>
      </c>
      <c r="BF96" s="60">
        <f>IFERROR(+BG96/BE96,0)</f>
        <v>0</v>
      </c>
      <c r="BG96" s="61">
        <f>+K96+O96+S96+W96+AA96+AE96+AI96+AM96+AQ96+AU96+AY96+BC96</f>
        <v>0</v>
      </c>
    </row>
    <row r="97" spans="1:59" ht="21" hidden="1" customHeight="1" x14ac:dyDescent="0.3">
      <c r="A97" s="11"/>
      <c r="B97" s="330" t="s">
        <v>227</v>
      </c>
      <c r="C97" s="331"/>
      <c r="D97" s="331"/>
      <c r="E97" s="331"/>
      <c r="F97" s="331"/>
      <c r="G97" s="332"/>
      <c r="H97" s="35"/>
      <c r="I97" s="61">
        <f>SUM(I90:I96)</f>
        <v>0</v>
      </c>
      <c r="J97" s="60">
        <f t="shared" ref="J97" si="156">IFERROR(+K97/I97,0)</f>
        <v>0</v>
      </c>
      <c r="K97" s="61">
        <f>SUM(K90:K96)</f>
        <v>0</v>
      </c>
      <c r="M97" s="61">
        <f>SUM(M90:M96)</f>
        <v>0</v>
      </c>
      <c r="N97" s="60">
        <f t="shared" ref="N97" si="157">IFERROR(+O97/M97,0)</f>
        <v>0</v>
      </c>
      <c r="O97" s="61">
        <f>SUM(O90:O96)</f>
        <v>0</v>
      </c>
      <c r="Q97" s="61">
        <f>SUM(Q90:Q96)</f>
        <v>0</v>
      </c>
      <c r="R97" s="60">
        <f t="shared" ref="R97" si="158">IFERROR(+S97/Q97,0)</f>
        <v>0</v>
      </c>
      <c r="S97" s="61">
        <f>SUM(S90:S96)</f>
        <v>0</v>
      </c>
      <c r="U97" s="61">
        <f>SUM(U90:U96)</f>
        <v>0</v>
      </c>
      <c r="V97" s="60">
        <f t="shared" ref="V97" si="159">IFERROR(+W97/U97,0)</f>
        <v>0</v>
      </c>
      <c r="W97" s="61">
        <f>SUM(W90:W96)</f>
        <v>0</v>
      </c>
      <c r="Y97" s="61">
        <f>SUM(Y90:Y96)</f>
        <v>0</v>
      </c>
      <c r="Z97" s="60">
        <f t="shared" ref="Z97" si="160">IFERROR(+AA97/Y97,0)</f>
        <v>0</v>
      </c>
      <c r="AA97" s="61">
        <f>SUM(AA90:AA96)</f>
        <v>0</v>
      </c>
      <c r="AC97" s="61">
        <f>SUM(AC90:AC96)</f>
        <v>0</v>
      </c>
      <c r="AD97" s="60">
        <f t="shared" ref="AD97" si="161">IFERROR(+AE97/AC97,0)</f>
        <v>0</v>
      </c>
      <c r="AE97" s="61">
        <f>SUM(AE90:AE96)</f>
        <v>0</v>
      </c>
      <c r="AG97" s="61">
        <f>SUM(AG90:AG96)</f>
        <v>0</v>
      </c>
      <c r="AH97" s="60">
        <f t="shared" ref="AH97" si="162">IFERROR(+AI97/AG97,0)</f>
        <v>0</v>
      </c>
      <c r="AI97" s="61">
        <f>SUM(AI90:AI96)</f>
        <v>0</v>
      </c>
      <c r="AK97" s="61">
        <f>SUM(AK90:AK96)</f>
        <v>0</v>
      </c>
      <c r="AL97" s="60">
        <f t="shared" ref="AL97" si="163">IFERROR(+AM97/AK97,0)</f>
        <v>0</v>
      </c>
      <c r="AM97" s="61">
        <f>SUM(AM90:AM96)</f>
        <v>0</v>
      </c>
      <c r="AO97" s="61">
        <f>SUM(AO90:AO96)</f>
        <v>0</v>
      </c>
      <c r="AP97" s="60">
        <f t="shared" ref="AP97" si="164">IFERROR(+AQ97/AO97,0)</f>
        <v>0</v>
      </c>
      <c r="AQ97" s="61">
        <f>SUM(AQ90:AQ96)</f>
        <v>0</v>
      </c>
      <c r="AS97" s="61">
        <f>SUM(AS90:AS96)</f>
        <v>0</v>
      </c>
      <c r="AT97" s="60">
        <f t="shared" ref="AT97" si="165">IFERROR(+AU97/AS97,0)</f>
        <v>0</v>
      </c>
      <c r="AU97" s="61">
        <f>SUM(AU90:AU96)</f>
        <v>0</v>
      </c>
      <c r="AW97" s="61">
        <f>SUM(AW90:AW96)</f>
        <v>0</v>
      </c>
      <c r="AX97" s="60">
        <f t="shared" ref="AX97" si="166">IFERROR(+AY97/AW97,0)</f>
        <v>0</v>
      </c>
      <c r="AY97" s="61">
        <f>SUM(AY90:AY96)</f>
        <v>0</v>
      </c>
      <c r="BA97" s="61">
        <f>SUM(BA90:BA96)</f>
        <v>0</v>
      </c>
      <c r="BB97" s="60">
        <f t="shared" ref="BB97" si="167">IFERROR(+BC97/BA97,0)</f>
        <v>0</v>
      </c>
      <c r="BC97" s="61">
        <f>SUM(BC90:BC96)</f>
        <v>0</v>
      </c>
      <c r="BE97" s="61">
        <f>SUM(BE90:BE96)</f>
        <v>0</v>
      </c>
      <c r="BF97" s="60">
        <f t="shared" ref="BF97" si="168">IFERROR(+BG97/BE97,0)</f>
        <v>0</v>
      </c>
      <c r="BG97" s="61">
        <f>SUM(BG90:BG96)</f>
        <v>0</v>
      </c>
    </row>
    <row r="98" spans="1:59" hidden="1" x14ac:dyDescent="0.3"/>
    <row r="99" spans="1:59" ht="36" hidden="1" customHeight="1" x14ac:dyDescent="0.3">
      <c r="B99" s="338" t="s">
        <v>240</v>
      </c>
      <c r="C99" s="338"/>
      <c r="D99" s="338"/>
      <c r="E99" s="338"/>
      <c r="F99" s="338"/>
      <c r="G99" s="338"/>
      <c r="H99" s="338"/>
      <c r="I99" s="338"/>
      <c r="J99" s="338"/>
    </row>
    <row r="100" spans="1:59" hidden="1" x14ac:dyDescent="0.3"/>
    <row r="101" spans="1:59" ht="21" hidden="1" customHeight="1" x14ac:dyDescent="0.3">
      <c r="A101" s="11"/>
      <c r="B101" s="322" t="s">
        <v>894</v>
      </c>
      <c r="C101" s="322" t="s">
        <v>895</v>
      </c>
      <c r="D101" s="325" t="s">
        <v>235</v>
      </c>
      <c r="E101" s="322" t="s">
        <v>232</v>
      </c>
      <c r="F101" s="329" t="s">
        <v>233</v>
      </c>
      <c r="G101" s="351" t="s">
        <v>234</v>
      </c>
      <c r="H101" s="36"/>
      <c r="I101" s="328" t="str">
        <f>+"Enero "&amp;$I$6&amp;""</f>
        <v>Enero 2025</v>
      </c>
      <c r="J101" s="328"/>
      <c r="K101" s="328"/>
      <c r="M101" s="328" t="str">
        <f>+"Febrero "&amp;$I$6&amp;""</f>
        <v>Febrero 2025</v>
      </c>
      <c r="N101" s="328"/>
      <c r="O101" s="328"/>
      <c r="Q101" s="328" t="str">
        <f>+"Marzo "&amp;$I$6&amp;""</f>
        <v>Marzo 2025</v>
      </c>
      <c r="R101" s="328"/>
      <c r="S101" s="328"/>
      <c r="U101" s="328" t="str">
        <f>+"Abril "&amp;$I$6&amp;""</f>
        <v>Abril 2025</v>
      </c>
      <c r="V101" s="328"/>
      <c r="W101" s="328"/>
      <c r="Y101" s="328" t="str">
        <f>+"Mayo "&amp;$I$6&amp;""</f>
        <v>Mayo 2025</v>
      </c>
      <c r="Z101" s="328"/>
      <c r="AA101" s="328"/>
      <c r="AC101" s="328" t="str">
        <f>+"Junio "&amp;$I$6&amp;""</f>
        <v>Junio 2025</v>
      </c>
      <c r="AD101" s="328"/>
      <c r="AE101" s="328"/>
      <c r="AG101" s="328" t="str">
        <f>+"Julio "&amp;$I$6&amp;""</f>
        <v>Julio 2025</v>
      </c>
      <c r="AH101" s="328"/>
      <c r="AI101" s="328"/>
      <c r="AK101" s="328" t="str">
        <f>+"Agosto "&amp;$I$6&amp;""</f>
        <v>Agosto 2025</v>
      </c>
      <c r="AL101" s="328"/>
      <c r="AM101" s="328"/>
      <c r="AO101" s="328" t="str">
        <f>+"Septiembre "&amp;$I$6&amp;""</f>
        <v>Septiembre 2025</v>
      </c>
      <c r="AP101" s="328"/>
      <c r="AQ101" s="328"/>
      <c r="AS101" s="328" t="str">
        <f>+"Octubre "&amp;$I$6&amp;""</f>
        <v>Octubre 2025</v>
      </c>
      <c r="AT101" s="328"/>
      <c r="AU101" s="328"/>
      <c r="AW101" s="328" t="str">
        <f>+"Noviembre "&amp;$I$6&amp;""</f>
        <v>Noviembre 2025</v>
      </c>
      <c r="AX101" s="328"/>
      <c r="AY101" s="328"/>
      <c r="BA101" s="328" t="str">
        <f>+"Diciembre "&amp;$I$6&amp;""</f>
        <v>Diciembre 2025</v>
      </c>
      <c r="BB101" s="328"/>
      <c r="BC101" s="328"/>
      <c r="BE101" s="328" t="str">
        <f>+"Acumulado "&amp;$I$6&amp;""</f>
        <v>Acumulado 2025</v>
      </c>
      <c r="BF101" s="328"/>
      <c r="BG101" s="328"/>
    </row>
    <row r="102" spans="1:59" ht="21" hidden="1" customHeight="1" x14ac:dyDescent="0.3">
      <c r="A102" s="11"/>
      <c r="B102" s="324"/>
      <c r="C102" s="324"/>
      <c r="D102" s="327"/>
      <c r="E102" s="324"/>
      <c r="F102" s="329"/>
      <c r="G102" s="329"/>
      <c r="H102" s="36"/>
      <c r="I102" s="222" t="s">
        <v>986</v>
      </c>
      <c r="J102" s="58" t="s">
        <v>61</v>
      </c>
      <c r="K102" s="58" t="s">
        <v>62</v>
      </c>
      <c r="M102" s="222" t="s">
        <v>986</v>
      </c>
      <c r="N102" s="58" t="s">
        <v>61</v>
      </c>
      <c r="O102" s="58" t="s">
        <v>62</v>
      </c>
      <c r="Q102" s="222" t="s">
        <v>986</v>
      </c>
      <c r="R102" s="58" t="s">
        <v>61</v>
      </c>
      <c r="S102" s="58" t="s">
        <v>62</v>
      </c>
      <c r="U102" s="222" t="s">
        <v>986</v>
      </c>
      <c r="V102" s="58" t="s">
        <v>61</v>
      </c>
      <c r="W102" s="58" t="s">
        <v>62</v>
      </c>
      <c r="Y102" s="222" t="s">
        <v>986</v>
      </c>
      <c r="Z102" s="58" t="s">
        <v>61</v>
      </c>
      <c r="AA102" s="58" t="s">
        <v>62</v>
      </c>
      <c r="AC102" s="222" t="s">
        <v>986</v>
      </c>
      <c r="AD102" s="58" t="s">
        <v>61</v>
      </c>
      <c r="AE102" s="58" t="s">
        <v>62</v>
      </c>
      <c r="AG102" s="222" t="s">
        <v>986</v>
      </c>
      <c r="AH102" s="58" t="s">
        <v>61</v>
      </c>
      <c r="AI102" s="58" t="s">
        <v>62</v>
      </c>
      <c r="AK102" s="222" t="s">
        <v>986</v>
      </c>
      <c r="AL102" s="58" t="s">
        <v>61</v>
      </c>
      <c r="AM102" s="58" t="s">
        <v>62</v>
      </c>
      <c r="AO102" s="222" t="s">
        <v>986</v>
      </c>
      <c r="AP102" s="58" t="s">
        <v>61</v>
      </c>
      <c r="AQ102" s="58" t="s">
        <v>62</v>
      </c>
      <c r="AS102" s="222" t="s">
        <v>986</v>
      </c>
      <c r="AT102" s="58" t="s">
        <v>61</v>
      </c>
      <c r="AU102" s="58" t="s">
        <v>62</v>
      </c>
      <c r="AW102" s="222" t="s">
        <v>986</v>
      </c>
      <c r="AX102" s="58" t="s">
        <v>61</v>
      </c>
      <c r="AY102" s="58" t="s">
        <v>62</v>
      </c>
      <c r="BA102" s="222" t="s">
        <v>986</v>
      </c>
      <c r="BB102" s="58" t="s">
        <v>61</v>
      </c>
      <c r="BC102" s="58" t="s">
        <v>62</v>
      </c>
      <c r="BE102" s="222" t="s">
        <v>986</v>
      </c>
      <c r="BF102" s="58" t="s">
        <v>61</v>
      </c>
      <c r="BG102" s="58" t="s">
        <v>62</v>
      </c>
    </row>
    <row r="103" spans="1:59" ht="21" hidden="1" customHeight="1" x14ac:dyDescent="0.3">
      <c r="A103" s="11"/>
      <c r="B103" s="181"/>
      <c r="C103" s="34"/>
      <c r="D103" s="34"/>
      <c r="E103" s="34"/>
      <c r="F103" s="34"/>
      <c r="G103" s="57"/>
      <c r="H103" s="35"/>
      <c r="I103" s="34"/>
      <c r="J103" s="59">
        <f>IFERROR(+K103/I103,0)</f>
        <v>0</v>
      </c>
      <c r="K103" s="122"/>
      <c r="M103" s="34"/>
      <c r="N103" s="59">
        <f>IFERROR(+O103/M103,0)</f>
        <v>0</v>
      </c>
      <c r="O103" s="122"/>
      <c r="Q103" s="34"/>
      <c r="R103" s="59">
        <f>IFERROR(+S103/Q103,0)</f>
        <v>0</v>
      </c>
      <c r="S103" s="122"/>
      <c r="U103" s="34"/>
      <c r="V103" s="59">
        <f>IFERROR(+W103/U103,0)</f>
        <v>0</v>
      </c>
      <c r="W103" s="122"/>
      <c r="Y103" s="34"/>
      <c r="Z103" s="59">
        <f>IFERROR(+AA103/Y103,0)</f>
        <v>0</v>
      </c>
      <c r="AA103" s="122"/>
      <c r="AC103" s="34"/>
      <c r="AD103" s="59">
        <f>IFERROR(+AE103/AC103,0)</f>
        <v>0</v>
      </c>
      <c r="AE103" s="122"/>
      <c r="AG103" s="34"/>
      <c r="AH103" s="59">
        <f>IFERROR(+AI103/AG103,0)</f>
        <v>0</v>
      </c>
      <c r="AI103" s="122"/>
      <c r="AK103" s="34"/>
      <c r="AL103" s="59">
        <f>IFERROR(+AM103/AK103,0)</f>
        <v>0</v>
      </c>
      <c r="AM103" s="122"/>
      <c r="AO103" s="34"/>
      <c r="AP103" s="59">
        <f>IFERROR(+AQ103/AO103,0)</f>
        <v>0</v>
      </c>
      <c r="AQ103" s="122"/>
      <c r="AS103" s="34"/>
      <c r="AT103" s="59">
        <f>IFERROR(+AU103/AS103,0)</f>
        <v>0</v>
      </c>
      <c r="AU103" s="122"/>
      <c r="AW103" s="34"/>
      <c r="AX103" s="59">
        <f>IFERROR(+AY103/AW103,0)</f>
        <v>0</v>
      </c>
      <c r="AY103" s="122"/>
      <c r="BA103" s="34"/>
      <c r="BB103" s="59">
        <f>IFERROR(+BC103/BA103,0)</f>
        <v>0</v>
      </c>
      <c r="BC103" s="122"/>
      <c r="BE103" s="61">
        <f>+I103+M103+Q103++U103+Y103+AC103+AG103+AK103+AO103+AS103+AW103+BA103</f>
        <v>0</v>
      </c>
      <c r="BF103" s="60">
        <f>IFERROR(+BG103/BE103,0)</f>
        <v>0</v>
      </c>
      <c r="BG103" s="61">
        <f>+K103+O103+S103+W103+AA103+AE103+AI103+AM103+AQ103+AU103+AY103+BC103</f>
        <v>0</v>
      </c>
    </row>
    <row r="104" spans="1:59" ht="21" hidden="1" customHeight="1" x14ac:dyDescent="0.3">
      <c r="A104" s="11"/>
      <c r="B104" s="181"/>
      <c r="C104" s="34"/>
      <c r="D104" s="34"/>
      <c r="E104" s="34"/>
      <c r="F104" s="34"/>
      <c r="G104" s="57"/>
      <c r="H104" s="35"/>
      <c r="I104" s="34"/>
      <c r="J104" s="59">
        <f t="shared" ref="J104:J108" si="169">IFERROR(+K104/I104,0)</f>
        <v>0</v>
      </c>
      <c r="K104" s="122"/>
      <c r="M104" s="34"/>
      <c r="N104" s="59">
        <f t="shared" ref="N104:N108" si="170">IFERROR(+O104/M104,0)</f>
        <v>0</v>
      </c>
      <c r="O104" s="122"/>
      <c r="Q104" s="34"/>
      <c r="R104" s="59">
        <f t="shared" ref="R104:R108" si="171">IFERROR(+S104/Q104,0)</f>
        <v>0</v>
      </c>
      <c r="S104" s="122"/>
      <c r="U104" s="34"/>
      <c r="V104" s="59">
        <f t="shared" ref="V104:V108" si="172">IFERROR(+W104/U104,0)</f>
        <v>0</v>
      </c>
      <c r="W104" s="122"/>
      <c r="Y104" s="34"/>
      <c r="Z104" s="59">
        <f t="shared" ref="Z104:Z108" si="173">IFERROR(+AA104/Y104,0)</f>
        <v>0</v>
      </c>
      <c r="AA104" s="122"/>
      <c r="AC104" s="34"/>
      <c r="AD104" s="59">
        <f t="shared" ref="AD104:AD108" si="174">IFERROR(+AE104/AC104,0)</f>
        <v>0</v>
      </c>
      <c r="AE104" s="122"/>
      <c r="AG104" s="34"/>
      <c r="AH104" s="59">
        <f t="shared" ref="AH104:AH108" si="175">IFERROR(+AI104/AG104,0)</f>
        <v>0</v>
      </c>
      <c r="AI104" s="122"/>
      <c r="AK104" s="34"/>
      <c r="AL104" s="59">
        <f t="shared" ref="AL104:AL108" si="176">IFERROR(+AM104/AK104,0)</f>
        <v>0</v>
      </c>
      <c r="AM104" s="122"/>
      <c r="AO104" s="34"/>
      <c r="AP104" s="59">
        <f t="shared" ref="AP104:AP108" si="177">IFERROR(+AQ104/AO104,0)</f>
        <v>0</v>
      </c>
      <c r="AQ104" s="122"/>
      <c r="AS104" s="34"/>
      <c r="AT104" s="59">
        <f t="shared" ref="AT104:AT108" si="178">IFERROR(+AU104/AS104,0)</f>
        <v>0</v>
      </c>
      <c r="AU104" s="122"/>
      <c r="AW104" s="34"/>
      <c r="AX104" s="59">
        <f t="shared" ref="AX104:AX108" si="179">IFERROR(+AY104/AW104,0)</f>
        <v>0</v>
      </c>
      <c r="AY104" s="122"/>
      <c r="BA104" s="34"/>
      <c r="BB104" s="59">
        <f t="shared" ref="BB104:BB108" si="180">IFERROR(+BC104/BA104,0)</f>
        <v>0</v>
      </c>
      <c r="BC104" s="122"/>
      <c r="BE104" s="61">
        <f t="shared" ref="BE104:BE108" si="181">+I104+M104+Q104++U104+Y104+AC104+AG104+AK104+AO104+AS104+AW104+BA104</f>
        <v>0</v>
      </c>
      <c r="BF104" s="60">
        <f t="shared" ref="BF104:BF108" si="182">IFERROR(+BG104/BE104,0)</f>
        <v>0</v>
      </c>
      <c r="BG104" s="61">
        <f t="shared" ref="BG104:BG108" si="183">+K104+O104+S104+W104+AA104+AE104+AI104+AM104+AQ104+AU104+AY104+BC104</f>
        <v>0</v>
      </c>
    </row>
    <row r="105" spans="1:59" ht="21" hidden="1" customHeight="1" x14ac:dyDescent="0.3">
      <c r="A105" s="11"/>
      <c r="B105" s="181"/>
      <c r="C105" s="34"/>
      <c r="D105" s="34"/>
      <c r="E105" s="34"/>
      <c r="F105" s="34"/>
      <c r="G105" s="57"/>
      <c r="H105" s="35"/>
      <c r="I105" s="34"/>
      <c r="J105" s="59">
        <f t="shared" si="169"/>
        <v>0</v>
      </c>
      <c r="K105" s="122"/>
      <c r="M105" s="34"/>
      <c r="N105" s="59">
        <f t="shared" si="170"/>
        <v>0</v>
      </c>
      <c r="O105" s="122"/>
      <c r="Q105" s="34"/>
      <c r="R105" s="59">
        <f t="shared" si="171"/>
        <v>0</v>
      </c>
      <c r="S105" s="122"/>
      <c r="U105" s="34"/>
      <c r="V105" s="59">
        <f t="shared" si="172"/>
        <v>0</v>
      </c>
      <c r="W105" s="122"/>
      <c r="Y105" s="34"/>
      <c r="Z105" s="59">
        <f t="shared" si="173"/>
        <v>0</v>
      </c>
      <c r="AA105" s="122"/>
      <c r="AC105" s="34"/>
      <c r="AD105" s="59">
        <f t="shared" si="174"/>
        <v>0</v>
      </c>
      <c r="AE105" s="122"/>
      <c r="AG105" s="34"/>
      <c r="AH105" s="59">
        <f t="shared" si="175"/>
        <v>0</v>
      </c>
      <c r="AI105" s="122"/>
      <c r="AK105" s="34"/>
      <c r="AL105" s="59">
        <f t="shared" si="176"/>
        <v>0</v>
      </c>
      <c r="AM105" s="122"/>
      <c r="AO105" s="34"/>
      <c r="AP105" s="59">
        <f t="shared" si="177"/>
        <v>0</v>
      </c>
      <c r="AQ105" s="122"/>
      <c r="AS105" s="34"/>
      <c r="AT105" s="59">
        <f t="shared" si="178"/>
        <v>0</v>
      </c>
      <c r="AU105" s="122"/>
      <c r="AW105" s="34"/>
      <c r="AX105" s="59">
        <f t="shared" si="179"/>
        <v>0</v>
      </c>
      <c r="AY105" s="122"/>
      <c r="BA105" s="34"/>
      <c r="BB105" s="59">
        <f t="shared" si="180"/>
        <v>0</v>
      </c>
      <c r="BC105" s="122"/>
      <c r="BE105" s="61">
        <f t="shared" si="181"/>
        <v>0</v>
      </c>
      <c r="BF105" s="60">
        <f t="shared" si="182"/>
        <v>0</v>
      </c>
      <c r="BG105" s="61">
        <f t="shared" si="183"/>
        <v>0</v>
      </c>
    </row>
    <row r="106" spans="1:59" ht="21" hidden="1" customHeight="1" x14ac:dyDescent="0.3">
      <c r="A106" s="11"/>
      <c r="B106" s="181"/>
      <c r="C106" s="34"/>
      <c r="D106" s="34"/>
      <c r="E106" s="34"/>
      <c r="F106" s="34"/>
      <c r="G106" s="57"/>
      <c r="H106" s="35"/>
      <c r="I106" s="34"/>
      <c r="J106" s="59">
        <f t="shared" si="169"/>
        <v>0</v>
      </c>
      <c r="K106" s="122"/>
      <c r="M106" s="34"/>
      <c r="N106" s="59">
        <f t="shared" si="170"/>
        <v>0</v>
      </c>
      <c r="O106" s="122"/>
      <c r="Q106" s="34"/>
      <c r="R106" s="59">
        <f t="shared" si="171"/>
        <v>0</v>
      </c>
      <c r="S106" s="122"/>
      <c r="U106" s="34"/>
      <c r="V106" s="59">
        <f t="shared" si="172"/>
        <v>0</v>
      </c>
      <c r="W106" s="122"/>
      <c r="Y106" s="34"/>
      <c r="Z106" s="59">
        <f t="shared" si="173"/>
        <v>0</v>
      </c>
      <c r="AA106" s="122"/>
      <c r="AC106" s="34"/>
      <c r="AD106" s="59">
        <f t="shared" si="174"/>
        <v>0</v>
      </c>
      <c r="AE106" s="122"/>
      <c r="AG106" s="34"/>
      <c r="AH106" s="59">
        <f t="shared" si="175"/>
        <v>0</v>
      </c>
      <c r="AI106" s="122"/>
      <c r="AK106" s="34"/>
      <c r="AL106" s="59">
        <f t="shared" si="176"/>
        <v>0</v>
      </c>
      <c r="AM106" s="122"/>
      <c r="AO106" s="34"/>
      <c r="AP106" s="59">
        <f t="shared" si="177"/>
        <v>0</v>
      </c>
      <c r="AQ106" s="122"/>
      <c r="AS106" s="34"/>
      <c r="AT106" s="59">
        <f t="shared" si="178"/>
        <v>0</v>
      </c>
      <c r="AU106" s="122"/>
      <c r="AW106" s="34"/>
      <c r="AX106" s="59">
        <f t="shared" si="179"/>
        <v>0</v>
      </c>
      <c r="AY106" s="122"/>
      <c r="BA106" s="34"/>
      <c r="BB106" s="59">
        <f t="shared" si="180"/>
        <v>0</v>
      </c>
      <c r="BC106" s="122"/>
      <c r="BE106" s="61">
        <f t="shared" si="181"/>
        <v>0</v>
      </c>
      <c r="BF106" s="60">
        <f t="shared" si="182"/>
        <v>0</v>
      </c>
      <c r="BG106" s="61">
        <f t="shared" si="183"/>
        <v>0</v>
      </c>
    </row>
    <row r="107" spans="1:59" ht="21" hidden="1" customHeight="1" x14ac:dyDescent="0.3">
      <c r="A107" s="11"/>
      <c r="B107" s="181"/>
      <c r="C107" s="34"/>
      <c r="D107" s="34"/>
      <c r="E107" s="34"/>
      <c r="F107" s="34"/>
      <c r="G107" s="57"/>
      <c r="H107" s="35"/>
      <c r="I107" s="34"/>
      <c r="J107" s="59">
        <f t="shared" si="169"/>
        <v>0</v>
      </c>
      <c r="K107" s="122"/>
      <c r="M107" s="34"/>
      <c r="N107" s="59">
        <f t="shared" si="170"/>
        <v>0</v>
      </c>
      <c r="O107" s="122"/>
      <c r="Q107" s="34"/>
      <c r="R107" s="59">
        <f t="shared" si="171"/>
        <v>0</v>
      </c>
      <c r="S107" s="122"/>
      <c r="U107" s="34"/>
      <c r="V107" s="59">
        <f t="shared" si="172"/>
        <v>0</v>
      </c>
      <c r="W107" s="122"/>
      <c r="Y107" s="34"/>
      <c r="Z107" s="59">
        <f t="shared" si="173"/>
        <v>0</v>
      </c>
      <c r="AA107" s="122"/>
      <c r="AC107" s="34"/>
      <c r="AD107" s="59">
        <f t="shared" si="174"/>
        <v>0</v>
      </c>
      <c r="AE107" s="122"/>
      <c r="AG107" s="34"/>
      <c r="AH107" s="59">
        <f t="shared" si="175"/>
        <v>0</v>
      </c>
      <c r="AI107" s="122"/>
      <c r="AK107" s="34"/>
      <c r="AL107" s="59">
        <f t="shared" si="176"/>
        <v>0</v>
      </c>
      <c r="AM107" s="122"/>
      <c r="AO107" s="34"/>
      <c r="AP107" s="59">
        <f t="shared" si="177"/>
        <v>0</v>
      </c>
      <c r="AQ107" s="122"/>
      <c r="AS107" s="34"/>
      <c r="AT107" s="59">
        <f t="shared" si="178"/>
        <v>0</v>
      </c>
      <c r="AU107" s="122"/>
      <c r="AW107" s="34"/>
      <c r="AX107" s="59">
        <f t="shared" si="179"/>
        <v>0</v>
      </c>
      <c r="AY107" s="122"/>
      <c r="BA107" s="34"/>
      <c r="BB107" s="59">
        <f t="shared" si="180"/>
        <v>0</v>
      </c>
      <c r="BC107" s="122"/>
      <c r="BE107" s="61">
        <f t="shared" si="181"/>
        <v>0</v>
      </c>
      <c r="BF107" s="60">
        <f t="shared" si="182"/>
        <v>0</v>
      </c>
      <c r="BG107" s="61">
        <f t="shared" si="183"/>
        <v>0</v>
      </c>
    </row>
    <row r="108" spans="1:59" ht="21" hidden="1" customHeight="1" x14ac:dyDescent="0.3">
      <c r="A108" s="11"/>
      <c r="B108" s="181"/>
      <c r="C108" s="34"/>
      <c r="D108" s="34"/>
      <c r="E108" s="34"/>
      <c r="F108" s="34"/>
      <c r="G108" s="57"/>
      <c r="H108" s="35"/>
      <c r="I108" s="34"/>
      <c r="J108" s="59">
        <f t="shared" si="169"/>
        <v>0</v>
      </c>
      <c r="K108" s="122"/>
      <c r="M108" s="34"/>
      <c r="N108" s="59">
        <f t="shared" si="170"/>
        <v>0</v>
      </c>
      <c r="O108" s="122"/>
      <c r="Q108" s="34"/>
      <c r="R108" s="59">
        <f t="shared" si="171"/>
        <v>0</v>
      </c>
      <c r="S108" s="122"/>
      <c r="U108" s="34"/>
      <c r="V108" s="59">
        <f t="shared" si="172"/>
        <v>0</v>
      </c>
      <c r="W108" s="122"/>
      <c r="Y108" s="34"/>
      <c r="Z108" s="59">
        <f t="shared" si="173"/>
        <v>0</v>
      </c>
      <c r="AA108" s="122"/>
      <c r="AC108" s="34"/>
      <c r="AD108" s="59">
        <f t="shared" si="174"/>
        <v>0</v>
      </c>
      <c r="AE108" s="122"/>
      <c r="AG108" s="34"/>
      <c r="AH108" s="59">
        <f t="shared" si="175"/>
        <v>0</v>
      </c>
      <c r="AI108" s="122"/>
      <c r="AK108" s="34"/>
      <c r="AL108" s="59">
        <f t="shared" si="176"/>
        <v>0</v>
      </c>
      <c r="AM108" s="122"/>
      <c r="AO108" s="34"/>
      <c r="AP108" s="59">
        <f t="shared" si="177"/>
        <v>0</v>
      </c>
      <c r="AQ108" s="122"/>
      <c r="AS108" s="34"/>
      <c r="AT108" s="59">
        <f t="shared" si="178"/>
        <v>0</v>
      </c>
      <c r="AU108" s="122"/>
      <c r="AW108" s="34"/>
      <c r="AX108" s="59">
        <f t="shared" si="179"/>
        <v>0</v>
      </c>
      <c r="AY108" s="122"/>
      <c r="BA108" s="34"/>
      <c r="BB108" s="59">
        <f t="shared" si="180"/>
        <v>0</v>
      </c>
      <c r="BC108" s="122"/>
      <c r="BE108" s="61">
        <f t="shared" si="181"/>
        <v>0</v>
      </c>
      <c r="BF108" s="60">
        <f t="shared" si="182"/>
        <v>0</v>
      </c>
      <c r="BG108" s="61">
        <f t="shared" si="183"/>
        <v>0</v>
      </c>
    </row>
    <row r="109" spans="1:59" ht="21" hidden="1" customHeight="1" x14ac:dyDescent="0.3">
      <c r="A109" s="11"/>
      <c r="B109" s="181"/>
      <c r="C109" s="34"/>
      <c r="D109" s="34"/>
      <c r="E109" s="34"/>
      <c r="F109" s="34"/>
      <c r="G109" s="57" t="str">
        <f>IFERROR(+VLOOKUP(F109,Datos!$P:$Q,2,0),"")</f>
        <v/>
      </c>
      <c r="H109" s="35"/>
      <c r="I109" s="34"/>
      <c r="J109" s="59">
        <f>IFERROR(+K109/I109,0)</f>
        <v>0</v>
      </c>
      <c r="K109" s="122"/>
      <c r="M109" s="34"/>
      <c r="N109" s="59">
        <f>IFERROR(+O109/M109,0)</f>
        <v>0</v>
      </c>
      <c r="O109" s="122"/>
      <c r="Q109" s="34"/>
      <c r="R109" s="59">
        <f>IFERROR(+S109/Q109,0)</f>
        <v>0</v>
      </c>
      <c r="S109" s="122"/>
      <c r="U109" s="34"/>
      <c r="V109" s="59">
        <f>IFERROR(+W109/U109,0)</f>
        <v>0</v>
      </c>
      <c r="W109" s="122"/>
      <c r="Y109" s="34"/>
      <c r="Z109" s="59">
        <f>IFERROR(+AA109/Y109,0)</f>
        <v>0</v>
      </c>
      <c r="AA109" s="122"/>
      <c r="AC109" s="34"/>
      <c r="AD109" s="59">
        <f>IFERROR(+AE109/AC109,0)</f>
        <v>0</v>
      </c>
      <c r="AE109" s="122"/>
      <c r="AG109" s="34"/>
      <c r="AH109" s="59">
        <f>IFERROR(+AI109/AG109,0)</f>
        <v>0</v>
      </c>
      <c r="AI109" s="122"/>
      <c r="AK109" s="34"/>
      <c r="AL109" s="59">
        <f>IFERROR(+AM109/AK109,0)</f>
        <v>0</v>
      </c>
      <c r="AM109" s="122"/>
      <c r="AO109" s="34"/>
      <c r="AP109" s="59">
        <f>IFERROR(+AQ109/AO109,0)</f>
        <v>0</v>
      </c>
      <c r="AQ109" s="122"/>
      <c r="AS109" s="34"/>
      <c r="AT109" s="59">
        <f>IFERROR(+AU109/AS109,0)</f>
        <v>0</v>
      </c>
      <c r="AU109" s="122"/>
      <c r="AW109" s="34"/>
      <c r="AX109" s="59">
        <f>IFERROR(+AY109/AW109,0)</f>
        <v>0</v>
      </c>
      <c r="AY109" s="122"/>
      <c r="BA109" s="34"/>
      <c r="BB109" s="59">
        <f>IFERROR(+BC109/BA109,0)</f>
        <v>0</v>
      </c>
      <c r="BC109" s="122"/>
      <c r="BE109" s="61">
        <f>+I109+M109+Q109++U109+Y109+AC109+AG109+AK109+AO109+AS109+AW109+BA109</f>
        <v>0</v>
      </c>
      <c r="BF109" s="60">
        <f>IFERROR(+BG109/BE109,0)</f>
        <v>0</v>
      </c>
      <c r="BG109" s="61">
        <f>+K109+O109+S109+W109+AA109+AE109+AI109+AM109+AQ109+AU109+AY109+BC109</f>
        <v>0</v>
      </c>
    </row>
    <row r="110" spans="1:59" ht="21" hidden="1" customHeight="1" x14ac:dyDescent="0.3">
      <c r="A110" s="11"/>
      <c r="B110" s="330" t="s">
        <v>227</v>
      </c>
      <c r="C110" s="331"/>
      <c r="D110" s="331"/>
      <c r="E110" s="331"/>
      <c r="F110" s="331"/>
      <c r="G110" s="332"/>
      <c r="H110" s="35"/>
      <c r="I110" s="61">
        <f>SUM(I103:I109)</f>
        <v>0</v>
      </c>
      <c r="J110" s="60">
        <f t="shared" ref="J110" si="184">IFERROR(+K110/I110,0)</f>
        <v>0</v>
      </c>
      <c r="K110" s="61">
        <f>SUM(K103:K109)</f>
        <v>0</v>
      </c>
      <c r="M110" s="61">
        <f>SUM(M103:M109)</f>
        <v>0</v>
      </c>
      <c r="N110" s="60">
        <f t="shared" ref="N110" si="185">IFERROR(+O110/M110,0)</f>
        <v>0</v>
      </c>
      <c r="O110" s="61">
        <f>SUM(O103:O109)</f>
        <v>0</v>
      </c>
      <c r="Q110" s="61">
        <f>SUM(Q103:Q109)</f>
        <v>0</v>
      </c>
      <c r="R110" s="60">
        <f t="shared" ref="R110" si="186">IFERROR(+S110/Q110,0)</f>
        <v>0</v>
      </c>
      <c r="S110" s="61">
        <f>SUM(S103:S109)</f>
        <v>0</v>
      </c>
      <c r="U110" s="61">
        <f>SUM(U103:U109)</f>
        <v>0</v>
      </c>
      <c r="V110" s="60">
        <f t="shared" ref="V110" si="187">IFERROR(+W110/U110,0)</f>
        <v>0</v>
      </c>
      <c r="W110" s="61">
        <f>SUM(W103:W109)</f>
        <v>0</v>
      </c>
      <c r="Y110" s="61">
        <f>SUM(Y103:Y109)</f>
        <v>0</v>
      </c>
      <c r="Z110" s="60">
        <f t="shared" ref="Z110" si="188">IFERROR(+AA110/Y110,0)</f>
        <v>0</v>
      </c>
      <c r="AA110" s="61">
        <f>SUM(AA103:AA109)</f>
        <v>0</v>
      </c>
      <c r="AC110" s="61">
        <f>SUM(AC103:AC109)</f>
        <v>0</v>
      </c>
      <c r="AD110" s="60">
        <f t="shared" ref="AD110" si="189">IFERROR(+AE110/AC110,0)</f>
        <v>0</v>
      </c>
      <c r="AE110" s="61">
        <f>SUM(AE103:AE109)</f>
        <v>0</v>
      </c>
      <c r="AG110" s="61">
        <f>SUM(AG103:AG109)</f>
        <v>0</v>
      </c>
      <c r="AH110" s="60">
        <f t="shared" ref="AH110" si="190">IFERROR(+AI110/AG110,0)</f>
        <v>0</v>
      </c>
      <c r="AI110" s="61">
        <f>SUM(AI103:AI109)</f>
        <v>0</v>
      </c>
      <c r="AK110" s="61">
        <f>SUM(AK103:AK109)</f>
        <v>0</v>
      </c>
      <c r="AL110" s="60">
        <f t="shared" ref="AL110" si="191">IFERROR(+AM110/AK110,0)</f>
        <v>0</v>
      </c>
      <c r="AM110" s="61">
        <f>SUM(AM103:AM109)</f>
        <v>0</v>
      </c>
      <c r="AO110" s="61">
        <f>SUM(AO103:AO109)</f>
        <v>0</v>
      </c>
      <c r="AP110" s="60">
        <f t="shared" ref="AP110" si="192">IFERROR(+AQ110/AO110,0)</f>
        <v>0</v>
      </c>
      <c r="AQ110" s="61">
        <f>SUM(AQ103:AQ109)</f>
        <v>0</v>
      </c>
      <c r="AS110" s="61">
        <f>SUM(AS103:AS109)</f>
        <v>0</v>
      </c>
      <c r="AT110" s="60">
        <f t="shared" ref="AT110" si="193">IFERROR(+AU110/AS110,0)</f>
        <v>0</v>
      </c>
      <c r="AU110" s="61">
        <f>SUM(AU103:AU109)</f>
        <v>0</v>
      </c>
      <c r="AW110" s="61">
        <f>SUM(AW103:AW109)</f>
        <v>0</v>
      </c>
      <c r="AX110" s="60">
        <f t="shared" ref="AX110" si="194">IFERROR(+AY110/AW110,0)</f>
        <v>0</v>
      </c>
      <c r="AY110" s="61">
        <f>SUM(AY103:AY109)</f>
        <v>0</v>
      </c>
      <c r="BA110" s="61">
        <f>SUM(BA103:BA109)</f>
        <v>0</v>
      </c>
      <c r="BB110" s="60">
        <f t="shared" ref="BB110" si="195">IFERROR(+BC110/BA110,0)</f>
        <v>0</v>
      </c>
      <c r="BC110" s="61">
        <f>SUM(BC103:BC109)</f>
        <v>0</v>
      </c>
      <c r="BE110" s="61">
        <f>SUM(BE103:BE109)</f>
        <v>0</v>
      </c>
      <c r="BF110" s="60">
        <f t="shared" ref="BF110" si="196">IFERROR(+BG110/BE110,0)</f>
        <v>0</v>
      </c>
      <c r="BG110" s="61">
        <f>SUM(BG103:BG109)</f>
        <v>0</v>
      </c>
    </row>
    <row r="111" spans="1:59" hidden="1" x14ac:dyDescent="0.3"/>
    <row r="112" spans="1:59" ht="36" hidden="1" customHeight="1" x14ac:dyDescent="0.3">
      <c r="B112" s="338" t="s">
        <v>241</v>
      </c>
      <c r="C112" s="338"/>
      <c r="D112" s="338"/>
      <c r="E112" s="338"/>
      <c r="F112" s="338"/>
      <c r="G112" s="338"/>
      <c r="H112" s="338"/>
      <c r="I112" s="338"/>
      <c r="J112" s="338"/>
    </row>
    <row r="113" spans="1:59" hidden="1" x14ac:dyDescent="0.3"/>
    <row r="114" spans="1:59" ht="21" hidden="1" customHeight="1" x14ac:dyDescent="0.3">
      <c r="A114" s="11"/>
      <c r="B114" s="329" t="s">
        <v>894</v>
      </c>
      <c r="C114" s="329" t="s">
        <v>895</v>
      </c>
      <c r="D114" s="325" t="s">
        <v>235</v>
      </c>
      <c r="E114" s="319" t="s">
        <v>232</v>
      </c>
      <c r="F114" s="322" t="s">
        <v>233</v>
      </c>
      <c r="G114" s="319" t="s">
        <v>234</v>
      </c>
      <c r="H114" s="36"/>
      <c r="I114" s="328" t="str">
        <f>+"Enero "&amp;$I$6&amp;""</f>
        <v>Enero 2025</v>
      </c>
      <c r="J114" s="328"/>
      <c r="K114" s="328"/>
      <c r="M114" s="328" t="str">
        <f>+"Febrero "&amp;$I$6&amp;""</f>
        <v>Febrero 2025</v>
      </c>
      <c r="N114" s="328"/>
      <c r="O114" s="328"/>
      <c r="Q114" s="328" t="str">
        <f>+"Marzo "&amp;$I$6&amp;""</f>
        <v>Marzo 2025</v>
      </c>
      <c r="R114" s="328"/>
      <c r="S114" s="328"/>
      <c r="U114" s="328" t="str">
        <f>+"Abril "&amp;$I$6&amp;""</f>
        <v>Abril 2025</v>
      </c>
      <c r="V114" s="328"/>
      <c r="W114" s="328"/>
      <c r="Y114" s="328" t="str">
        <f>+"Mayo "&amp;$I$6&amp;""</f>
        <v>Mayo 2025</v>
      </c>
      <c r="Z114" s="328"/>
      <c r="AA114" s="328"/>
      <c r="AC114" s="328" t="str">
        <f>+"Junio "&amp;$I$6&amp;""</f>
        <v>Junio 2025</v>
      </c>
      <c r="AD114" s="328"/>
      <c r="AE114" s="328"/>
      <c r="AG114" s="328" t="str">
        <f>+"Julio "&amp;$I$6&amp;""</f>
        <v>Julio 2025</v>
      </c>
      <c r="AH114" s="328"/>
      <c r="AI114" s="328"/>
      <c r="AK114" s="328" t="str">
        <f>+"Agosto "&amp;$I$6&amp;""</f>
        <v>Agosto 2025</v>
      </c>
      <c r="AL114" s="328"/>
      <c r="AM114" s="328"/>
      <c r="AO114" s="328" t="str">
        <f>+"Septiembre "&amp;$I$6&amp;""</f>
        <v>Septiembre 2025</v>
      </c>
      <c r="AP114" s="328"/>
      <c r="AQ114" s="328"/>
      <c r="AS114" s="328" t="str">
        <f>+"Octubre "&amp;$I$6&amp;""</f>
        <v>Octubre 2025</v>
      </c>
      <c r="AT114" s="328"/>
      <c r="AU114" s="328"/>
      <c r="AW114" s="328" t="str">
        <f>+"Noviembre "&amp;$I$6&amp;""</f>
        <v>Noviembre 2025</v>
      </c>
      <c r="AX114" s="328"/>
      <c r="AY114" s="328"/>
      <c r="BA114" s="328" t="str">
        <f>+"Diciembre "&amp;$I$6&amp;""</f>
        <v>Diciembre 2025</v>
      </c>
      <c r="BB114" s="328"/>
      <c r="BC114" s="328"/>
      <c r="BE114" s="328" t="str">
        <f>+"Acumulado "&amp;$I$6&amp;""</f>
        <v>Acumulado 2025</v>
      </c>
      <c r="BF114" s="328"/>
      <c r="BG114" s="328"/>
    </row>
    <row r="115" spans="1:59" ht="21" hidden="1" customHeight="1" x14ac:dyDescent="0.3">
      <c r="A115" s="11"/>
      <c r="B115" s="329"/>
      <c r="C115" s="329"/>
      <c r="D115" s="326"/>
      <c r="E115" s="321"/>
      <c r="F115" s="323"/>
      <c r="G115" s="321"/>
      <c r="H115" s="36"/>
      <c r="I115" s="221" t="s">
        <v>60</v>
      </c>
      <c r="J115" s="319" t="s">
        <v>61</v>
      </c>
      <c r="K115" s="221" t="s">
        <v>62</v>
      </c>
      <c r="L115" s="20"/>
      <c r="M115" s="221" t="s">
        <v>60</v>
      </c>
      <c r="N115" s="319" t="s">
        <v>61</v>
      </c>
      <c r="O115" s="221" t="s">
        <v>62</v>
      </c>
      <c r="P115" s="20"/>
      <c r="Q115" s="221" t="s">
        <v>60</v>
      </c>
      <c r="R115" s="319" t="s">
        <v>61</v>
      </c>
      <c r="S115" s="221" t="s">
        <v>62</v>
      </c>
      <c r="T115" s="20"/>
      <c r="U115" s="221" t="s">
        <v>60</v>
      </c>
      <c r="V115" s="319" t="s">
        <v>61</v>
      </c>
      <c r="W115" s="221" t="s">
        <v>62</v>
      </c>
      <c r="X115" s="20"/>
      <c r="Y115" s="221" t="s">
        <v>60</v>
      </c>
      <c r="Z115" s="319" t="s">
        <v>61</v>
      </c>
      <c r="AA115" s="221" t="s">
        <v>62</v>
      </c>
      <c r="AB115" s="20"/>
      <c r="AC115" s="221" t="s">
        <v>60</v>
      </c>
      <c r="AD115" s="319" t="s">
        <v>61</v>
      </c>
      <c r="AE115" s="221" t="s">
        <v>62</v>
      </c>
      <c r="AF115" s="20"/>
      <c r="AG115" s="221" t="s">
        <v>60</v>
      </c>
      <c r="AH115" s="319" t="s">
        <v>61</v>
      </c>
      <c r="AI115" s="221" t="s">
        <v>62</v>
      </c>
      <c r="AJ115" s="20"/>
      <c r="AK115" s="221" t="s">
        <v>60</v>
      </c>
      <c r="AL115" s="319" t="s">
        <v>61</v>
      </c>
      <c r="AM115" s="221" t="s">
        <v>62</v>
      </c>
      <c r="AN115" s="20"/>
      <c r="AO115" s="221" t="s">
        <v>60</v>
      </c>
      <c r="AP115" s="319" t="s">
        <v>61</v>
      </c>
      <c r="AQ115" s="221" t="s">
        <v>62</v>
      </c>
      <c r="AR115" s="20"/>
      <c r="AS115" s="221" t="s">
        <v>60</v>
      </c>
      <c r="AT115" s="319" t="s">
        <v>61</v>
      </c>
      <c r="AU115" s="221" t="s">
        <v>62</v>
      </c>
      <c r="AV115" s="20"/>
      <c r="AW115" s="221" t="s">
        <v>60</v>
      </c>
      <c r="AX115" s="319" t="s">
        <v>61</v>
      </c>
      <c r="AY115" s="221" t="s">
        <v>62</v>
      </c>
      <c r="AZ115" s="20"/>
      <c r="BA115" s="221" t="s">
        <v>60</v>
      </c>
      <c r="BB115" s="319" t="s">
        <v>61</v>
      </c>
      <c r="BC115" s="221" t="s">
        <v>62</v>
      </c>
      <c r="BD115" s="20"/>
      <c r="BE115" s="221" t="s">
        <v>60</v>
      </c>
      <c r="BF115" s="319" t="s">
        <v>61</v>
      </c>
      <c r="BG115" s="221" t="s">
        <v>62</v>
      </c>
    </row>
    <row r="116" spans="1:59" ht="21" hidden="1" customHeight="1" x14ac:dyDescent="0.3">
      <c r="A116" s="11"/>
      <c r="B116" s="329"/>
      <c r="C116" s="329"/>
      <c r="D116" s="327"/>
      <c r="E116" s="320"/>
      <c r="F116" s="324"/>
      <c r="G116" s="320"/>
      <c r="H116" s="36"/>
      <c r="I116" s="220" t="s">
        <v>987</v>
      </c>
      <c r="J116" s="320"/>
      <c r="K116" s="220" t="s">
        <v>988</v>
      </c>
      <c r="L116" s="20"/>
      <c r="M116" s="220" t="s">
        <v>987</v>
      </c>
      <c r="N116" s="320"/>
      <c r="O116" s="220" t="s">
        <v>988</v>
      </c>
      <c r="P116" s="20"/>
      <c r="Q116" s="220" t="s">
        <v>987</v>
      </c>
      <c r="R116" s="320"/>
      <c r="S116" s="220" t="s">
        <v>988</v>
      </c>
      <c r="T116" s="20"/>
      <c r="U116" s="220" t="s">
        <v>987</v>
      </c>
      <c r="V116" s="320"/>
      <c r="W116" s="220" t="s">
        <v>988</v>
      </c>
      <c r="X116" s="20"/>
      <c r="Y116" s="220" t="s">
        <v>987</v>
      </c>
      <c r="Z116" s="320"/>
      <c r="AA116" s="220" t="s">
        <v>988</v>
      </c>
      <c r="AB116" s="20"/>
      <c r="AC116" s="220" t="s">
        <v>987</v>
      </c>
      <c r="AD116" s="320"/>
      <c r="AE116" s="220" t="s">
        <v>988</v>
      </c>
      <c r="AF116" s="20"/>
      <c r="AG116" s="220" t="s">
        <v>987</v>
      </c>
      <c r="AH116" s="320"/>
      <c r="AI116" s="220" t="s">
        <v>988</v>
      </c>
      <c r="AJ116" s="20"/>
      <c r="AK116" s="220" t="s">
        <v>987</v>
      </c>
      <c r="AL116" s="320"/>
      <c r="AM116" s="220" t="s">
        <v>988</v>
      </c>
      <c r="AN116" s="20"/>
      <c r="AO116" s="220" t="s">
        <v>987</v>
      </c>
      <c r="AP116" s="320"/>
      <c r="AQ116" s="220" t="s">
        <v>988</v>
      </c>
      <c r="AR116" s="20"/>
      <c r="AS116" s="220" t="s">
        <v>987</v>
      </c>
      <c r="AT116" s="320"/>
      <c r="AU116" s="220" t="s">
        <v>988</v>
      </c>
      <c r="AV116" s="20"/>
      <c r="AW116" s="220" t="s">
        <v>987</v>
      </c>
      <c r="AX116" s="320"/>
      <c r="AY116" s="220" t="s">
        <v>988</v>
      </c>
      <c r="AZ116" s="20"/>
      <c r="BA116" s="220" t="s">
        <v>987</v>
      </c>
      <c r="BB116" s="320"/>
      <c r="BC116" s="220" t="s">
        <v>988</v>
      </c>
      <c r="BD116" s="20"/>
      <c r="BE116" s="220" t="s">
        <v>987</v>
      </c>
      <c r="BF116" s="320"/>
      <c r="BG116" s="220" t="s">
        <v>988</v>
      </c>
    </row>
    <row r="117" spans="1:59" ht="21" hidden="1" customHeight="1" x14ac:dyDescent="0.3">
      <c r="A117" s="11"/>
      <c r="B117" s="181"/>
      <c r="C117" s="34"/>
      <c r="D117" s="34"/>
      <c r="E117" s="34"/>
      <c r="F117" s="34"/>
      <c r="G117" s="57"/>
      <c r="H117" s="35"/>
      <c r="I117" s="34"/>
      <c r="J117" s="59">
        <f>IFERROR(+K117/I117,0)</f>
        <v>0</v>
      </c>
      <c r="K117" s="34"/>
      <c r="M117" s="34"/>
      <c r="N117" s="59">
        <f>IFERROR(+O117/M117,0)</f>
        <v>0</v>
      </c>
      <c r="O117" s="34"/>
      <c r="Q117" s="34"/>
      <c r="R117" s="59">
        <f>IFERROR(+S117/Q117,0)</f>
        <v>0</v>
      </c>
      <c r="S117" s="34"/>
      <c r="U117" s="34"/>
      <c r="V117" s="59">
        <f>IFERROR(+W117/U117,0)</f>
        <v>0</v>
      </c>
      <c r="W117" s="34"/>
      <c r="Y117" s="34"/>
      <c r="Z117" s="59">
        <f>IFERROR(+AA117/Y117,0)</f>
        <v>0</v>
      </c>
      <c r="AA117" s="34"/>
      <c r="AC117" s="34"/>
      <c r="AD117" s="59">
        <f>IFERROR(+AE117/AC117,0)</f>
        <v>0</v>
      </c>
      <c r="AE117" s="34"/>
      <c r="AG117" s="34"/>
      <c r="AH117" s="59">
        <f>IFERROR(+AI117/AG117,0)</f>
        <v>0</v>
      </c>
      <c r="AI117" s="34"/>
      <c r="AK117" s="34"/>
      <c r="AL117" s="59">
        <f>IFERROR(+AM117/AK117,0)</f>
        <v>0</v>
      </c>
      <c r="AM117" s="34"/>
      <c r="AO117" s="34"/>
      <c r="AP117" s="59">
        <f>IFERROR(+AQ117/AO117,0)</f>
        <v>0</v>
      </c>
      <c r="AQ117" s="34"/>
      <c r="AS117" s="34"/>
      <c r="AT117" s="59">
        <f>IFERROR(+AU117/AS117,0)</f>
        <v>0</v>
      </c>
      <c r="AU117" s="34"/>
      <c r="AW117" s="34"/>
      <c r="AX117" s="59">
        <f>IFERROR(+AY117/AW117,0)</f>
        <v>0</v>
      </c>
      <c r="AY117" s="34"/>
      <c r="BA117" s="34"/>
      <c r="BB117" s="59">
        <f>IFERROR(+BC117/BA117,0)</f>
        <v>0</v>
      </c>
      <c r="BC117" s="34"/>
      <c r="BE117" s="61">
        <f>+I117+M117+Q117++U117+Y117+AC117+AG117+AK117+AO117+AS117+AW117+BA117</f>
        <v>0</v>
      </c>
      <c r="BF117" s="60">
        <f>IFERROR(+BG117/BE117,0)</f>
        <v>0</v>
      </c>
      <c r="BG117" s="61">
        <f>+K117+O117+S117+W117+AA117+AE117+AI117+AM117+AQ117+AU117+AY117+BC117</f>
        <v>0</v>
      </c>
    </row>
    <row r="118" spans="1:59" ht="21" hidden="1" customHeight="1" x14ac:dyDescent="0.3">
      <c r="A118" s="11"/>
      <c r="B118" s="181"/>
      <c r="C118" s="34"/>
      <c r="D118" s="34"/>
      <c r="E118" s="34"/>
      <c r="F118" s="34"/>
      <c r="G118" s="57"/>
      <c r="H118" s="35"/>
      <c r="I118" s="34"/>
      <c r="J118" s="59">
        <f t="shared" ref="J118:J123" si="197">IFERROR(+K118/I118,0)</f>
        <v>0</v>
      </c>
      <c r="K118" s="34"/>
      <c r="M118" s="34"/>
      <c r="N118" s="59">
        <f t="shared" ref="N118:N123" si="198">IFERROR(+O118/M118,0)</f>
        <v>0</v>
      </c>
      <c r="O118" s="34"/>
      <c r="Q118" s="34"/>
      <c r="R118" s="59">
        <f t="shared" ref="R118:R123" si="199">IFERROR(+S118/Q118,0)</f>
        <v>0</v>
      </c>
      <c r="S118" s="34"/>
      <c r="U118" s="34"/>
      <c r="V118" s="59">
        <f t="shared" ref="V118:V123" si="200">IFERROR(+W118/U118,0)</f>
        <v>0</v>
      </c>
      <c r="W118" s="34"/>
      <c r="Y118" s="34"/>
      <c r="Z118" s="59">
        <f t="shared" ref="Z118:Z123" si="201">IFERROR(+AA118/Y118,0)</f>
        <v>0</v>
      </c>
      <c r="AA118" s="34"/>
      <c r="AC118" s="34"/>
      <c r="AD118" s="59">
        <f t="shared" ref="AD118:AD123" si="202">IFERROR(+AE118/AC118,0)</f>
        <v>0</v>
      </c>
      <c r="AE118" s="34"/>
      <c r="AG118" s="34"/>
      <c r="AH118" s="59">
        <f t="shared" ref="AH118:AH123" si="203">IFERROR(+AI118/AG118,0)</f>
        <v>0</v>
      </c>
      <c r="AI118" s="34"/>
      <c r="AK118" s="34"/>
      <c r="AL118" s="59">
        <f t="shared" ref="AL118:AL123" si="204">IFERROR(+AM118/AK118,0)</f>
        <v>0</v>
      </c>
      <c r="AM118" s="34"/>
      <c r="AO118" s="34"/>
      <c r="AP118" s="59">
        <f t="shared" ref="AP118:AP123" si="205">IFERROR(+AQ118/AO118,0)</f>
        <v>0</v>
      </c>
      <c r="AQ118" s="34"/>
      <c r="AS118" s="34"/>
      <c r="AT118" s="59">
        <f t="shared" ref="AT118:AT123" si="206">IFERROR(+AU118/AS118,0)</f>
        <v>0</v>
      </c>
      <c r="AU118" s="34"/>
      <c r="AW118" s="34"/>
      <c r="AX118" s="59">
        <f t="shared" ref="AX118:AX123" si="207">IFERROR(+AY118/AW118,0)</f>
        <v>0</v>
      </c>
      <c r="AY118" s="34"/>
      <c r="BA118" s="34"/>
      <c r="BB118" s="59">
        <f t="shared" ref="BB118:BB123" si="208">IFERROR(+BC118/BA118,0)</f>
        <v>0</v>
      </c>
      <c r="BC118" s="34"/>
      <c r="BE118" s="61">
        <f t="shared" ref="BE118:BE122" si="209">+I118+M118+Q118++U118+Y118+AC118+AG118+AK118+AO118+AS118+AW118+BA118</f>
        <v>0</v>
      </c>
      <c r="BF118" s="60">
        <f t="shared" ref="BF118:BF122" si="210">IFERROR(+BG118/BE118,0)</f>
        <v>0</v>
      </c>
      <c r="BG118" s="61">
        <f t="shared" ref="BG118:BG122" si="211">+K118+O118+S118+W118+AA118+AE118+AI118+AM118+AQ118+AU118+AY118+BC118</f>
        <v>0</v>
      </c>
    </row>
    <row r="119" spans="1:59" ht="21" hidden="1" customHeight="1" x14ac:dyDescent="0.3">
      <c r="A119" s="11"/>
      <c r="B119" s="181"/>
      <c r="C119" s="34"/>
      <c r="D119" s="34"/>
      <c r="E119" s="34"/>
      <c r="F119" s="34"/>
      <c r="G119" s="57"/>
      <c r="H119" s="35"/>
      <c r="I119" s="34"/>
      <c r="J119" s="59">
        <f t="shared" si="197"/>
        <v>0</v>
      </c>
      <c r="K119" s="34"/>
      <c r="M119" s="34"/>
      <c r="N119" s="59">
        <f t="shared" si="198"/>
        <v>0</v>
      </c>
      <c r="O119" s="34"/>
      <c r="Q119" s="34"/>
      <c r="R119" s="59">
        <f t="shared" si="199"/>
        <v>0</v>
      </c>
      <c r="S119" s="34"/>
      <c r="U119" s="34"/>
      <c r="V119" s="59">
        <f t="shared" si="200"/>
        <v>0</v>
      </c>
      <c r="W119" s="34"/>
      <c r="Y119" s="34"/>
      <c r="Z119" s="59">
        <f t="shared" si="201"/>
        <v>0</v>
      </c>
      <c r="AA119" s="34"/>
      <c r="AC119" s="34"/>
      <c r="AD119" s="59">
        <f t="shared" si="202"/>
        <v>0</v>
      </c>
      <c r="AE119" s="34"/>
      <c r="AG119" s="34"/>
      <c r="AH119" s="59">
        <f t="shared" si="203"/>
        <v>0</v>
      </c>
      <c r="AI119" s="34"/>
      <c r="AK119" s="34"/>
      <c r="AL119" s="59">
        <f t="shared" si="204"/>
        <v>0</v>
      </c>
      <c r="AM119" s="34"/>
      <c r="AO119" s="34"/>
      <c r="AP119" s="59">
        <f t="shared" si="205"/>
        <v>0</v>
      </c>
      <c r="AQ119" s="34"/>
      <c r="AS119" s="34"/>
      <c r="AT119" s="59">
        <f t="shared" si="206"/>
        <v>0</v>
      </c>
      <c r="AU119" s="34"/>
      <c r="AW119" s="34"/>
      <c r="AX119" s="59">
        <f t="shared" si="207"/>
        <v>0</v>
      </c>
      <c r="AY119" s="34"/>
      <c r="BA119" s="34"/>
      <c r="BB119" s="59">
        <f t="shared" si="208"/>
        <v>0</v>
      </c>
      <c r="BC119" s="34"/>
      <c r="BE119" s="61">
        <f t="shared" si="209"/>
        <v>0</v>
      </c>
      <c r="BF119" s="60">
        <f t="shared" si="210"/>
        <v>0</v>
      </c>
      <c r="BG119" s="61">
        <f t="shared" si="211"/>
        <v>0</v>
      </c>
    </row>
    <row r="120" spans="1:59" ht="21" hidden="1" customHeight="1" x14ac:dyDescent="0.3">
      <c r="A120" s="11"/>
      <c r="B120" s="181"/>
      <c r="C120" s="34"/>
      <c r="D120" s="34"/>
      <c r="E120" s="34"/>
      <c r="F120" s="34"/>
      <c r="G120" s="57"/>
      <c r="H120" s="35"/>
      <c r="I120" s="34"/>
      <c r="J120" s="59">
        <f t="shared" si="197"/>
        <v>0</v>
      </c>
      <c r="K120" s="34"/>
      <c r="M120" s="34"/>
      <c r="N120" s="59">
        <f t="shared" si="198"/>
        <v>0</v>
      </c>
      <c r="O120" s="34"/>
      <c r="Q120" s="34"/>
      <c r="R120" s="59">
        <f t="shared" si="199"/>
        <v>0</v>
      </c>
      <c r="S120" s="34"/>
      <c r="U120" s="34"/>
      <c r="V120" s="59">
        <f t="shared" si="200"/>
        <v>0</v>
      </c>
      <c r="W120" s="34"/>
      <c r="Y120" s="34"/>
      <c r="Z120" s="59">
        <f t="shared" si="201"/>
        <v>0</v>
      </c>
      <c r="AA120" s="34"/>
      <c r="AC120" s="34"/>
      <c r="AD120" s="59">
        <f t="shared" si="202"/>
        <v>0</v>
      </c>
      <c r="AE120" s="34"/>
      <c r="AG120" s="34"/>
      <c r="AH120" s="59">
        <f t="shared" si="203"/>
        <v>0</v>
      </c>
      <c r="AI120" s="34"/>
      <c r="AK120" s="34"/>
      <c r="AL120" s="59">
        <f t="shared" si="204"/>
        <v>0</v>
      </c>
      <c r="AM120" s="34"/>
      <c r="AO120" s="34"/>
      <c r="AP120" s="59">
        <f t="shared" si="205"/>
        <v>0</v>
      </c>
      <c r="AQ120" s="34"/>
      <c r="AS120" s="34"/>
      <c r="AT120" s="59">
        <f t="shared" si="206"/>
        <v>0</v>
      </c>
      <c r="AU120" s="34"/>
      <c r="AW120" s="34"/>
      <c r="AX120" s="59">
        <f t="shared" si="207"/>
        <v>0</v>
      </c>
      <c r="AY120" s="34"/>
      <c r="BA120" s="34"/>
      <c r="BB120" s="59">
        <f t="shared" si="208"/>
        <v>0</v>
      </c>
      <c r="BC120" s="34"/>
      <c r="BE120" s="61">
        <f t="shared" si="209"/>
        <v>0</v>
      </c>
      <c r="BF120" s="60">
        <f t="shared" si="210"/>
        <v>0</v>
      </c>
      <c r="BG120" s="61">
        <f t="shared" si="211"/>
        <v>0</v>
      </c>
    </row>
    <row r="121" spans="1:59" ht="21" hidden="1" customHeight="1" x14ac:dyDescent="0.3">
      <c r="A121" s="11"/>
      <c r="B121" s="181"/>
      <c r="C121" s="34"/>
      <c r="D121" s="34"/>
      <c r="E121" s="34"/>
      <c r="F121" s="34"/>
      <c r="G121" s="57"/>
      <c r="H121" s="35"/>
      <c r="I121" s="34"/>
      <c r="J121" s="59">
        <f t="shared" si="197"/>
        <v>0</v>
      </c>
      <c r="K121" s="34"/>
      <c r="M121" s="34"/>
      <c r="N121" s="59">
        <f t="shared" si="198"/>
        <v>0</v>
      </c>
      <c r="O121" s="34"/>
      <c r="Q121" s="34"/>
      <c r="R121" s="59">
        <f t="shared" si="199"/>
        <v>0</v>
      </c>
      <c r="S121" s="34"/>
      <c r="U121" s="34"/>
      <c r="V121" s="59">
        <f t="shared" si="200"/>
        <v>0</v>
      </c>
      <c r="W121" s="34"/>
      <c r="Y121" s="34"/>
      <c r="Z121" s="59">
        <f t="shared" si="201"/>
        <v>0</v>
      </c>
      <c r="AA121" s="34"/>
      <c r="AC121" s="34"/>
      <c r="AD121" s="59">
        <f t="shared" si="202"/>
        <v>0</v>
      </c>
      <c r="AE121" s="34"/>
      <c r="AG121" s="34"/>
      <c r="AH121" s="59">
        <f t="shared" si="203"/>
        <v>0</v>
      </c>
      <c r="AI121" s="34"/>
      <c r="AK121" s="34"/>
      <c r="AL121" s="59">
        <f t="shared" si="204"/>
        <v>0</v>
      </c>
      <c r="AM121" s="34"/>
      <c r="AO121" s="34"/>
      <c r="AP121" s="59">
        <f t="shared" si="205"/>
        <v>0</v>
      </c>
      <c r="AQ121" s="34"/>
      <c r="AS121" s="34"/>
      <c r="AT121" s="59">
        <f t="shared" si="206"/>
        <v>0</v>
      </c>
      <c r="AU121" s="34"/>
      <c r="AW121" s="34"/>
      <c r="AX121" s="59">
        <f t="shared" si="207"/>
        <v>0</v>
      </c>
      <c r="AY121" s="34"/>
      <c r="BA121" s="34"/>
      <c r="BB121" s="59">
        <f t="shared" si="208"/>
        <v>0</v>
      </c>
      <c r="BC121" s="34"/>
      <c r="BE121" s="61">
        <f t="shared" si="209"/>
        <v>0</v>
      </c>
      <c r="BF121" s="60">
        <f t="shared" si="210"/>
        <v>0</v>
      </c>
      <c r="BG121" s="61">
        <f t="shared" si="211"/>
        <v>0</v>
      </c>
    </row>
    <row r="122" spans="1:59" ht="21" hidden="1" customHeight="1" x14ac:dyDescent="0.3">
      <c r="A122" s="11"/>
      <c r="B122" s="181"/>
      <c r="C122" s="34"/>
      <c r="D122" s="34"/>
      <c r="E122" s="34"/>
      <c r="F122" s="34"/>
      <c r="G122" s="57"/>
      <c r="H122" s="35"/>
      <c r="I122" s="34"/>
      <c r="J122" s="59">
        <f>IFERROR(+K122/I122,0)</f>
        <v>0</v>
      </c>
      <c r="K122" s="34"/>
      <c r="M122" s="34"/>
      <c r="N122" s="59">
        <f>IFERROR(+O122/M122,0)</f>
        <v>0</v>
      </c>
      <c r="O122" s="34"/>
      <c r="Q122" s="34"/>
      <c r="R122" s="59">
        <f>IFERROR(+S122/Q122,0)</f>
        <v>0</v>
      </c>
      <c r="S122" s="34"/>
      <c r="U122" s="34"/>
      <c r="V122" s="59">
        <f>IFERROR(+W122/U122,0)</f>
        <v>0</v>
      </c>
      <c r="W122" s="34"/>
      <c r="Y122" s="34"/>
      <c r="Z122" s="59">
        <f>IFERROR(+AA122/Y122,0)</f>
        <v>0</v>
      </c>
      <c r="AA122" s="34"/>
      <c r="AC122" s="34"/>
      <c r="AD122" s="59">
        <f>IFERROR(+AE122/AC122,0)</f>
        <v>0</v>
      </c>
      <c r="AE122" s="34"/>
      <c r="AG122" s="34"/>
      <c r="AH122" s="59">
        <f>IFERROR(+AI122/AG122,0)</f>
        <v>0</v>
      </c>
      <c r="AI122" s="34"/>
      <c r="AK122" s="34"/>
      <c r="AL122" s="59">
        <f>IFERROR(+AM122/AK122,0)</f>
        <v>0</v>
      </c>
      <c r="AM122" s="34"/>
      <c r="AO122" s="34"/>
      <c r="AP122" s="59">
        <f>IFERROR(+AQ122/AO122,0)</f>
        <v>0</v>
      </c>
      <c r="AQ122" s="34"/>
      <c r="AS122" s="34"/>
      <c r="AT122" s="59">
        <f>IFERROR(+AU122/AS122,0)</f>
        <v>0</v>
      </c>
      <c r="AU122" s="34"/>
      <c r="AW122" s="34"/>
      <c r="AX122" s="59">
        <f>IFERROR(+AY122/AW122,0)</f>
        <v>0</v>
      </c>
      <c r="AY122" s="34"/>
      <c r="BA122" s="34"/>
      <c r="BB122" s="59">
        <f>IFERROR(+BC122/BA122,0)</f>
        <v>0</v>
      </c>
      <c r="BC122" s="34"/>
      <c r="BE122" s="61">
        <f t="shared" si="209"/>
        <v>0</v>
      </c>
      <c r="BF122" s="60">
        <f t="shared" si="210"/>
        <v>0</v>
      </c>
      <c r="BG122" s="61">
        <f t="shared" si="211"/>
        <v>0</v>
      </c>
    </row>
    <row r="123" spans="1:59" ht="21" hidden="1" customHeight="1" x14ac:dyDescent="0.3">
      <c r="A123" s="11"/>
      <c r="B123" s="181"/>
      <c r="C123" s="34"/>
      <c r="D123" s="34"/>
      <c r="E123" s="34"/>
      <c r="F123" s="34"/>
      <c r="G123" s="57" t="str">
        <f>IFERROR(+VLOOKUP(F123,Datos!$P:$Q,2,0),"")</f>
        <v/>
      </c>
      <c r="H123" s="35"/>
      <c r="I123" s="34"/>
      <c r="J123" s="59">
        <f t="shared" si="197"/>
        <v>0</v>
      </c>
      <c r="K123" s="34"/>
      <c r="M123" s="34"/>
      <c r="N123" s="59">
        <f t="shared" si="198"/>
        <v>0</v>
      </c>
      <c r="O123" s="34"/>
      <c r="Q123" s="34"/>
      <c r="R123" s="59">
        <f t="shared" si="199"/>
        <v>0</v>
      </c>
      <c r="S123" s="34"/>
      <c r="U123" s="34"/>
      <c r="V123" s="59">
        <f t="shared" si="200"/>
        <v>0</v>
      </c>
      <c r="W123" s="34"/>
      <c r="Y123" s="34"/>
      <c r="Z123" s="59">
        <f t="shared" si="201"/>
        <v>0</v>
      </c>
      <c r="AA123" s="34"/>
      <c r="AC123" s="34"/>
      <c r="AD123" s="59">
        <f t="shared" si="202"/>
        <v>0</v>
      </c>
      <c r="AE123" s="34"/>
      <c r="AG123" s="34"/>
      <c r="AH123" s="59">
        <f t="shared" si="203"/>
        <v>0</v>
      </c>
      <c r="AI123" s="34"/>
      <c r="AK123" s="34"/>
      <c r="AL123" s="59">
        <f t="shared" si="204"/>
        <v>0</v>
      </c>
      <c r="AM123" s="34"/>
      <c r="AO123" s="34"/>
      <c r="AP123" s="59">
        <f t="shared" si="205"/>
        <v>0</v>
      </c>
      <c r="AQ123" s="34"/>
      <c r="AS123" s="34"/>
      <c r="AT123" s="59">
        <f t="shared" si="206"/>
        <v>0</v>
      </c>
      <c r="AU123" s="34"/>
      <c r="AW123" s="34"/>
      <c r="AX123" s="59">
        <f t="shared" si="207"/>
        <v>0</v>
      </c>
      <c r="AY123" s="34"/>
      <c r="BA123" s="34"/>
      <c r="BB123" s="59">
        <f t="shared" si="208"/>
        <v>0</v>
      </c>
      <c r="BC123" s="34"/>
      <c r="BE123" s="61">
        <f>+I123+M123+Q123++U123+Y123+AC123+AG123+AK123+AO123+AS123+AW123+BA123</f>
        <v>0</v>
      </c>
      <c r="BF123" s="60">
        <f>IFERROR(+BG123/BE123,0)</f>
        <v>0</v>
      </c>
      <c r="BG123" s="61">
        <f>+K123+O123+S123+W123+AA123+AE123+AI123+AM123+AQ123+AU123+AY123+BC123</f>
        <v>0</v>
      </c>
    </row>
    <row r="124" spans="1:59" ht="21" hidden="1" customHeight="1" x14ac:dyDescent="0.3">
      <c r="A124" s="11"/>
      <c r="B124" s="330" t="s">
        <v>227</v>
      </c>
      <c r="C124" s="331"/>
      <c r="D124" s="331"/>
      <c r="E124" s="331"/>
      <c r="F124" s="331"/>
      <c r="G124" s="332"/>
      <c r="H124" s="35"/>
      <c r="I124" s="61">
        <f>SUM(I117:I123)</f>
        <v>0</v>
      </c>
      <c r="J124" s="60">
        <f t="shared" ref="J124" si="212">IFERROR(+K124/I124,0)</f>
        <v>0</v>
      </c>
      <c r="K124" s="61">
        <f>SUM(K117:K123)</f>
        <v>0</v>
      </c>
      <c r="M124" s="61">
        <f>SUM(M117:M123)</f>
        <v>0</v>
      </c>
      <c r="N124" s="60">
        <f t="shared" ref="N124" si="213">IFERROR(+O124/M124,0)</f>
        <v>0</v>
      </c>
      <c r="O124" s="61">
        <f>SUM(O117:O123)</f>
        <v>0</v>
      </c>
      <c r="Q124" s="61">
        <f>SUM(Q117:Q123)</f>
        <v>0</v>
      </c>
      <c r="R124" s="60">
        <f t="shared" ref="R124" si="214">IFERROR(+S124/Q124,0)</f>
        <v>0</v>
      </c>
      <c r="S124" s="61">
        <f>SUM(S117:S123)</f>
        <v>0</v>
      </c>
      <c r="U124" s="61">
        <f>SUM(U117:U123)</f>
        <v>0</v>
      </c>
      <c r="V124" s="60">
        <f t="shared" ref="V124" si="215">IFERROR(+W124/U124,0)</f>
        <v>0</v>
      </c>
      <c r="W124" s="61">
        <f>SUM(W117:W123)</f>
        <v>0</v>
      </c>
      <c r="Y124" s="61">
        <f>SUM(Y117:Y123)</f>
        <v>0</v>
      </c>
      <c r="Z124" s="60">
        <f t="shared" ref="Z124" si="216">IFERROR(+AA124/Y124,0)</f>
        <v>0</v>
      </c>
      <c r="AA124" s="61">
        <f>SUM(AA117:AA123)</f>
        <v>0</v>
      </c>
      <c r="AC124" s="61">
        <f>SUM(AC117:AC123)</f>
        <v>0</v>
      </c>
      <c r="AD124" s="60">
        <f t="shared" ref="AD124" si="217">IFERROR(+AE124/AC124,0)</f>
        <v>0</v>
      </c>
      <c r="AE124" s="61">
        <f>SUM(AE117:AE123)</f>
        <v>0</v>
      </c>
      <c r="AG124" s="61">
        <f>SUM(AG117:AG123)</f>
        <v>0</v>
      </c>
      <c r="AH124" s="60">
        <f t="shared" ref="AH124" si="218">IFERROR(+AI124/AG124,0)</f>
        <v>0</v>
      </c>
      <c r="AI124" s="61">
        <f>SUM(AI117:AI123)</f>
        <v>0</v>
      </c>
      <c r="AK124" s="61">
        <f>SUM(AK117:AK123)</f>
        <v>0</v>
      </c>
      <c r="AL124" s="60">
        <f t="shared" ref="AL124" si="219">IFERROR(+AM124/AK124,0)</f>
        <v>0</v>
      </c>
      <c r="AM124" s="61">
        <f>SUM(AM117:AM123)</f>
        <v>0</v>
      </c>
      <c r="AO124" s="61">
        <f>SUM(AO117:AO123)</f>
        <v>0</v>
      </c>
      <c r="AP124" s="60">
        <f t="shared" ref="AP124" si="220">IFERROR(+AQ124/AO124,0)</f>
        <v>0</v>
      </c>
      <c r="AQ124" s="61">
        <f>SUM(AQ117:AQ123)</f>
        <v>0</v>
      </c>
      <c r="AS124" s="61">
        <f>SUM(AS117:AS123)</f>
        <v>0</v>
      </c>
      <c r="AT124" s="60">
        <f t="shared" ref="AT124" si="221">IFERROR(+AU124/AS124,0)</f>
        <v>0</v>
      </c>
      <c r="AU124" s="61">
        <f>SUM(AU117:AU123)</f>
        <v>0</v>
      </c>
      <c r="AW124" s="61">
        <f>SUM(AW117:AW123)</f>
        <v>0</v>
      </c>
      <c r="AX124" s="60">
        <f t="shared" ref="AX124" si="222">IFERROR(+AY124/AW124,0)</f>
        <v>0</v>
      </c>
      <c r="AY124" s="61">
        <f>SUM(AY117:AY123)</f>
        <v>0</v>
      </c>
      <c r="BA124" s="61">
        <f>SUM(BA117:BA123)</f>
        <v>0</v>
      </c>
      <c r="BB124" s="60">
        <f t="shared" ref="BB124" si="223">IFERROR(+BC124/BA124,0)</f>
        <v>0</v>
      </c>
      <c r="BC124" s="61">
        <f>SUM(BC117:BC123)</f>
        <v>0</v>
      </c>
      <c r="BE124" s="61">
        <f>SUM(BE117:BE123)</f>
        <v>0</v>
      </c>
      <c r="BF124" s="60">
        <f t="shared" ref="BF124" si="224">IFERROR(+BG124/BE124,0)</f>
        <v>0</v>
      </c>
      <c r="BG124" s="61">
        <f>SUM(BG117:BG123)</f>
        <v>0</v>
      </c>
    </row>
    <row r="125" spans="1:59" hidden="1" x14ac:dyDescent="0.3"/>
    <row r="126" spans="1:59" ht="36" hidden="1" customHeight="1" x14ac:dyDescent="0.3">
      <c r="B126" s="338" t="s">
        <v>242</v>
      </c>
      <c r="C126" s="338"/>
      <c r="D126" s="338"/>
      <c r="E126" s="338"/>
      <c r="F126" s="338"/>
      <c r="G126" s="338"/>
      <c r="H126" s="338"/>
      <c r="I126" s="338"/>
      <c r="J126" s="338"/>
    </row>
    <row r="127" spans="1:59" hidden="1" x14ac:dyDescent="0.3"/>
    <row r="128" spans="1:59" ht="21" hidden="1" customHeight="1" x14ac:dyDescent="0.3">
      <c r="A128" s="11"/>
      <c r="B128" s="322" t="s">
        <v>894</v>
      </c>
      <c r="C128" s="322" t="s">
        <v>895</v>
      </c>
      <c r="D128" s="325" t="s">
        <v>235</v>
      </c>
      <c r="E128" s="322" t="s">
        <v>232</v>
      </c>
      <c r="F128" s="329" t="s">
        <v>233</v>
      </c>
      <c r="G128" s="351" t="s">
        <v>234</v>
      </c>
      <c r="H128" s="36"/>
      <c r="I128" s="328" t="str">
        <f>+"Enero "&amp;$I$6&amp;""</f>
        <v>Enero 2025</v>
      </c>
      <c r="J128" s="328"/>
      <c r="K128" s="328"/>
      <c r="M128" s="328" t="str">
        <f>+"Febrero "&amp;$I$6&amp;""</f>
        <v>Febrero 2025</v>
      </c>
      <c r="N128" s="328"/>
      <c r="O128" s="328"/>
      <c r="Q128" s="328" t="str">
        <f>+"Marzo "&amp;$I$6&amp;""</f>
        <v>Marzo 2025</v>
      </c>
      <c r="R128" s="328"/>
      <c r="S128" s="328"/>
      <c r="U128" s="328" t="str">
        <f>+"Abril "&amp;$I$6&amp;""</f>
        <v>Abril 2025</v>
      </c>
      <c r="V128" s="328"/>
      <c r="W128" s="328"/>
      <c r="Y128" s="328" t="str">
        <f>+"Mayo "&amp;$I$6&amp;""</f>
        <v>Mayo 2025</v>
      </c>
      <c r="Z128" s="328"/>
      <c r="AA128" s="328"/>
      <c r="AC128" s="328" t="str">
        <f>+"Junio "&amp;$I$6&amp;""</f>
        <v>Junio 2025</v>
      </c>
      <c r="AD128" s="328"/>
      <c r="AE128" s="328"/>
      <c r="AG128" s="328" t="str">
        <f>+"Julio "&amp;$I$6&amp;""</f>
        <v>Julio 2025</v>
      </c>
      <c r="AH128" s="328"/>
      <c r="AI128" s="328"/>
      <c r="AK128" s="328" t="str">
        <f>+"Agosto "&amp;$I$6&amp;""</f>
        <v>Agosto 2025</v>
      </c>
      <c r="AL128" s="328"/>
      <c r="AM128" s="328"/>
      <c r="AO128" s="328" t="str">
        <f>+"Septiembre "&amp;$I$6&amp;""</f>
        <v>Septiembre 2025</v>
      </c>
      <c r="AP128" s="328"/>
      <c r="AQ128" s="328"/>
      <c r="AS128" s="328" t="str">
        <f>+"Octubre "&amp;$I$6&amp;""</f>
        <v>Octubre 2025</v>
      </c>
      <c r="AT128" s="328"/>
      <c r="AU128" s="328"/>
      <c r="AW128" s="328" t="str">
        <f>+"Noviembre "&amp;$I$6&amp;""</f>
        <v>Noviembre 2025</v>
      </c>
      <c r="AX128" s="328"/>
      <c r="AY128" s="328"/>
      <c r="BA128" s="328" t="str">
        <f>+"Diciembre "&amp;$I$6&amp;""</f>
        <v>Diciembre 2025</v>
      </c>
      <c r="BB128" s="328"/>
      <c r="BC128" s="328"/>
      <c r="BE128" s="328" t="str">
        <f>+"Acumulado "&amp;$I$6&amp;""</f>
        <v>Acumulado 2025</v>
      </c>
      <c r="BF128" s="328"/>
      <c r="BG128" s="328"/>
    </row>
    <row r="129" spans="1:59" ht="21" hidden="1" customHeight="1" x14ac:dyDescent="0.3">
      <c r="A129" s="11"/>
      <c r="B129" s="324"/>
      <c r="C129" s="324"/>
      <c r="D129" s="327"/>
      <c r="E129" s="324"/>
      <c r="F129" s="329"/>
      <c r="G129" s="329"/>
      <c r="H129" s="36"/>
      <c r="I129" s="222" t="s">
        <v>989</v>
      </c>
      <c r="J129" s="58" t="s">
        <v>61</v>
      </c>
      <c r="K129" s="58" t="s">
        <v>62</v>
      </c>
      <c r="M129" s="222" t="s">
        <v>989</v>
      </c>
      <c r="N129" s="58" t="s">
        <v>61</v>
      </c>
      <c r="O129" s="58" t="s">
        <v>62</v>
      </c>
      <c r="Q129" s="222" t="s">
        <v>989</v>
      </c>
      <c r="R129" s="58" t="s">
        <v>61</v>
      </c>
      <c r="S129" s="58" t="s">
        <v>62</v>
      </c>
      <c r="U129" s="222" t="s">
        <v>989</v>
      </c>
      <c r="V129" s="58" t="s">
        <v>61</v>
      </c>
      <c r="W129" s="58" t="s">
        <v>62</v>
      </c>
      <c r="Y129" s="222" t="s">
        <v>989</v>
      </c>
      <c r="Z129" s="58" t="s">
        <v>61</v>
      </c>
      <c r="AA129" s="58" t="s">
        <v>62</v>
      </c>
      <c r="AC129" s="222" t="s">
        <v>989</v>
      </c>
      <c r="AD129" s="58" t="s">
        <v>61</v>
      </c>
      <c r="AE129" s="58" t="s">
        <v>62</v>
      </c>
      <c r="AG129" s="222" t="s">
        <v>989</v>
      </c>
      <c r="AH129" s="58" t="s">
        <v>61</v>
      </c>
      <c r="AI129" s="58" t="s">
        <v>62</v>
      </c>
      <c r="AK129" s="222" t="s">
        <v>989</v>
      </c>
      <c r="AL129" s="58" t="s">
        <v>61</v>
      </c>
      <c r="AM129" s="58" t="s">
        <v>62</v>
      </c>
      <c r="AO129" s="222" t="s">
        <v>989</v>
      </c>
      <c r="AP129" s="58" t="s">
        <v>61</v>
      </c>
      <c r="AQ129" s="58" t="s">
        <v>62</v>
      </c>
      <c r="AS129" s="222" t="s">
        <v>989</v>
      </c>
      <c r="AT129" s="58" t="s">
        <v>61</v>
      </c>
      <c r="AU129" s="58" t="s">
        <v>62</v>
      </c>
      <c r="AW129" s="222" t="s">
        <v>989</v>
      </c>
      <c r="AX129" s="58" t="s">
        <v>61</v>
      </c>
      <c r="AY129" s="58" t="s">
        <v>62</v>
      </c>
      <c r="BA129" s="222" t="s">
        <v>989</v>
      </c>
      <c r="BB129" s="58" t="s">
        <v>61</v>
      </c>
      <c r="BC129" s="58" t="s">
        <v>62</v>
      </c>
      <c r="BE129" s="222" t="s">
        <v>989</v>
      </c>
      <c r="BF129" s="58" t="s">
        <v>61</v>
      </c>
      <c r="BG129" s="58" t="s">
        <v>62</v>
      </c>
    </row>
    <row r="130" spans="1:59" ht="21" hidden="1" customHeight="1" x14ac:dyDescent="0.3">
      <c r="A130" s="11"/>
      <c r="B130" s="181"/>
      <c r="C130" s="34"/>
      <c r="D130" s="34"/>
      <c r="E130" s="34"/>
      <c r="F130" s="34"/>
      <c r="G130" s="57" t="str">
        <f>IFERROR(+VLOOKUP(F130,Datos!$S:$T,2,0),"")</f>
        <v/>
      </c>
      <c r="H130" s="35"/>
      <c r="I130" s="34"/>
      <c r="J130" s="59">
        <f>IFERROR(+K130/I130,0)</f>
        <v>0</v>
      </c>
      <c r="K130" s="122"/>
      <c r="M130" s="34"/>
      <c r="N130" s="59">
        <f>IFERROR(+O130/M130,0)</f>
        <v>0</v>
      </c>
      <c r="O130" s="122"/>
      <c r="Q130" s="34"/>
      <c r="R130" s="59">
        <f>IFERROR(+S130/Q130,0)</f>
        <v>0</v>
      </c>
      <c r="S130" s="122"/>
      <c r="U130" s="34"/>
      <c r="V130" s="59">
        <f>IFERROR(+W130/U130,0)</f>
        <v>0</v>
      </c>
      <c r="W130" s="122"/>
      <c r="Y130" s="34"/>
      <c r="Z130" s="59">
        <f>IFERROR(+AA130/Y130,0)</f>
        <v>0</v>
      </c>
      <c r="AA130" s="122"/>
      <c r="AC130" s="34"/>
      <c r="AD130" s="59">
        <f>IFERROR(+AE130/AC130,0)</f>
        <v>0</v>
      </c>
      <c r="AE130" s="122"/>
      <c r="AG130" s="34"/>
      <c r="AH130" s="59">
        <f>IFERROR(+AI130/AG130,0)</f>
        <v>0</v>
      </c>
      <c r="AI130" s="122"/>
      <c r="AK130" s="34"/>
      <c r="AL130" s="59">
        <f>IFERROR(+AM130/AK130,0)</f>
        <v>0</v>
      </c>
      <c r="AM130" s="122"/>
      <c r="AO130" s="34"/>
      <c r="AP130" s="59">
        <f>IFERROR(+AQ130/AO130,0)</f>
        <v>0</v>
      </c>
      <c r="AQ130" s="122"/>
      <c r="AS130" s="34"/>
      <c r="AT130" s="59">
        <f>IFERROR(+AU130/AS130,0)</f>
        <v>0</v>
      </c>
      <c r="AU130" s="122"/>
      <c r="AW130" s="34"/>
      <c r="AX130" s="59">
        <f>IFERROR(+AY130/AW130,0)</f>
        <v>0</v>
      </c>
      <c r="AY130" s="122"/>
      <c r="BA130" s="34"/>
      <c r="BB130" s="59">
        <f>IFERROR(+BC130/BA130,0)</f>
        <v>0</v>
      </c>
      <c r="BC130" s="122"/>
      <c r="BE130" s="61">
        <f>+I130+M130+Q130++U130+Y130+AC130+AG130+AK130+AO130+AS130+AW130+BA130</f>
        <v>0</v>
      </c>
      <c r="BF130" s="60">
        <f>IFERROR(+BG130/BE130,0)</f>
        <v>0</v>
      </c>
      <c r="BG130" s="61">
        <f>+K130+O130+S130+W130+AA130+AE130+AI130+AM130+AQ130+AU130+AY130+BC130</f>
        <v>0</v>
      </c>
    </row>
    <row r="131" spans="1:59" ht="21" hidden="1" customHeight="1" x14ac:dyDescent="0.3">
      <c r="A131" s="11"/>
      <c r="B131" s="181"/>
      <c r="C131" s="34"/>
      <c r="D131" s="34"/>
      <c r="E131" s="34"/>
      <c r="F131" s="34"/>
      <c r="G131" s="57" t="str">
        <f>IFERROR(+VLOOKUP(F131,Datos!$S:$T,2,0),"")</f>
        <v/>
      </c>
      <c r="H131" s="35"/>
      <c r="I131" s="34"/>
      <c r="J131" s="59">
        <f t="shared" ref="J131:J135" si="225">IFERROR(+K131/I131,0)</f>
        <v>0</v>
      </c>
      <c r="K131" s="122"/>
      <c r="M131" s="34"/>
      <c r="N131" s="59">
        <f t="shared" ref="N131:N135" si="226">IFERROR(+O131/M131,0)</f>
        <v>0</v>
      </c>
      <c r="O131" s="122"/>
      <c r="Q131" s="34"/>
      <c r="R131" s="59">
        <f t="shared" ref="R131:R135" si="227">IFERROR(+S131/Q131,0)</f>
        <v>0</v>
      </c>
      <c r="S131" s="122"/>
      <c r="U131" s="34"/>
      <c r="V131" s="59">
        <f t="shared" ref="V131:V135" si="228">IFERROR(+W131/U131,0)</f>
        <v>0</v>
      </c>
      <c r="W131" s="122"/>
      <c r="Y131" s="34"/>
      <c r="Z131" s="59">
        <f t="shared" ref="Z131:Z135" si="229">IFERROR(+AA131/Y131,0)</f>
        <v>0</v>
      </c>
      <c r="AA131" s="122"/>
      <c r="AC131" s="34"/>
      <c r="AD131" s="59">
        <f t="shared" ref="AD131:AD135" si="230">IFERROR(+AE131/AC131,0)</f>
        <v>0</v>
      </c>
      <c r="AE131" s="122"/>
      <c r="AG131" s="34"/>
      <c r="AH131" s="59">
        <f t="shared" ref="AH131:AH135" si="231">IFERROR(+AI131/AG131,0)</f>
        <v>0</v>
      </c>
      <c r="AI131" s="122"/>
      <c r="AK131" s="34"/>
      <c r="AL131" s="59">
        <f t="shared" ref="AL131:AL135" si="232">IFERROR(+AM131/AK131,0)</f>
        <v>0</v>
      </c>
      <c r="AM131" s="122"/>
      <c r="AO131" s="34"/>
      <c r="AP131" s="59">
        <f t="shared" ref="AP131:AP135" si="233">IFERROR(+AQ131/AO131,0)</f>
        <v>0</v>
      </c>
      <c r="AQ131" s="122"/>
      <c r="AS131" s="34"/>
      <c r="AT131" s="59">
        <f t="shared" ref="AT131:AT135" si="234">IFERROR(+AU131/AS131,0)</f>
        <v>0</v>
      </c>
      <c r="AU131" s="122"/>
      <c r="AW131" s="34"/>
      <c r="AX131" s="59">
        <f t="shared" ref="AX131:AX135" si="235">IFERROR(+AY131/AW131,0)</f>
        <v>0</v>
      </c>
      <c r="AY131" s="122"/>
      <c r="BA131" s="34"/>
      <c r="BB131" s="59">
        <f t="shared" ref="BB131:BB135" si="236">IFERROR(+BC131/BA131,0)</f>
        <v>0</v>
      </c>
      <c r="BC131" s="122"/>
      <c r="BE131" s="61">
        <f t="shared" ref="BE131:BE135" si="237">+I131+M131+Q131++U131+Y131+AC131+AG131+AK131+AO131+AS131+AW131+BA131</f>
        <v>0</v>
      </c>
      <c r="BF131" s="60">
        <f t="shared" ref="BF131:BF135" si="238">IFERROR(+BG131/BE131,0)</f>
        <v>0</v>
      </c>
      <c r="BG131" s="61">
        <f t="shared" ref="BG131:BG135" si="239">+K131+O131+S131+W131+AA131+AE131+AI131+AM131+AQ131+AU131+AY131+BC131</f>
        <v>0</v>
      </c>
    </row>
    <row r="132" spans="1:59" ht="21" hidden="1" customHeight="1" x14ac:dyDescent="0.3">
      <c r="A132" s="11"/>
      <c r="B132" s="181"/>
      <c r="C132" s="34"/>
      <c r="D132" s="34"/>
      <c r="E132" s="34"/>
      <c r="F132" s="34"/>
      <c r="G132" s="57" t="str">
        <f>IFERROR(+VLOOKUP(F132,Datos!$S:$T,2,0),"")</f>
        <v/>
      </c>
      <c r="H132" s="35"/>
      <c r="I132" s="34"/>
      <c r="J132" s="59">
        <f t="shared" si="225"/>
        <v>0</v>
      </c>
      <c r="K132" s="122"/>
      <c r="M132" s="34"/>
      <c r="N132" s="59">
        <f t="shared" si="226"/>
        <v>0</v>
      </c>
      <c r="O132" s="122"/>
      <c r="Q132" s="34"/>
      <c r="R132" s="59">
        <f t="shared" si="227"/>
        <v>0</v>
      </c>
      <c r="S132" s="122"/>
      <c r="U132" s="34"/>
      <c r="V132" s="59">
        <f t="shared" si="228"/>
        <v>0</v>
      </c>
      <c r="W132" s="122"/>
      <c r="Y132" s="34"/>
      <c r="Z132" s="59">
        <f t="shared" si="229"/>
        <v>0</v>
      </c>
      <c r="AA132" s="122"/>
      <c r="AC132" s="34"/>
      <c r="AD132" s="59">
        <f t="shared" si="230"/>
        <v>0</v>
      </c>
      <c r="AE132" s="122"/>
      <c r="AG132" s="34"/>
      <c r="AH132" s="59">
        <f t="shared" si="231"/>
        <v>0</v>
      </c>
      <c r="AI132" s="122"/>
      <c r="AK132" s="34"/>
      <c r="AL132" s="59">
        <f t="shared" si="232"/>
        <v>0</v>
      </c>
      <c r="AM132" s="122"/>
      <c r="AO132" s="34"/>
      <c r="AP132" s="59">
        <f t="shared" si="233"/>
        <v>0</v>
      </c>
      <c r="AQ132" s="122"/>
      <c r="AS132" s="34"/>
      <c r="AT132" s="59">
        <f t="shared" si="234"/>
        <v>0</v>
      </c>
      <c r="AU132" s="122"/>
      <c r="AW132" s="34"/>
      <c r="AX132" s="59">
        <f t="shared" si="235"/>
        <v>0</v>
      </c>
      <c r="AY132" s="122"/>
      <c r="BA132" s="34"/>
      <c r="BB132" s="59">
        <f t="shared" si="236"/>
        <v>0</v>
      </c>
      <c r="BC132" s="122"/>
      <c r="BE132" s="61">
        <f t="shared" si="237"/>
        <v>0</v>
      </c>
      <c r="BF132" s="60">
        <f t="shared" si="238"/>
        <v>0</v>
      </c>
      <c r="BG132" s="61">
        <f t="shared" si="239"/>
        <v>0</v>
      </c>
    </row>
    <row r="133" spans="1:59" ht="21" hidden="1" customHeight="1" x14ac:dyDescent="0.3">
      <c r="A133" s="11"/>
      <c r="B133" s="181"/>
      <c r="C133" s="34"/>
      <c r="D133" s="34"/>
      <c r="E133" s="34"/>
      <c r="F133" s="34"/>
      <c r="G133" s="57" t="str">
        <f>IFERROR(+VLOOKUP(F133,Datos!$S:$T,2,0),"")</f>
        <v/>
      </c>
      <c r="H133" s="35"/>
      <c r="I133" s="34"/>
      <c r="J133" s="59">
        <f t="shared" si="225"/>
        <v>0</v>
      </c>
      <c r="K133" s="122"/>
      <c r="M133" s="34"/>
      <c r="N133" s="59">
        <f t="shared" si="226"/>
        <v>0</v>
      </c>
      <c r="O133" s="122"/>
      <c r="Q133" s="34"/>
      <c r="R133" s="59">
        <f t="shared" si="227"/>
        <v>0</v>
      </c>
      <c r="S133" s="122"/>
      <c r="U133" s="34"/>
      <c r="V133" s="59">
        <f t="shared" si="228"/>
        <v>0</v>
      </c>
      <c r="W133" s="122"/>
      <c r="Y133" s="34"/>
      <c r="Z133" s="59">
        <f t="shared" si="229"/>
        <v>0</v>
      </c>
      <c r="AA133" s="122"/>
      <c r="AC133" s="34"/>
      <c r="AD133" s="59">
        <f t="shared" si="230"/>
        <v>0</v>
      </c>
      <c r="AE133" s="122"/>
      <c r="AG133" s="34"/>
      <c r="AH133" s="59">
        <f t="shared" si="231"/>
        <v>0</v>
      </c>
      <c r="AI133" s="122"/>
      <c r="AK133" s="34"/>
      <c r="AL133" s="59">
        <f t="shared" si="232"/>
        <v>0</v>
      </c>
      <c r="AM133" s="122"/>
      <c r="AO133" s="34"/>
      <c r="AP133" s="59">
        <f t="shared" si="233"/>
        <v>0</v>
      </c>
      <c r="AQ133" s="122"/>
      <c r="AS133" s="34"/>
      <c r="AT133" s="59">
        <f t="shared" si="234"/>
        <v>0</v>
      </c>
      <c r="AU133" s="122"/>
      <c r="AW133" s="34"/>
      <c r="AX133" s="59">
        <f t="shared" si="235"/>
        <v>0</v>
      </c>
      <c r="AY133" s="122"/>
      <c r="BA133" s="34"/>
      <c r="BB133" s="59">
        <f t="shared" si="236"/>
        <v>0</v>
      </c>
      <c r="BC133" s="122"/>
      <c r="BE133" s="61">
        <f t="shared" si="237"/>
        <v>0</v>
      </c>
      <c r="BF133" s="60">
        <f t="shared" si="238"/>
        <v>0</v>
      </c>
      <c r="BG133" s="61">
        <f t="shared" si="239"/>
        <v>0</v>
      </c>
    </row>
    <row r="134" spans="1:59" ht="21" hidden="1" customHeight="1" x14ac:dyDescent="0.3">
      <c r="A134" s="11"/>
      <c r="B134" s="181"/>
      <c r="C134" s="34"/>
      <c r="D134" s="34"/>
      <c r="E134" s="34"/>
      <c r="F134" s="34"/>
      <c r="G134" s="57" t="str">
        <f>IFERROR(+VLOOKUP(F134,Datos!$S:$T,2,0),"")</f>
        <v/>
      </c>
      <c r="H134" s="35"/>
      <c r="I134" s="34"/>
      <c r="J134" s="59">
        <f t="shared" si="225"/>
        <v>0</v>
      </c>
      <c r="K134" s="122"/>
      <c r="M134" s="34"/>
      <c r="N134" s="59">
        <f t="shared" si="226"/>
        <v>0</v>
      </c>
      <c r="O134" s="122"/>
      <c r="Q134" s="34"/>
      <c r="R134" s="59">
        <f t="shared" si="227"/>
        <v>0</v>
      </c>
      <c r="S134" s="122"/>
      <c r="U134" s="34"/>
      <c r="V134" s="59">
        <f t="shared" si="228"/>
        <v>0</v>
      </c>
      <c r="W134" s="122"/>
      <c r="Y134" s="34"/>
      <c r="Z134" s="59">
        <f t="shared" si="229"/>
        <v>0</v>
      </c>
      <c r="AA134" s="122"/>
      <c r="AC134" s="34"/>
      <c r="AD134" s="59">
        <f t="shared" si="230"/>
        <v>0</v>
      </c>
      <c r="AE134" s="122"/>
      <c r="AG134" s="34"/>
      <c r="AH134" s="59">
        <f t="shared" si="231"/>
        <v>0</v>
      </c>
      <c r="AI134" s="122"/>
      <c r="AK134" s="34"/>
      <c r="AL134" s="59">
        <f t="shared" si="232"/>
        <v>0</v>
      </c>
      <c r="AM134" s="122"/>
      <c r="AO134" s="34"/>
      <c r="AP134" s="59">
        <f t="shared" si="233"/>
        <v>0</v>
      </c>
      <c r="AQ134" s="122"/>
      <c r="AS134" s="34"/>
      <c r="AT134" s="59">
        <f t="shared" si="234"/>
        <v>0</v>
      </c>
      <c r="AU134" s="122"/>
      <c r="AW134" s="34"/>
      <c r="AX134" s="59">
        <f t="shared" si="235"/>
        <v>0</v>
      </c>
      <c r="AY134" s="122"/>
      <c r="BA134" s="34"/>
      <c r="BB134" s="59">
        <f t="shared" si="236"/>
        <v>0</v>
      </c>
      <c r="BC134" s="122"/>
      <c r="BE134" s="61">
        <f t="shared" si="237"/>
        <v>0</v>
      </c>
      <c r="BF134" s="60">
        <f t="shared" si="238"/>
        <v>0</v>
      </c>
      <c r="BG134" s="61">
        <f t="shared" si="239"/>
        <v>0</v>
      </c>
    </row>
    <row r="135" spans="1:59" ht="21" hidden="1" customHeight="1" x14ac:dyDescent="0.3">
      <c r="A135" s="11"/>
      <c r="B135" s="181"/>
      <c r="C135" s="34"/>
      <c r="D135" s="34"/>
      <c r="E135" s="34"/>
      <c r="F135" s="34"/>
      <c r="G135" s="57" t="str">
        <f>IFERROR(+VLOOKUP(F135,Datos!$S:$T,2,0),"")</f>
        <v/>
      </c>
      <c r="H135" s="35"/>
      <c r="I135" s="34"/>
      <c r="J135" s="59">
        <f t="shared" si="225"/>
        <v>0</v>
      </c>
      <c r="K135" s="122"/>
      <c r="M135" s="34"/>
      <c r="N135" s="59">
        <f t="shared" si="226"/>
        <v>0</v>
      </c>
      <c r="O135" s="122"/>
      <c r="Q135" s="34"/>
      <c r="R135" s="59">
        <f t="shared" si="227"/>
        <v>0</v>
      </c>
      <c r="S135" s="122"/>
      <c r="U135" s="34"/>
      <c r="V135" s="59">
        <f t="shared" si="228"/>
        <v>0</v>
      </c>
      <c r="W135" s="122"/>
      <c r="Y135" s="34"/>
      <c r="Z135" s="59">
        <f t="shared" si="229"/>
        <v>0</v>
      </c>
      <c r="AA135" s="122"/>
      <c r="AC135" s="34"/>
      <c r="AD135" s="59">
        <f t="shared" si="230"/>
        <v>0</v>
      </c>
      <c r="AE135" s="122"/>
      <c r="AG135" s="34"/>
      <c r="AH135" s="59">
        <f t="shared" si="231"/>
        <v>0</v>
      </c>
      <c r="AI135" s="122"/>
      <c r="AK135" s="34"/>
      <c r="AL135" s="59">
        <f t="shared" si="232"/>
        <v>0</v>
      </c>
      <c r="AM135" s="122"/>
      <c r="AO135" s="34"/>
      <c r="AP135" s="59">
        <f t="shared" si="233"/>
        <v>0</v>
      </c>
      <c r="AQ135" s="122"/>
      <c r="AS135" s="34"/>
      <c r="AT135" s="59">
        <f t="shared" si="234"/>
        <v>0</v>
      </c>
      <c r="AU135" s="122"/>
      <c r="AW135" s="34"/>
      <c r="AX135" s="59">
        <f t="shared" si="235"/>
        <v>0</v>
      </c>
      <c r="AY135" s="122"/>
      <c r="BA135" s="34"/>
      <c r="BB135" s="59">
        <f t="shared" si="236"/>
        <v>0</v>
      </c>
      <c r="BC135" s="122"/>
      <c r="BE135" s="61">
        <f t="shared" si="237"/>
        <v>0</v>
      </c>
      <c r="BF135" s="60">
        <f t="shared" si="238"/>
        <v>0</v>
      </c>
      <c r="BG135" s="61">
        <f t="shared" si="239"/>
        <v>0</v>
      </c>
    </row>
    <row r="136" spans="1:59" ht="21" hidden="1" customHeight="1" x14ac:dyDescent="0.3">
      <c r="A136" s="11"/>
      <c r="B136" s="181"/>
      <c r="C136" s="34"/>
      <c r="D136" s="34"/>
      <c r="E136" s="34"/>
      <c r="F136" s="34"/>
      <c r="G136" s="57" t="str">
        <f>IFERROR(+VLOOKUP(F136,Datos!$P:$Q,2,0),"")</f>
        <v/>
      </c>
      <c r="H136" s="35"/>
      <c r="I136" s="34"/>
      <c r="J136" s="59">
        <f>IFERROR(+K136/I136,0)</f>
        <v>0</v>
      </c>
      <c r="K136" s="122"/>
      <c r="M136" s="34"/>
      <c r="N136" s="59">
        <f>IFERROR(+O136/M136,0)</f>
        <v>0</v>
      </c>
      <c r="O136" s="122"/>
      <c r="Q136" s="34"/>
      <c r="R136" s="59">
        <f>IFERROR(+S136/Q136,0)</f>
        <v>0</v>
      </c>
      <c r="S136" s="122"/>
      <c r="U136" s="34"/>
      <c r="V136" s="59">
        <f>IFERROR(+W136/U136,0)</f>
        <v>0</v>
      </c>
      <c r="W136" s="122"/>
      <c r="Y136" s="34"/>
      <c r="Z136" s="59">
        <f>IFERROR(+AA136/Y136,0)</f>
        <v>0</v>
      </c>
      <c r="AA136" s="122"/>
      <c r="AC136" s="34"/>
      <c r="AD136" s="59">
        <f>IFERROR(+AE136/AC136,0)</f>
        <v>0</v>
      </c>
      <c r="AE136" s="122"/>
      <c r="AG136" s="34"/>
      <c r="AH136" s="59">
        <f>IFERROR(+AI136/AG136,0)</f>
        <v>0</v>
      </c>
      <c r="AI136" s="122"/>
      <c r="AK136" s="34"/>
      <c r="AL136" s="59">
        <f>IFERROR(+AM136/AK136,0)</f>
        <v>0</v>
      </c>
      <c r="AM136" s="122"/>
      <c r="AO136" s="34"/>
      <c r="AP136" s="59">
        <f>IFERROR(+AQ136/AO136,0)</f>
        <v>0</v>
      </c>
      <c r="AQ136" s="122"/>
      <c r="AS136" s="34"/>
      <c r="AT136" s="59">
        <f>IFERROR(+AU136/AS136,0)</f>
        <v>0</v>
      </c>
      <c r="AU136" s="122"/>
      <c r="AW136" s="34"/>
      <c r="AX136" s="59">
        <f>IFERROR(+AY136/AW136,0)</f>
        <v>0</v>
      </c>
      <c r="AY136" s="122"/>
      <c r="BA136" s="34"/>
      <c r="BB136" s="59">
        <f>IFERROR(+BC136/BA136,0)</f>
        <v>0</v>
      </c>
      <c r="BC136" s="122"/>
      <c r="BE136" s="61">
        <f>+I136+M136+Q136++U136+Y136+AC136+AG136+AK136+AO136+AS136+AW136+BA136</f>
        <v>0</v>
      </c>
      <c r="BF136" s="60">
        <f>IFERROR(+BG136/BE136,0)</f>
        <v>0</v>
      </c>
      <c r="BG136" s="61">
        <f>+K136+O136+S136+W136+AA136+AE136+AI136+AM136+AQ136+AU136+AY136+BC136</f>
        <v>0</v>
      </c>
    </row>
    <row r="137" spans="1:59" ht="21" hidden="1" customHeight="1" x14ac:dyDescent="0.3">
      <c r="A137" s="11"/>
      <c r="B137" s="330" t="s">
        <v>227</v>
      </c>
      <c r="C137" s="331"/>
      <c r="D137" s="331"/>
      <c r="E137" s="331"/>
      <c r="F137" s="331"/>
      <c r="G137" s="332"/>
      <c r="H137" s="35"/>
      <c r="I137" s="61">
        <f>SUM(I130:I136)</f>
        <v>0</v>
      </c>
      <c r="J137" s="60">
        <f t="shared" ref="J137" si="240">IFERROR(+K137/I137,0)</f>
        <v>0</v>
      </c>
      <c r="K137" s="61">
        <f>SUM(K130:K136)</f>
        <v>0</v>
      </c>
      <c r="M137" s="61">
        <f>SUM(M130:M136)</f>
        <v>0</v>
      </c>
      <c r="N137" s="60">
        <f t="shared" ref="N137" si="241">IFERROR(+O137/M137,0)</f>
        <v>0</v>
      </c>
      <c r="O137" s="61">
        <f>SUM(O130:O136)</f>
        <v>0</v>
      </c>
      <c r="Q137" s="61">
        <f>SUM(Q130:Q136)</f>
        <v>0</v>
      </c>
      <c r="R137" s="60">
        <f t="shared" ref="R137" si="242">IFERROR(+S137/Q137,0)</f>
        <v>0</v>
      </c>
      <c r="S137" s="61">
        <f>SUM(S130:S136)</f>
        <v>0</v>
      </c>
      <c r="U137" s="61">
        <f>SUM(U130:U136)</f>
        <v>0</v>
      </c>
      <c r="V137" s="60">
        <f t="shared" ref="V137" si="243">IFERROR(+W137/U137,0)</f>
        <v>0</v>
      </c>
      <c r="W137" s="61">
        <f>SUM(W130:W136)</f>
        <v>0</v>
      </c>
      <c r="Y137" s="61">
        <f>SUM(Y130:Y136)</f>
        <v>0</v>
      </c>
      <c r="Z137" s="60">
        <f t="shared" ref="Z137" si="244">IFERROR(+AA137/Y137,0)</f>
        <v>0</v>
      </c>
      <c r="AA137" s="61">
        <f>SUM(AA130:AA136)</f>
        <v>0</v>
      </c>
      <c r="AC137" s="61">
        <f>SUM(AC130:AC136)</f>
        <v>0</v>
      </c>
      <c r="AD137" s="60">
        <f t="shared" ref="AD137" si="245">IFERROR(+AE137/AC137,0)</f>
        <v>0</v>
      </c>
      <c r="AE137" s="61">
        <f>SUM(AE130:AE136)</f>
        <v>0</v>
      </c>
      <c r="AG137" s="61">
        <f>SUM(AG130:AG136)</f>
        <v>0</v>
      </c>
      <c r="AH137" s="60">
        <f t="shared" ref="AH137" si="246">IFERROR(+AI137/AG137,0)</f>
        <v>0</v>
      </c>
      <c r="AI137" s="61">
        <f>SUM(AI130:AI136)</f>
        <v>0</v>
      </c>
      <c r="AK137" s="61">
        <f>SUM(AK130:AK136)</f>
        <v>0</v>
      </c>
      <c r="AL137" s="60">
        <f t="shared" ref="AL137" si="247">IFERROR(+AM137/AK137,0)</f>
        <v>0</v>
      </c>
      <c r="AM137" s="61">
        <f>SUM(AM130:AM136)</f>
        <v>0</v>
      </c>
      <c r="AO137" s="61">
        <f>SUM(AO130:AO136)</f>
        <v>0</v>
      </c>
      <c r="AP137" s="60">
        <f t="shared" ref="AP137" si="248">IFERROR(+AQ137/AO137,0)</f>
        <v>0</v>
      </c>
      <c r="AQ137" s="61">
        <f>SUM(AQ130:AQ136)</f>
        <v>0</v>
      </c>
      <c r="AS137" s="61">
        <f>SUM(AS130:AS136)</f>
        <v>0</v>
      </c>
      <c r="AT137" s="60">
        <f t="shared" ref="AT137" si="249">IFERROR(+AU137/AS137,0)</f>
        <v>0</v>
      </c>
      <c r="AU137" s="61">
        <f>SUM(AU130:AU136)</f>
        <v>0</v>
      </c>
      <c r="AW137" s="61">
        <f>SUM(AW130:AW136)</f>
        <v>0</v>
      </c>
      <c r="AX137" s="60">
        <f t="shared" ref="AX137" si="250">IFERROR(+AY137/AW137,0)</f>
        <v>0</v>
      </c>
      <c r="AY137" s="61">
        <f>SUM(AY130:AY136)</f>
        <v>0</v>
      </c>
      <c r="BA137" s="61">
        <f>SUM(BA130:BA136)</f>
        <v>0</v>
      </c>
      <c r="BB137" s="60">
        <f t="shared" ref="BB137" si="251">IFERROR(+BC137/BA137,0)</f>
        <v>0</v>
      </c>
      <c r="BC137" s="61">
        <f>SUM(BC130:BC136)</f>
        <v>0</v>
      </c>
      <c r="BE137" s="61">
        <f>SUM(BE130:BE136)</f>
        <v>0</v>
      </c>
      <c r="BF137" s="60">
        <f t="shared" ref="BF137" si="252">IFERROR(+BG137/BE137,0)</f>
        <v>0</v>
      </c>
      <c r="BG137" s="61">
        <f>SUM(BG130:BG136)</f>
        <v>0</v>
      </c>
    </row>
    <row r="138" spans="1:59" hidden="1" x14ac:dyDescent="0.3"/>
    <row r="139" spans="1:59" ht="36" hidden="1" customHeight="1" x14ac:dyDescent="0.3">
      <c r="B139" s="338" t="s">
        <v>243</v>
      </c>
      <c r="C139" s="338"/>
      <c r="D139" s="338"/>
      <c r="E139" s="338"/>
      <c r="F139" s="338"/>
      <c r="G139" s="338"/>
      <c r="H139" s="338"/>
      <c r="I139" s="338"/>
      <c r="J139" s="338"/>
    </row>
    <row r="140" spans="1:59" hidden="1" x14ac:dyDescent="0.3"/>
    <row r="141" spans="1:59" ht="21" hidden="1" customHeight="1" x14ac:dyDescent="0.3">
      <c r="A141" s="11"/>
      <c r="B141" s="329" t="s">
        <v>894</v>
      </c>
      <c r="C141" s="329" t="s">
        <v>895</v>
      </c>
      <c r="D141" s="325" t="s">
        <v>235</v>
      </c>
      <c r="E141" s="319" t="s">
        <v>232</v>
      </c>
      <c r="F141" s="322" t="s">
        <v>233</v>
      </c>
      <c r="G141" s="319" t="s">
        <v>234</v>
      </c>
      <c r="H141" s="36"/>
      <c r="I141" s="328" t="str">
        <f>+"Enero "&amp;$I$6&amp;""</f>
        <v>Enero 2025</v>
      </c>
      <c r="J141" s="328"/>
      <c r="K141" s="328"/>
      <c r="M141" s="328" t="str">
        <f>+"Febrero "&amp;$I$6&amp;""</f>
        <v>Febrero 2025</v>
      </c>
      <c r="N141" s="328"/>
      <c r="O141" s="328"/>
      <c r="Q141" s="328" t="str">
        <f>+"Marzo "&amp;$I$6&amp;""</f>
        <v>Marzo 2025</v>
      </c>
      <c r="R141" s="328"/>
      <c r="S141" s="328"/>
      <c r="U141" s="328" t="str">
        <f>+"Abril "&amp;$I$6&amp;""</f>
        <v>Abril 2025</v>
      </c>
      <c r="V141" s="328"/>
      <c r="W141" s="328"/>
      <c r="Y141" s="328" t="str">
        <f>+"Mayo "&amp;$I$6&amp;""</f>
        <v>Mayo 2025</v>
      </c>
      <c r="Z141" s="328"/>
      <c r="AA141" s="328"/>
      <c r="AC141" s="328" t="str">
        <f>+"Junio "&amp;$I$6&amp;""</f>
        <v>Junio 2025</v>
      </c>
      <c r="AD141" s="328"/>
      <c r="AE141" s="328"/>
      <c r="AG141" s="328" t="str">
        <f>+"Julio "&amp;$I$6&amp;""</f>
        <v>Julio 2025</v>
      </c>
      <c r="AH141" s="328"/>
      <c r="AI141" s="328"/>
      <c r="AK141" s="328" t="str">
        <f>+"Agosto "&amp;$I$6&amp;""</f>
        <v>Agosto 2025</v>
      </c>
      <c r="AL141" s="328"/>
      <c r="AM141" s="328"/>
      <c r="AO141" s="328" t="str">
        <f>+"Septiembre "&amp;$I$6&amp;""</f>
        <v>Septiembre 2025</v>
      </c>
      <c r="AP141" s="328"/>
      <c r="AQ141" s="328"/>
      <c r="AS141" s="328" t="str">
        <f>+"Octubre "&amp;$I$6&amp;""</f>
        <v>Octubre 2025</v>
      </c>
      <c r="AT141" s="328"/>
      <c r="AU141" s="328"/>
      <c r="AW141" s="328" t="str">
        <f>+"Noviembre "&amp;$I$6&amp;""</f>
        <v>Noviembre 2025</v>
      </c>
      <c r="AX141" s="328"/>
      <c r="AY141" s="328"/>
      <c r="BA141" s="328" t="str">
        <f>+"Diciembre "&amp;$I$6&amp;""</f>
        <v>Diciembre 2025</v>
      </c>
      <c r="BB141" s="328"/>
      <c r="BC141" s="328"/>
      <c r="BE141" s="328" t="str">
        <f>+"Acumulado "&amp;$I$6&amp;""</f>
        <v>Acumulado 2025</v>
      </c>
      <c r="BF141" s="328"/>
      <c r="BG141" s="328"/>
    </row>
    <row r="142" spans="1:59" ht="21" hidden="1" customHeight="1" x14ac:dyDescent="0.3">
      <c r="A142" s="11"/>
      <c r="B142" s="329"/>
      <c r="C142" s="329"/>
      <c r="D142" s="326"/>
      <c r="E142" s="321"/>
      <c r="F142" s="323"/>
      <c r="G142" s="321"/>
      <c r="H142" s="36"/>
      <c r="I142" s="221" t="s">
        <v>60</v>
      </c>
      <c r="J142" s="319" t="s">
        <v>61</v>
      </c>
      <c r="K142" s="221" t="s">
        <v>62</v>
      </c>
      <c r="L142" s="20"/>
      <c r="M142" s="221" t="s">
        <v>60</v>
      </c>
      <c r="N142" s="319" t="s">
        <v>61</v>
      </c>
      <c r="O142" s="221" t="s">
        <v>62</v>
      </c>
      <c r="P142" s="20"/>
      <c r="Q142" s="221" t="s">
        <v>60</v>
      </c>
      <c r="R142" s="319" t="s">
        <v>61</v>
      </c>
      <c r="S142" s="221" t="s">
        <v>62</v>
      </c>
      <c r="T142" s="20"/>
      <c r="U142" s="221" t="s">
        <v>60</v>
      </c>
      <c r="V142" s="319" t="s">
        <v>61</v>
      </c>
      <c r="W142" s="221" t="s">
        <v>62</v>
      </c>
      <c r="X142" s="20"/>
      <c r="Y142" s="221" t="s">
        <v>60</v>
      </c>
      <c r="Z142" s="319" t="s">
        <v>61</v>
      </c>
      <c r="AA142" s="221" t="s">
        <v>62</v>
      </c>
      <c r="AB142" s="20"/>
      <c r="AC142" s="221" t="s">
        <v>60</v>
      </c>
      <c r="AD142" s="319" t="s">
        <v>61</v>
      </c>
      <c r="AE142" s="221" t="s">
        <v>62</v>
      </c>
      <c r="AF142" s="20"/>
      <c r="AG142" s="221" t="s">
        <v>60</v>
      </c>
      <c r="AH142" s="319" t="s">
        <v>61</v>
      </c>
      <c r="AI142" s="221" t="s">
        <v>62</v>
      </c>
      <c r="AJ142" s="20"/>
      <c r="AK142" s="221" t="s">
        <v>60</v>
      </c>
      <c r="AL142" s="319" t="s">
        <v>61</v>
      </c>
      <c r="AM142" s="221" t="s">
        <v>62</v>
      </c>
      <c r="AN142" s="20"/>
      <c r="AO142" s="221" t="s">
        <v>60</v>
      </c>
      <c r="AP142" s="319" t="s">
        <v>61</v>
      </c>
      <c r="AQ142" s="221" t="s">
        <v>62</v>
      </c>
      <c r="AR142" s="20"/>
      <c r="AS142" s="221" t="s">
        <v>60</v>
      </c>
      <c r="AT142" s="319" t="s">
        <v>61</v>
      </c>
      <c r="AU142" s="221" t="s">
        <v>62</v>
      </c>
      <c r="AV142" s="20"/>
      <c r="AW142" s="221" t="s">
        <v>60</v>
      </c>
      <c r="AX142" s="319" t="s">
        <v>61</v>
      </c>
      <c r="AY142" s="221" t="s">
        <v>62</v>
      </c>
      <c r="AZ142" s="20"/>
      <c r="BA142" s="221" t="s">
        <v>60</v>
      </c>
      <c r="BB142" s="319" t="s">
        <v>61</v>
      </c>
      <c r="BC142" s="221" t="s">
        <v>62</v>
      </c>
      <c r="BD142" s="20"/>
      <c r="BE142" s="221" t="s">
        <v>60</v>
      </c>
      <c r="BF142" s="319" t="s">
        <v>61</v>
      </c>
      <c r="BG142" s="221" t="s">
        <v>62</v>
      </c>
    </row>
    <row r="143" spans="1:59" ht="21" hidden="1" customHeight="1" x14ac:dyDescent="0.3">
      <c r="A143" s="11"/>
      <c r="B143" s="329"/>
      <c r="C143" s="329"/>
      <c r="D143" s="327"/>
      <c r="E143" s="320"/>
      <c r="F143" s="324"/>
      <c r="G143" s="320"/>
      <c r="H143" s="36"/>
      <c r="I143" s="220" t="s">
        <v>990</v>
      </c>
      <c r="J143" s="320"/>
      <c r="K143" s="220" t="s">
        <v>991</v>
      </c>
      <c r="L143" s="20"/>
      <c r="M143" s="220" t="s">
        <v>990</v>
      </c>
      <c r="N143" s="320"/>
      <c r="O143" s="220" t="s">
        <v>991</v>
      </c>
      <c r="P143" s="20"/>
      <c r="Q143" s="220" t="s">
        <v>990</v>
      </c>
      <c r="R143" s="320"/>
      <c r="S143" s="220" t="s">
        <v>991</v>
      </c>
      <c r="T143" s="20"/>
      <c r="U143" s="220" t="s">
        <v>990</v>
      </c>
      <c r="V143" s="320"/>
      <c r="W143" s="220" t="s">
        <v>991</v>
      </c>
      <c r="X143" s="20"/>
      <c r="Y143" s="220" t="s">
        <v>990</v>
      </c>
      <c r="Z143" s="320"/>
      <c r="AA143" s="220" t="s">
        <v>991</v>
      </c>
      <c r="AB143" s="20"/>
      <c r="AC143" s="220" t="s">
        <v>990</v>
      </c>
      <c r="AD143" s="320"/>
      <c r="AE143" s="220" t="s">
        <v>991</v>
      </c>
      <c r="AF143" s="20"/>
      <c r="AG143" s="220" t="s">
        <v>990</v>
      </c>
      <c r="AH143" s="320"/>
      <c r="AI143" s="220" t="s">
        <v>991</v>
      </c>
      <c r="AJ143" s="20"/>
      <c r="AK143" s="220" t="s">
        <v>990</v>
      </c>
      <c r="AL143" s="320"/>
      <c r="AM143" s="220" t="s">
        <v>991</v>
      </c>
      <c r="AN143" s="20"/>
      <c r="AO143" s="220" t="s">
        <v>990</v>
      </c>
      <c r="AP143" s="320"/>
      <c r="AQ143" s="220" t="s">
        <v>991</v>
      </c>
      <c r="AR143" s="20"/>
      <c r="AS143" s="220" t="s">
        <v>990</v>
      </c>
      <c r="AT143" s="320"/>
      <c r="AU143" s="220" t="s">
        <v>991</v>
      </c>
      <c r="AV143" s="20"/>
      <c r="AW143" s="220" t="s">
        <v>990</v>
      </c>
      <c r="AX143" s="320"/>
      <c r="AY143" s="220" t="s">
        <v>991</v>
      </c>
      <c r="AZ143" s="20"/>
      <c r="BA143" s="220" t="s">
        <v>990</v>
      </c>
      <c r="BB143" s="320"/>
      <c r="BC143" s="220" t="s">
        <v>991</v>
      </c>
      <c r="BD143" s="20"/>
      <c r="BE143" s="220" t="s">
        <v>990</v>
      </c>
      <c r="BF143" s="320"/>
      <c r="BG143" s="220" t="s">
        <v>991</v>
      </c>
    </row>
    <row r="144" spans="1:59" ht="21" hidden="1" customHeight="1" x14ac:dyDescent="0.3">
      <c r="A144" s="11"/>
      <c r="B144" s="181"/>
      <c r="C144" s="34"/>
      <c r="D144" s="34"/>
      <c r="E144" s="34"/>
      <c r="F144" s="34"/>
      <c r="G144" s="57"/>
      <c r="H144" s="35"/>
      <c r="I144" s="34"/>
      <c r="J144" s="59">
        <f>IFERROR(+K144/I144,0)</f>
        <v>0</v>
      </c>
      <c r="K144" s="34"/>
      <c r="M144" s="34"/>
      <c r="N144" s="59">
        <f>IFERROR(+O144/M144,0)</f>
        <v>0</v>
      </c>
      <c r="O144" s="34"/>
      <c r="Q144" s="34"/>
      <c r="R144" s="59">
        <f>IFERROR(+S144/Q144,0)</f>
        <v>0</v>
      </c>
      <c r="S144" s="34"/>
      <c r="U144" s="34"/>
      <c r="V144" s="59">
        <f>IFERROR(+W144/U144,0)</f>
        <v>0</v>
      </c>
      <c r="W144" s="34"/>
      <c r="Y144" s="34"/>
      <c r="Z144" s="59">
        <f>IFERROR(+AA144/Y144,0)</f>
        <v>0</v>
      </c>
      <c r="AA144" s="34"/>
      <c r="AC144" s="34"/>
      <c r="AD144" s="59">
        <f>IFERROR(+AE144/AC144,0)</f>
        <v>0</v>
      </c>
      <c r="AE144" s="34"/>
      <c r="AG144" s="34"/>
      <c r="AH144" s="59">
        <f>IFERROR(+AI144/AG144,0)</f>
        <v>0</v>
      </c>
      <c r="AI144" s="34"/>
      <c r="AK144" s="34"/>
      <c r="AL144" s="59">
        <f>IFERROR(+AM144/AK144,0)</f>
        <v>0</v>
      </c>
      <c r="AM144" s="34"/>
      <c r="AO144" s="34"/>
      <c r="AP144" s="59">
        <f>IFERROR(+AQ144/AO144,0)</f>
        <v>0</v>
      </c>
      <c r="AQ144" s="34"/>
      <c r="AS144" s="34"/>
      <c r="AT144" s="59">
        <f>IFERROR(+AU144/AS144,0)</f>
        <v>0</v>
      </c>
      <c r="AU144" s="34"/>
      <c r="AW144" s="34"/>
      <c r="AX144" s="59">
        <f>IFERROR(+AY144/AW144,0)</f>
        <v>0</v>
      </c>
      <c r="AY144" s="34"/>
      <c r="BA144" s="34"/>
      <c r="BB144" s="59">
        <f>IFERROR(+BC144/BA144,0)</f>
        <v>0</v>
      </c>
      <c r="BC144" s="34"/>
      <c r="BE144" s="61">
        <f>+I144+M144+Q144++U144+Y144+AC144+AG144+AK144+AO144+AS144+AW144+BA144</f>
        <v>0</v>
      </c>
      <c r="BF144" s="60">
        <f>IFERROR(+BG144/BE144,0)</f>
        <v>0</v>
      </c>
      <c r="BG144" s="61">
        <f>+K144+O144+S144+W144+AA144+AE144+AI144+AM144+AQ144+AU144+AY144+BC144</f>
        <v>0</v>
      </c>
    </row>
    <row r="145" spans="1:59" ht="21" hidden="1" customHeight="1" x14ac:dyDescent="0.3">
      <c r="A145" s="11"/>
      <c r="B145" s="181"/>
      <c r="C145" s="34"/>
      <c r="D145" s="34"/>
      <c r="E145" s="34"/>
      <c r="F145" s="34"/>
      <c r="G145" s="57"/>
      <c r="H145" s="35"/>
      <c r="I145" s="34"/>
      <c r="J145" s="59">
        <f t="shared" ref="J145:J150" si="253">IFERROR(+K145/I145,0)</f>
        <v>0</v>
      </c>
      <c r="K145" s="34"/>
      <c r="M145" s="34"/>
      <c r="N145" s="59">
        <f t="shared" ref="N145:N150" si="254">IFERROR(+O145/M145,0)</f>
        <v>0</v>
      </c>
      <c r="O145" s="34"/>
      <c r="Q145" s="34"/>
      <c r="R145" s="59">
        <f t="shared" ref="R145:R150" si="255">IFERROR(+S145/Q145,0)</f>
        <v>0</v>
      </c>
      <c r="S145" s="34"/>
      <c r="U145" s="34"/>
      <c r="V145" s="59">
        <f t="shared" ref="V145:V150" si="256">IFERROR(+W145/U145,0)</f>
        <v>0</v>
      </c>
      <c r="W145" s="34"/>
      <c r="Y145" s="34"/>
      <c r="Z145" s="59">
        <f t="shared" ref="Z145:Z150" si="257">IFERROR(+AA145/Y145,0)</f>
        <v>0</v>
      </c>
      <c r="AA145" s="34"/>
      <c r="AC145" s="34"/>
      <c r="AD145" s="59">
        <f t="shared" ref="AD145:AD150" si="258">IFERROR(+AE145/AC145,0)</f>
        <v>0</v>
      </c>
      <c r="AE145" s="34"/>
      <c r="AG145" s="34"/>
      <c r="AH145" s="59">
        <f t="shared" ref="AH145:AH150" si="259">IFERROR(+AI145/AG145,0)</f>
        <v>0</v>
      </c>
      <c r="AI145" s="34"/>
      <c r="AK145" s="34"/>
      <c r="AL145" s="59">
        <f t="shared" ref="AL145:AL150" si="260">IFERROR(+AM145/AK145,0)</f>
        <v>0</v>
      </c>
      <c r="AM145" s="34"/>
      <c r="AO145" s="34"/>
      <c r="AP145" s="59">
        <f t="shared" ref="AP145:AP150" si="261">IFERROR(+AQ145/AO145,0)</f>
        <v>0</v>
      </c>
      <c r="AQ145" s="34"/>
      <c r="AS145" s="34"/>
      <c r="AT145" s="59">
        <f t="shared" ref="AT145:AT150" si="262">IFERROR(+AU145/AS145,0)</f>
        <v>0</v>
      </c>
      <c r="AU145" s="34"/>
      <c r="AW145" s="34"/>
      <c r="AX145" s="59">
        <f t="shared" ref="AX145:AX150" si="263">IFERROR(+AY145/AW145,0)</f>
        <v>0</v>
      </c>
      <c r="AY145" s="34"/>
      <c r="BA145" s="34"/>
      <c r="BB145" s="59">
        <f t="shared" ref="BB145:BB150" si="264">IFERROR(+BC145/BA145,0)</f>
        <v>0</v>
      </c>
      <c r="BC145" s="34"/>
      <c r="BE145" s="61">
        <f t="shared" ref="BE145:BE149" si="265">+I145+M145+Q145++U145+Y145+AC145+AG145+AK145+AO145+AS145+AW145+BA145</f>
        <v>0</v>
      </c>
      <c r="BF145" s="60">
        <f t="shared" ref="BF145:BF149" si="266">IFERROR(+BG145/BE145,0)</f>
        <v>0</v>
      </c>
      <c r="BG145" s="61">
        <f t="shared" ref="BG145:BG149" si="267">+K145+O145+S145+W145+AA145+AE145+AI145+AM145+AQ145+AU145+AY145+BC145</f>
        <v>0</v>
      </c>
    </row>
    <row r="146" spans="1:59" ht="21" hidden="1" customHeight="1" x14ac:dyDescent="0.3">
      <c r="A146" s="11"/>
      <c r="B146" s="181"/>
      <c r="C146" s="34"/>
      <c r="D146" s="34"/>
      <c r="E146" s="34"/>
      <c r="F146" s="34"/>
      <c r="G146" s="57"/>
      <c r="H146" s="35"/>
      <c r="I146" s="34"/>
      <c r="J146" s="59">
        <f t="shared" si="253"/>
        <v>0</v>
      </c>
      <c r="K146" s="34"/>
      <c r="M146" s="34"/>
      <c r="N146" s="59">
        <f t="shared" si="254"/>
        <v>0</v>
      </c>
      <c r="O146" s="34"/>
      <c r="Q146" s="34"/>
      <c r="R146" s="59">
        <f t="shared" si="255"/>
        <v>0</v>
      </c>
      <c r="S146" s="34"/>
      <c r="U146" s="34"/>
      <c r="V146" s="59">
        <f t="shared" si="256"/>
        <v>0</v>
      </c>
      <c r="W146" s="34"/>
      <c r="Y146" s="34"/>
      <c r="Z146" s="59">
        <f t="shared" si="257"/>
        <v>0</v>
      </c>
      <c r="AA146" s="34"/>
      <c r="AC146" s="34"/>
      <c r="AD146" s="59">
        <f t="shared" si="258"/>
        <v>0</v>
      </c>
      <c r="AE146" s="34"/>
      <c r="AG146" s="34"/>
      <c r="AH146" s="59">
        <f t="shared" si="259"/>
        <v>0</v>
      </c>
      <c r="AI146" s="34"/>
      <c r="AK146" s="34"/>
      <c r="AL146" s="59">
        <f t="shared" si="260"/>
        <v>0</v>
      </c>
      <c r="AM146" s="34"/>
      <c r="AO146" s="34"/>
      <c r="AP146" s="59">
        <f t="shared" si="261"/>
        <v>0</v>
      </c>
      <c r="AQ146" s="34"/>
      <c r="AS146" s="34"/>
      <c r="AT146" s="59">
        <f t="shared" si="262"/>
        <v>0</v>
      </c>
      <c r="AU146" s="34"/>
      <c r="AW146" s="34"/>
      <c r="AX146" s="59">
        <f t="shared" si="263"/>
        <v>0</v>
      </c>
      <c r="AY146" s="34"/>
      <c r="BA146" s="34"/>
      <c r="BB146" s="59">
        <f t="shared" si="264"/>
        <v>0</v>
      </c>
      <c r="BC146" s="34"/>
      <c r="BE146" s="61">
        <f t="shared" si="265"/>
        <v>0</v>
      </c>
      <c r="BF146" s="60">
        <f t="shared" si="266"/>
        <v>0</v>
      </c>
      <c r="BG146" s="61">
        <f t="shared" si="267"/>
        <v>0</v>
      </c>
    </row>
    <row r="147" spans="1:59" ht="21" hidden="1" customHeight="1" x14ac:dyDescent="0.3">
      <c r="A147" s="11"/>
      <c r="B147" s="181"/>
      <c r="C147" s="34"/>
      <c r="D147" s="34"/>
      <c r="E147" s="34"/>
      <c r="F147" s="34"/>
      <c r="G147" s="57"/>
      <c r="H147" s="35"/>
      <c r="I147" s="34"/>
      <c r="J147" s="59">
        <f t="shared" si="253"/>
        <v>0</v>
      </c>
      <c r="K147" s="34"/>
      <c r="M147" s="34"/>
      <c r="N147" s="59">
        <f t="shared" si="254"/>
        <v>0</v>
      </c>
      <c r="O147" s="34"/>
      <c r="Q147" s="34"/>
      <c r="R147" s="59">
        <f t="shared" si="255"/>
        <v>0</v>
      </c>
      <c r="S147" s="34"/>
      <c r="U147" s="34"/>
      <c r="V147" s="59">
        <f t="shared" si="256"/>
        <v>0</v>
      </c>
      <c r="W147" s="34"/>
      <c r="Y147" s="34"/>
      <c r="Z147" s="59">
        <f t="shared" si="257"/>
        <v>0</v>
      </c>
      <c r="AA147" s="34"/>
      <c r="AC147" s="34"/>
      <c r="AD147" s="59">
        <f t="shared" si="258"/>
        <v>0</v>
      </c>
      <c r="AE147" s="34"/>
      <c r="AG147" s="34"/>
      <c r="AH147" s="59">
        <f t="shared" si="259"/>
        <v>0</v>
      </c>
      <c r="AI147" s="34"/>
      <c r="AK147" s="34"/>
      <c r="AL147" s="59">
        <f t="shared" si="260"/>
        <v>0</v>
      </c>
      <c r="AM147" s="34"/>
      <c r="AO147" s="34"/>
      <c r="AP147" s="59">
        <f t="shared" si="261"/>
        <v>0</v>
      </c>
      <c r="AQ147" s="34"/>
      <c r="AS147" s="34"/>
      <c r="AT147" s="59">
        <f t="shared" si="262"/>
        <v>0</v>
      </c>
      <c r="AU147" s="34"/>
      <c r="AW147" s="34"/>
      <c r="AX147" s="59">
        <f t="shared" si="263"/>
        <v>0</v>
      </c>
      <c r="AY147" s="34"/>
      <c r="BA147" s="34"/>
      <c r="BB147" s="59">
        <f t="shared" si="264"/>
        <v>0</v>
      </c>
      <c r="BC147" s="34"/>
      <c r="BE147" s="61">
        <f t="shared" si="265"/>
        <v>0</v>
      </c>
      <c r="BF147" s="60">
        <f t="shared" si="266"/>
        <v>0</v>
      </c>
      <c r="BG147" s="61">
        <f t="shared" si="267"/>
        <v>0</v>
      </c>
    </row>
    <row r="148" spans="1:59" ht="21" hidden="1" customHeight="1" x14ac:dyDescent="0.3">
      <c r="A148" s="11"/>
      <c r="B148" s="181"/>
      <c r="C148" s="34"/>
      <c r="D148" s="34"/>
      <c r="E148" s="34"/>
      <c r="F148" s="34"/>
      <c r="G148" s="57"/>
      <c r="H148" s="35"/>
      <c r="I148" s="34"/>
      <c r="J148" s="59">
        <f t="shared" si="253"/>
        <v>0</v>
      </c>
      <c r="K148" s="34"/>
      <c r="M148" s="34"/>
      <c r="N148" s="59">
        <f t="shared" si="254"/>
        <v>0</v>
      </c>
      <c r="O148" s="34"/>
      <c r="Q148" s="34"/>
      <c r="R148" s="59">
        <f t="shared" si="255"/>
        <v>0</v>
      </c>
      <c r="S148" s="34"/>
      <c r="U148" s="34"/>
      <c r="V148" s="59">
        <f t="shared" si="256"/>
        <v>0</v>
      </c>
      <c r="W148" s="34"/>
      <c r="Y148" s="34"/>
      <c r="Z148" s="59">
        <f t="shared" si="257"/>
        <v>0</v>
      </c>
      <c r="AA148" s="34"/>
      <c r="AC148" s="34"/>
      <c r="AD148" s="59">
        <f t="shared" si="258"/>
        <v>0</v>
      </c>
      <c r="AE148" s="34"/>
      <c r="AG148" s="34"/>
      <c r="AH148" s="59">
        <f t="shared" si="259"/>
        <v>0</v>
      </c>
      <c r="AI148" s="34"/>
      <c r="AK148" s="34"/>
      <c r="AL148" s="59">
        <f t="shared" si="260"/>
        <v>0</v>
      </c>
      <c r="AM148" s="34"/>
      <c r="AO148" s="34"/>
      <c r="AP148" s="59">
        <f t="shared" si="261"/>
        <v>0</v>
      </c>
      <c r="AQ148" s="34"/>
      <c r="AS148" s="34"/>
      <c r="AT148" s="59">
        <f t="shared" si="262"/>
        <v>0</v>
      </c>
      <c r="AU148" s="34"/>
      <c r="AW148" s="34"/>
      <c r="AX148" s="59">
        <f t="shared" si="263"/>
        <v>0</v>
      </c>
      <c r="AY148" s="34"/>
      <c r="BA148" s="34"/>
      <c r="BB148" s="59">
        <f t="shared" si="264"/>
        <v>0</v>
      </c>
      <c r="BC148" s="34"/>
      <c r="BE148" s="61">
        <f t="shared" si="265"/>
        <v>0</v>
      </c>
      <c r="BF148" s="60">
        <f t="shared" si="266"/>
        <v>0</v>
      </c>
      <c r="BG148" s="61">
        <f t="shared" si="267"/>
        <v>0</v>
      </c>
    </row>
    <row r="149" spans="1:59" ht="21" hidden="1" customHeight="1" x14ac:dyDescent="0.3">
      <c r="A149" s="11"/>
      <c r="B149" s="181"/>
      <c r="C149" s="34"/>
      <c r="D149" s="34"/>
      <c r="E149" s="34"/>
      <c r="F149" s="34"/>
      <c r="G149" s="57"/>
      <c r="H149" s="35"/>
      <c r="I149" s="34"/>
      <c r="J149" s="59">
        <f>IFERROR(+K149/I149,0)</f>
        <v>0</v>
      </c>
      <c r="K149" s="34"/>
      <c r="M149" s="34"/>
      <c r="N149" s="59">
        <f>IFERROR(+O149/M149,0)</f>
        <v>0</v>
      </c>
      <c r="O149" s="34"/>
      <c r="Q149" s="34"/>
      <c r="R149" s="59">
        <f>IFERROR(+S149/Q149,0)</f>
        <v>0</v>
      </c>
      <c r="S149" s="34"/>
      <c r="U149" s="34"/>
      <c r="V149" s="59">
        <f>IFERROR(+W149/U149,0)</f>
        <v>0</v>
      </c>
      <c r="W149" s="34"/>
      <c r="Y149" s="34"/>
      <c r="Z149" s="59">
        <f>IFERROR(+AA149/Y149,0)</f>
        <v>0</v>
      </c>
      <c r="AA149" s="34"/>
      <c r="AC149" s="34"/>
      <c r="AD149" s="59">
        <f>IFERROR(+AE149/AC149,0)</f>
        <v>0</v>
      </c>
      <c r="AE149" s="34"/>
      <c r="AG149" s="34"/>
      <c r="AH149" s="59">
        <f>IFERROR(+AI149/AG149,0)</f>
        <v>0</v>
      </c>
      <c r="AI149" s="34"/>
      <c r="AK149" s="34"/>
      <c r="AL149" s="59">
        <f>IFERROR(+AM149/AK149,0)</f>
        <v>0</v>
      </c>
      <c r="AM149" s="34"/>
      <c r="AO149" s="34"/>
      <c r="AP149" s="59">
        <f>IFERROR(+AQ149/AO149,0)</f>
        <v>0</v>
      </c>
      <c r="AQ149" s="34"/>
      <c r="AS149" s="34"/>
      <c r="AT149" s="59">
        <f>IFERROR(+AU149/AS149,0)</f>
        <v>0</v>
      </c>
      <c r="AU149" s="34"/>
      <c r="AW149" s="34"/>
      <c r="AX149" s="59">
        <f>IFERROR(+AY149/AW149,0)</f>
        <v>0</v>
      </c>
      <c r="AY149" s="34"/>
      <c r="BA149" s="34"/>
      <c r="BB149" s="59">
        <f>IFERROR(+BC149/BA149,0)</f>
        <v>0</v>
      </c>
      <c r="BC149" s="34"/>
      <c r="BE149" s="61">
        <f t="shared" si="265"/>
        <v>0</v>
      </c>
      <c r="BF149" s="60">
        <f t="shared" si="266"/>
        <v>0</v>
      </c>
      <c r="BG149" s="61">
        <f t="shared" si="267"/>
        <v>0</v>
      </c>
    </row>
    <row r="150" spans="1:59" ht="21" hidden="1" customHeight="1" x14ac:dyDescent="0.3">
      <c r="A150" s="11"/>
      <c r="B150" s="181"/>
      <c r="C150" s="34"/>
      <c r="D150" s="34"/>
      <c r="E150" s="34"/>
      <c r="F150" s="34"/>
      <c r="G150" s="57" t="str">
        <f>IFERROR(+VLOOKUP(F150,Datos!$P:$Q,2,0),"")</f>
        <v/>
      </c>
      <c r="H150" s="35"/>
      <c r="I150" s="34"/>
      <c r="J150" s="59">
        <f t="shared" si="253"/>
        <v>0</v>
      </c>
      <c r="K150" s="34"/>
      <c r="M150" s="34"/>
      <c r="N150" s="59">
        <f t="shared" si="254"/>
        <v>0</v>
      </c>
      <c r="O150" s="34"/>
      <c r="Q150" s="34"/>
      <c r="R150" s="59">
        <f t="shared" si="255"/>
        <v>0</v>
      </c>
      <c r="S150" s="34"/>
      <c r="U150" s="34"/>
      <c r="V150" s="59">
        <f t="shared" si="256"/>
        <v>0</v>
      </c>
      <c r="W150" s="34"/>
      <c r="Y150" s="34"/>
      <c r="Z150" s="59">
        <f t="shared" si="257"/>
        <v>0</v>
      </c>
      <c r="AA150" s="34"/>
      <c r="AC150" s="34"/>
      <c r="AD150" s="59">
        <f t="shared" si="258"/>
        <v>0</v>
      </c>
      <c r="AE150" s="34"/>
      <c r="AG150" s="34"/>
      <c r="AH150" s="59">
        <f t="shared" si="259"/>
        <v>0</v>
      </c>
      <c r="AI150" s="34"/>
      <c r="AK150" s="34"/>
      <c r="AL150" s="59">
        <f t="shared" si="260"/>
        <v>0</v>
      </c>
      <c r="AM150" s="34"/>
      <c r="AO150" s="34"/>
      <c r="AP150" s="59">
        <f t="shared" si="261"/>
        <v>0</v>
      </c>
      <c r="AQ150" s="34"/>
      <c r="AS150" s="34"/>
      <c r="AT150" s="59">
        <f t="shared" si="262"/>
        <v>0</v>
      </c>
      <c r="AU150" s="34"/>
      <c r="AW150" s="34"/>
      <c r="AX150" s="59">
        <f t="shared" si="263"/>
        <v>0</v>
      </c>
      <c r="AY150" s="34"/>
      <c r="BA150" s="34"/>
      <c r="BB150" s="59">
        <f t="shared" si="264"/>
        <v>0</v>
      </c>
      <c r="BC150" s="34"/>
      <c r="BE150" s="61">
        <f>+I150+M150+Q150++U150+Y150+AC150+AG150+AK150+AO150+AS150+AW150+BA150</f>
        <v>0</v>
      </c>
      <c r="BF150" s="60">
        <f>IFERROR(+BG150/BE150,0)</f>
        <v>0</v>
      </c>
      <c r="BG150" s="61">
        <f>+K150+O150+S150+W150+AA150+AE150+AI150+AM150+AQ150+AU150+AY150+BC150</f>
        <v>0</v>
      </c>
    </row>
    <row r="151" spans="1:59" ht="21" hidden="1" customHeight="1" x14ac:dyDescent="0.3">
      <c r="A151" s="11"/>
      <c r="B151" s="330" t="s">
        <v>227</v>
      </c>
      <c r="C151" s="331"/>
      <c r="D151" s="331"/>
      <c r="E151" s="331"/>
      <c r="F151" s="331"/>
      <c r="G151" s="332"/>
      <c r="H151" s="35"/>
      <c r="I151" s="61">
        <f>SUM(I144:I150)</f>
        <v>0</v>
      </c>
      <c r="J151" s="60">
        <f t="shared" ref="J151" si="268">IFERROR(+K151/I151,0)</f>
        <v>0</v>
      </c>
      <c r="K151" s="61">
        <f>SUM(K144:K150)</f>
        <v>0</v>
      </c>
      <c r="M151" s="61">
        <f>SUM(M144:M150)</f>
        <v>0</v>
      </c>
      <c r="N151" s="60">
        <f t="shared" ref="N151" si="269">IFERROR(+O151/M151,0)</f>
        <v>0</v>
      </c>
      <c r="O151" s="61">
        <f>SUM(O144:O150)</f>
        <v>0</v>
      </c>
      <c r="Q151" s="61">
        <f>SUM(Q144:Q150)</f>
        <v>0</v>
      </c>
      <c r="R151" s="60">
        <f t="shared" ref="R151" si="270">IFERROR(+S151/Q151,0)</f>
        <v>0</v>
      </c>
      <c r="S151" s="61">
        <f>SUM(S144:S150)</f>
        <v>0</v>
      </c>
      <c r="U151" s="61">
        <f>SUM(U144:U150)</f>
        <v>0</v>
      </c>
      <c r="V151" s="60">
        <f t="shared" ref="V151" si="271">IFERROR(+W151/U151,0)</f>
        <v>0</v>
      </c>
      <c r="W151" s="61">
        <f>SUM(W144:W150)</f>
        <v>0</v>
      </c>
      <c r="Y151" s="61">
        <f>SUM(Y144:Y150)</f>
        <v>0</v>
      </c>
      <c r="Z151" s="60">
        <f t="shared" ref="Z151" si="272">IFERROR(+AA151/Y151,0)</f>
        <v>0</v>
      </c>
      <c r="AA151" s="61">
        <f>SUM(AA144:AA150)</f>
        <v>0</v>
      </c>
      <c r="AC151" s="61">
        <f>SUM(AC144:AC150)</f>
        <v>0</v>
      </c>
      <c r="AD151" s="60">
        <f t="shared" ref="AD151" si="273">IFERROR(+AE151/AC151,0)</f>
        <v>0</v>
      </c>
      <c r="AE151" s="61">
        <f>SUM(AE144:AE150)</f>
        <v>0</v>
      </c>
      <c r="AG151" s="61">
        <f>SUM(AG144:AG150)</f>
        <v>0</v>
      </c>
      <c r="AH151" s="60">
        <f t="shared" ref="AH151" si="274">IFERROR(+AI151/AG151,0)</f>
        <v>0</v>
      </c>
      <c r="AI151" s="61">
        <f>SUM(AI144:AI150)</f>
        <v>0</v>
      </c>
      <c r="AK151" s="61">
        <f>SUM(AK144:AK150)</f>
        <v>0</v>
      </c>
      <c r="AL151" s="60">
        <f t="shared" ref="AL151" si="275">IFERROR(+AM151/AK151,0)</f>
        <v>0</v>
      </c>
      <c r="AM151" s="61">
        <f>SUM(AM144:AM150)</f>
        <v>0</v>
      </c>
      <c r="AO151" s="61">
        <f>SUM(AO144:AO150)</f>
        <v>0</v>
      </c>
      <c r="AP151" s="60">
        <f t="shared" ref="AP151" si="276">IFERROR(+AQ151/AO151,0)</f>
        <v>0</v>
      </c>
      <c r="AQ151" s="61">
        <f>SUM(AQ144:AQ150)</f>
        <v>0</v>
      </c>
      <c r="AS151" s="61">
        <f>SUM(AS144:AS150)</f>
        <v>0</v>
      </c>
      <c r="AT151" s="60">
        <f t="shared" ref="AT151" si="277">IFERROR(+AU151/AS151,0)</f>
        <v>0</v>
      </c>
      <c r="AU151" s="61">
        <f>SUM(AU144:AU150)</f>
        <v>0</v>
      </c>
      <c r="AW151" s="61">
        <f>SUM(AW144:AW150)</f>
        <v>0</v>
      </c>
      <c r="AX151" s="60">
        <f t="shared" ref="AX151" si="278">IFERROR(+AY151/AW151,0)</f>
        <v>0</v>
      </c>
      <c r="AY151" s="61">
        <f>SUM(AY144:AY150)</f>
        <v>0</v>
      </c>
      <c r="BA151" s="61">
        <f>SUM(BA144:BA150)</f>
        <v>0</v>
      </c>
      <c r="BB151" s="60">
        <f t="shared" ref="BB151" si="279">IFERROR(+BC151/BA151,0)</f>
        <v>0</v>
      </c>
      <c r="BC151" s="61">
        <f>SUM(BC144:BC150)</f>
        <v>0</v>
      </c>
      <c r="BE151" s="61">
        <f>SUM(BE144:BE150)</f>
        <v>0</v>
      </c>
      <c r="BF151" s="60">
        <f t="shared" ref="BF151" si="280">IFERROR(+BG151/BE151,0)</f>
        <v>0</v>
      </c>
      <c r="BG151" s="61">
        <f>SUM(BG144:BG150)</f>
        <v>0</v>
      </c>
    </row>
    <row r="152" spans="1:59" hidden="1" x14ac:dyDescent="0.3"/>
    <row r="153" spans="1:59" ht="36" hidden="1" customHeight="1" x14ac:dyDescent="0.3">
      <c r="B153" s="338" t="s">
        <v>361</v>
      </c>
      <c r="C153" s="338"/>
      <c r="D153" s="338"/>
      <c r="E153" s="338"/>
      <c r="F153" s="338"/>
      <c r="G153" s="338"/>
      <c r="H153" s="338"/>
      <c r="I153" s="338"/>
      <c r="J153" s="338"/>
    </row>
    <row r="154" spans="1:59" hidden="1" x14ac:dyDescent="0.3"/>
    <row r="155" spans="1:59" ht="21" hidden="1" customHeight="1" x14ac:dyDescent="0.3">
      <c r="A155" s="11"/>
      <c r="B155" s="329" t="s">
        <v>894</v>
      </c>
      <c r="C155" s="329" t="s">
        <v>895</v>
      </c>
      <c r="D155" s="325" t="s">
        <v>235</v>
      </c>
      <c r="E155" s="319" t="s">
        <v>232</v>
      </c>
      <c r="F155" s="322" t="s">
        <v>233</v>
      </c>
      <c r="G155" s="319" t="s">
        <v>234</v>
      </c>
      <c r="H155" s="36"/>
      <c r="I155" s="328" t="str">
        <f>+"Enero "&amp;$I$6&amp;""</f>
        <v>Enero 2025</v>
      </c>
      <c r="J155" s="328"/>
      <c r="K155" s="328"/>
      <c r="M155" s="328" t="str">
        <f>+"Febrero "&amp;$I$6&amp;""</f>
        <v>Febrero 2025</v>
      </c>
      <c r="N155" s="328"/>
      <c r="O155" s="328"/>
      <c r="Q155" s="328" t="str">
        <f>+"Marzo "&amp;$I$6&amp;""</f>
        <v>Marzo 2025</v>
      </c>
      <c r="R155" s="328"/>
      <c r="S155" s="328"/>
      <c r="U155" s="328" t="str">
        <f>+"Abril "&amp;$I$6&amp;""</f>
        <v>Abril 2025</v>
      </c>
      <c r="V155" s="328"/>
      <c r="W155" s="328"/>
      <c r="Y155" s="328" t="str">
        <f>+"Mayo "&amp;$I$6&amp;""</f>
        <v>Mayo 2025</v>
      </c>
      <c r="Z155" s="328"/>
      <c r="AA155" s="328"/>
      <c r="AC155" s="328" t="str">
        <f>+"Junio "&amp;$I$6&amp;""</f>
        <v>Junio 2025</v>
      </c>
      <c r="AD155" s="328"/>
      <c r="AE155" s="328"/>
      <c r="AG155" s="328" t="str">
        <f>+"Julio "&amp;$I$6&amp;""</f>
        <v>Julio 2025</v>
      </c>
      <c r="AH155" s="328"/>
      <c r="AI155" s="328"/>
      <c r="AK155" s="328" t="str">
        <f>+"Agosto "&amp;$I$6&amp;""</f>
        <v>Agosto 2025</v>
      </c>
      <c r="AL155" s="328"/>
      <c r="AM155" s="328"/>
      <c r="AO155" s="328" t="str">
        <f>+"Septiembre "&amp;$I$6&amp;""</f>
        <v>Septiembre 2025</v>
      </c>
      <c r="AP155" s="328"/>
      <c r="AQ155" s="328"/>
      <c r="AS155" s="328" t="str">
        <f>+"Octubre "&amp;$I$6&amp;""</f>
        <v>Octubre 2025</v>
      </c>
      <c r="AT155" s="328"/>
      <c r="AU155" s="328"/>
      <c r="AW155" s="328" t="str">
        <f>+"Noviembre "&amp;$I$6&amp;""</f>
        <v>Noviembre 2025</v>
      </c>
      <c r="AX155" s="328"/>
      <c r="AY155" s="328"/>
      <c r="BA155" s="328" t="str">
        <f>+"Diciembre "&amp;$I$6&amp;""</f>
        <v>Diciembre 2025</v>
      </c>
      <c r="BB155" s="328"/>
      <c r="BC155" s="328"/>
      <c r="BE155" s="328" t="str">
        <f>+"Acumulado "&amp;$I$6&amp;""</f>
        <v>Acumulado 2025</v>
      </c>
      <c r="BF155" s="328"/>
      <c r="BG155" s="328"/>
    </row>
    <row r="156" spans="1:59" ht="21" hidden="1" customHeight="1" x14ac:dyDescent="0.3">
      <c r="A156" s="11"/>
      <c r="B156" s="329"/>
      <c r="C156" s="329"/>
      <c r="D156" s="326"/>
      <c r="E156" s="321"/>
      <c r="F156" s="323"/>
      <c r="G156" s="321"/>
      <c r="H156" s="36"/>
      <c r="I156" s="221" t="s">
        <v>60</v>
      </c>
      <c r="J156" s="319" t="s">
        <v>61</v>
      </c>
      <c r="K156" s="221" t="s">
        <v>62</v>
      </c>
      <c r="L156" s="20"/>
      <c r="M156" s="221" t="s">
        <v>60</v>
      </c>
      <c r="N156" s="319" t="s">
        <v>61</v>
      </c>
      <c r="O156" s="221" t="s">
        <v>62</v>
      </c>
      <c r="P156" s="20"/>
      <c r="Q156" s="221" t="s">
        <v>60</v>
      </c>
      <c r="R156" s="319" t="s">
        <v>61</v>
      </c>
      <c r="S156" s="221" t="s">
        <v>62</v>
      </c>
      <c r="T156" s="20"/>
      <c r="U156" s="221" t="s">
        <v>60</v>
      </c>
      <c r="V156" s="319" t="s">
        <v>61</v>
      </c>
      <c r="W156" s="221" t="s">
        <v>62</v>
      </c>
      <c r="X156" s="20"/>
      <c r="Y156" s="221" t="s">
        <v>60</v>
      </c>
      <c r="Z156" s="319" t="s">
        <v>61</v>
      </c>
      <c r="AA156" s="221" t="s">
        <v>62</v>
      </c>
      <c r="AB156" s="20"/>
      <c r="AC156" s="221" t="s">
        <v>60</v>
      </c>
      <c r="AD156" s="319" t="s">
        <v>61</v>
      </c>
      <c r="AE156" s="221" t="s">
        <v>62</v>
      </c>
      <c r="AF156" s="20"/>
      <c r="AG156" s="221" t="s">
        <v>60</v>
      </c>
      <c r="AH156" s="319" t="s">
        <v>61</v>
      </c>
      <c r="AI156" s="221" t="s">
        <v>62</v>
      </c>
      <c r="AJ156" s="20"/>
      <c r="AK156" s="221" t="s">
        <v>60</v>
      </c>
      <c r="AL156" s="319" t="s">
        <v>61</v>
      </c>
      <c r="AM156" s="221" t="s">
        <v>62</v>
      </c>
      <c r="AN156" s="20"/>
      <c r="AO156" s="221" t="s">
        <v>60</v>
      </c>
      <c r="AP156" s="319" t="s">
        <v>61</v>
      </c>
      <c r="AQ156" s="221" t="s">
        <v>62</v>
      </c>
      <c r="AR156" s="20"/>
      <c r="AS156" s="221" t="s">
        <v>60</v>
      </c>
      <c r="AT156" s="319" t="s">
        <v>61</v>
      </c>
      <c r="AU156" s="221" t="s">
        <v>62</v>
      </c>
      <c r="AV156" s="20"/>
      <c r="AW156" s="221" t="s">
        <v>60</v>
      </c>
      <c r="AX156" s="319" t="s">
        <v>61</v>
      </c>
      <c r="AY156" s="221" t="s">
        <v>62</v>
      </c>
      <c r="AZ156" s="20"/>
      <c r="BA156" s="221" t="s">
        <v>60</v>
      </c>
      <c r="BB156" s="319" t="s">
        <v>61</v>
      </c>
      <c r="BC156" s="221" t="s">
        <v>62</v>
      </c>
      <c r="BD156" s="20"/>
      <c r="BE156" s="221" t="s">
        <v>60</v>
      </c>
      <c r="BF156" s="319" t="s">
        <v>61</v>
      </c>
      <c r="BG156" s="221" t="s">
        <v>62</v>
      </c>
    </row>
    <row r="157" spans="1:59" ht="21" hidden="1" customHeight="1" x14ac:dyDescent="0.3">
      <c r="A157" s="11"/>
      <c r="B157" s="329"/>
      <c r="C157" s="329"/>
      <c r="D157" s="327"/>
      <c r="E157" s="320"/>
      <c r="F157" s="324"/>
      <c r="G157" s="320"/>
      <c r="H157" s="36"/>
      <c r="I157" s="220" t="s">
        <v>992</v>
      </c>
      <c r="J157" s="320"/>
      <c r="K157" s="220" t="s">
        <v>993</v>
      </c>
      <c r="L157" s="20"/>
      <c r="M157" s="220" t="s">
        <v>992</v>
      </c>
      <c r="N157" s="320"/>
      <c r="O157" s="220" t="s">
        <v>993</v>
      </c>
      <c r="P157" s="20"/>
      <c r="Q157" s="220" t="s">
        <v>992</v>
      </c>
      <c r="R157" s="320"/>
      <c r="S157" s="220" t="s">
        <v>993</v>
      </c>
      <c r="T157" s="20"/>
      <c r="U157" s="220" t="s">
        <v>992</v>
      </c>
      <c r="V157" s="320"/>
      <c r="W157" s="220" t="s">
        <v>993</v>
      </c>
      <c r="X157" s="20"/>
      <c r="Y157" s="220" t="s">
        <v>992</v>
      </c>
      <c r="Z157" s="320"/>
      <c r="AA157" s="220" t="s">
        <v>993</v>
      </c>
      <c r="AB157" s="20"/>
      <c r="AC157" s="220" t="s">
        <v>992</v>
      </c>
      <c r="AD157" s="320"/>
      <c r="AE157" s="220" t="s">
        <v>993</v>
      </c>
      <c r="AF157" s="20"/>
      <c r="AG157" s="220" t="s">
        <v>992</v>
      </c>
      <c r="AH157" s="320"/>
      <c r="AI157" s="220" t="s">
        <v>993</v>
      </c>
      <c r="AJ157" s="20"/>
      <c r="AK157" s="220" t="s">
        <v>992</v>
      </c>
      <c r="AL157" s="320"/>
      <c r="AM157" s="220" t="s">
        <v>993</v>
      </c>
      <c r="AN157" s="20"/>
      <c r="AO157" s="220" t="s">
        <v>992</v>
      </c>
      <c r="AP157" s="320"/>
      <c r="AQ157" s="220" t="s">
        <v>993</v>
      </c>
      <c r="AR157" s="20"/>
      <c r="AS157" s="220" t="s">
        <v>992</v>
      </c>
      <c r="AT157" s="320"/>
      <c r="AU157" s="220" t="s">
        <v>993</v>
      </c>
      <c r="AV157" s="20"/>
      <c r="AW157" s="220" t="s">
        <v>992</v>
      </c>
      <c r="AX157" s="320"/>
      <c r="AY157" s="220" t="s">
        <v>993</v>
      </c>
      <c r="AZ157" s="20"/>
      <c r="BA157" s="220" t="s">
        <v>992</v>
      </c>
      <c r="BB157" s="320"/>
      <c r="BC157" s="220" t="s">
        <v>993</v>
      </c>
      <c r="BD157" s="20"/>
      <c r="BE157" s="220" t="s">
        <v>992</v>
      </c>
      <c r="BF157" s="320"/>
      <c r="BG157" s="220" t="s">
        <v>993</v>
      </c>
    </row>
    <row r="158" spans="1:59" ht="21" hidden="1" customHeight="1" x14ac:dyDescent="0.3">
      <c r="A158" s="11"/>
      <c r="B158" s="181"/>
      <c r="C158" s="34"/>
      <c r="D158" s="34"/>
      <c r="E158" s="34"/>
      <c r="F158" s="34"/>
      <c r="G158" s="57"/>
      <c r="H158" s="35"/>
      <c r="I158" s="34"/>
      <c r="J158" s="59">
        <f>IFERROR(+K158/I158,0)</f>
        <v>0</v>
      </c>
      <c r="K158" s="34"/>
      <c r="M158" s="34"/>
      <c r="N158" s="59">
        <f>IFERROR(+O158/M158,0)</f>
        <v>0</v>
      </c>
      <c r="O158" s="34"/>
      <c r="Q158" s="34"/>
      <c r="R158" s="59">
        <f>IFERROR(+S158/Q158,0)</f>
        <v>0</v>
      </c>
      <c r="S158" s="34"/>
      <c r="U158" s="34"/>
      <c r="V158" s="59">
        <f>IFERROR(+W158/U158,0)</f>
        <v>0</v>
      </c>
      <c r="W158" s="34"/>
      <c r="Y158" s="34"/>
      <c r="Z158" s="59">
        <f>IFERROR(+AA158/Y158,0)</f>
        <v>0</v>
      </c>
      <c r="AA158" s="34"/>
      <c r="AC158" s="34"/>
      <c r="AD158" s="59">
        <f>IFERROR(+AE158/AC158,0)</f>
        <v>0</v>
      </c>
      <c r="AE158" s="34"/>
      <c r="AG158" s="34"/>
      <c r="AH158" s="59">
        <f>IFERROR(+AI158/AG158,0)</f>
        <v>0</v>
      </c>
      <c r="AI158" s="34"/>
      <c r="AK158" s="34"/>
      <c r="AL158" s="59">
        <f>IFERROR(+AM158/AK158,0)</f>
        <v>0</v>
      </c>
      <c r="AM158" s="34"/>
      <c r="AO158" s="34"/>
      <c r="AP158" s="59">
        <f>IFERROR(+AQ158/AO158,0)</f>
        <v>0</v>
      </c>
      <c r="AQ158" s="34"/>
      <c r="AS158" s="34"/>
      <c r="AT158" s="59">
        <f>IFERROR(+AU158/AS158,0)</f>
        <v>0</v>
      </c>
      <c r="AU158" s="34"/>
      <c r="AW158" s="34"/>
      <c r="AX158" s="59">
        <f>IFERROR(+AY158/AW158,0)</f>
        <v>0</v>
      </c>
      <c r="AY158" s="34"/>
      <c r="BA158" s="34"/>
      <c r="BB158" s="59">
        <f>IFERROR(+BC158/BA158,0)</f>
        <v>0</v>
      </c>
      <c r="BC158" s="34"/>
      <c r="BE158" s="61">
        <f>+I158+M158+Q158++U158+Y158+AC158+AG158+AK158+AO158+AS158+AW158+BA158</f>
        <v>0</v>
      </c>
      <c r="BF158" s="60">
        <f>IFERROR(+BG158/BE158,0)</f>
        <v>0</v>
      </c>
      <c r="BG158" s="61">
        <f>+K158+O158+S158+W158+AA158+AE158+AI158+AM158+AQ158+AU158+AY158+BC158</f>
        <v>0</v>
      </c>
    </row>
    <row r="159" spans="1:59" ht="21" hidden="1" customHeight="1" x14ac:dyDescent="0.3">
      <c r="A159" s="11"/>
      <c r="B159" s="181"/>
      <c r="C159" s="34"/>
      <c r="D159" s="34"/>
      <c r="E159" s="34"/>
      <c r="F159" s="34"/>
      <c r="G159" s="57"/>
      <c r="H159" s="35"/>
      <c r="I159" s="34"/>
      <c r="J159" s="59">
        <f t="shared" ref="J159:J164" si="281">IFERROR(+K159/I159,0)</f>
        <v>0</v>
      </c>
      <c r="K159" s="34"/>
      <c r="M159" s="34"/>
      <c r="N159" s="59">
        <f t="shared" ref="N159:N164" si="282">IFERROR(+O159/M159,0)</f>
        <v>0</v>
      </c>
      <c r="O159" s="34"/>
      <c r="Q159" s="34"/>
      <c r="R159" s="59">
        <f t="shared" ref="R159:R164" si="283">IFERROR(+S159/Q159,0)</f>
        <v>0</v>
      </c>
      <c r="S159" s="34"/>
      <c r="U159" s="34"/>
      <c r="V159" s="59">
        <f t="shared" ref="V159:V164" si="284">IFERROR(+W159/U159,0)</f>
        <v>0</v>
      </c>
      <c r="W159" s="34"/>
      <c r="Y159" s="34"/>
      <c r="Z159" s="59">
        <f t="shared" ref="Z159:Z164" si="285">IFERROR(+AA159/Y159,0)</f>
        <v>0</v>
      </c>
      <c r="AA159" s="34"/>
      <c r="AC159" s="34"/>
      <c r="AD159" s="59">
        <f t="shared" ref="AD159:AD164" si="286">IFERROR(+AE159/AC159,0)</f>
        <v>0</v>
      </c>
      <c r="AE159" s="34"/>
      <c r="AG159" s="34"/>
      <c r="AH159" s="59">
        <f t="shared" ref="AH159:AH164" si="287">IFERROR(+AI159/AG159,0)</f>
        <v>0</v>
      </c>
      <c r="AI159" s="34"/>
      <c r="AK159" s="34"/>
      <c r="AL159" s="59">
        <f t="shared" ref="AL159:AL164" si="288">IFERROR(+AM159/AK159,0)</f>
        <v>0</v>
      </c>
      <c r="AM159" s="34"/>
      <c r="AO159" s="34"/>
      <c r="AP159" s="59">
        <f t="shared" ref="AP159:AP164" si="289">IFERROR(+AQ159/AO159,0)</f>
        <v>0</v>
      </c>
      <c r="AQ159" s="34"/>
      <c r="AS159" s="34"/>
      <c r="AT159" s="59">
        <f t="shared" ref="AT159:AT164" si="290">IFERROR(+AU159/AS159,0)</f>
        <v>0</v>
      </c>
      <c r="AU159" s="34"/>
      <c r="AW159" s="34"/>
      <c r="AX159" s="59">
        <f t="shared" ref="AX159:AX164" si="291">IFERROR(+AY159/AW159,0)</f>
        <v>0</v>
      </c>
      <c r="AY159" s="34"/>
      <c r="BA159" s="34"/>
      <c r="BB159" s="59">
        <f t="shared" ref="BB159:BB164" si="292">IFERROR(+BC159/BA159,0)</f>
        <v>0</v>
      </c>
      <c r="BC159" s="34"/>
      <c r="BE159" s="61">
        <f t="shared" ref="BE159:BE163" si="293">+I159+M159+Q159++U159+Y159+AC159+AG159+AK159+AO159+AS159+AW159+BA159</f>
        <v>0</v>
      </c>
      <c r="BF159" s="60">
        <f t="shared" ref="BF159:BF163" si="294">IFERROR(+BG159/BE159,0)</f>
        <v>0</v>
      </c>
      <c r="BG159" s="61">
        <f t="shared" ref="BG159:BG163" si="295">+K159+O159+S159+W159+AA159+AE159+AI159+AM159+AQ159+AU159+AY159+BC159</f>
        <v>0</v>
      </c>
    </row>
    <row r="160" spans="1:59" ht="21" hidden="1" customHeight="1" x14ac:dyDescent="0.3">
      <c r="A160" s="11"/>
      <c r="B160" s="181"/>
      <c r="C160" s="34"/>
      <c r="D160" s="34"/>
      <c r="E160" s="34"/>
      <c r="F160" s="34"/>
      <c r="G160" s="57"/>
      <c r="H160" s="35"/>
      <c r="I160" s="34"/>
      <c r="J160" s="59">
        <f t="shared" si="281"/>
        <v>0</v>
      </c>
      <c r="K160" s="34"/>
      <c r="M160" s="34"/>
      <c r="N160" s="59">
        <f t="shared" si="282"/>
        <v>0</v>
      </c>
      <c r="O160" s="34"/>
      <c r="Q160" s="34"/>
      <c r="R160" s="59">
        <f t="shared" si="283"/>
        <v>0</v>
      </c>
      <c r="S160" s="34"/>
      <c r="U160" s="34"/>
      <c r="V160" s="59">
        <f t="shared" si="284"/>
        <v>0</v>
      </c>
      <c r="W160" s="34"/>
      <c r="Y160" s="34"/>
      <c r="Z160" s="59">
        <f t="shared" si="285"/>
        <v>0</v>
      </c>
      <c r="AA160" s="34"/>
      <c r="AC160" s="34"/>
      <c r="AD160" s="59">
        <f t="shared" si="286"/>
        <v>0</v>
      </c>
      <c r="AE160" s="34"/>
      <c r="AG160" s="34"/>
      <c r="AH160" s="59">
        <f t="shared" si="287"/>
        <v>0</v>
      </c>
      <c r="AI160" s="34"/>
      <c r="AK160" s="34"/>
      <c r="AL160" s="59">
        <f t="shared" si="288"/>
        <v>0</v>
      </c>
      <c r="AM160" s="34"/>
      <c r="AO160" s="34"/>
      <c r="AP160" s="59">
        <f t="shared" si="289"/>
        <v>0</v>
      </c>
      <c r="AQ160" s="34"/>
      <c r="AS160" s="34"/>
      <c r="AT160" s="59">
        <f t="shared" si="290"/>
        <v>0</v>
      </c>
      <c r="AU160" s="34"/>
      <c r="AW160" s="34"/>
      <c r="AX160" s="59">
        <f t="shared" si="291"/>
        <v>0</v>
      </c>
      <c r="AY160" s="34"/>
      <c r="BA160" s="34"/>
      <c r="BB160" s="59">
        <f t="shared" si="292"/>
        <v>0</v>
      </c>
      <c r="BC160" s="34"/>
      <c r="BE160" s="61">
        <f t="shared" si="293"/>
        <v>0</v>
      </c>
      <c r="BF160" s="60">
        <f t="shared" si="294"/>
        <v>0</v>
      </c>
      <c r="BG160" s="61">
        <f t="shared" si="295"/>
        <v>0</v>
      </c>
    </row>
    <row r="161" spans="1:59" ht="21" hidden="1" customHeight="1" x14ac:dyDescent="0.3">
      <c r="A161" s="11"/>
      <c r="B161" s="181"/>
      <c r="C161" s="34"/>
      <c r="D161" s="34"/>
      <c r="E161" s="34"/>
      <c r="F161" s="34"/>
      <c r="G161" s="57"/>
      <c r="H161" s="35"/>
      <c r="I161" s="34"/>
      <c r="J161" s="59">
        <f t="shared" si="281"/>
        <v>0</v>
      </c>
      <c r="K161" s="34"/>
      <c r="M161" s="34"/>
      <c r="N161" s="59">
        <f t="shared" si="282"/>
        <v>0</v>
      </c>
      <c r="O161" s="34"/>
      <c r="Q161" s="34"/>
      <c r="R161" s="59">
        <f t="shared" si="283"/>
        <v>0</v>
      </c>
      <c r="S161" s="34"/>
      <c r="U161" s="34"/>
      <c r="V161" s="59">
        <f t="shared" si="284"/>
        <v>0</v>
      </c>
      <c r="W161" s="34"/>
      <c r="Y161" s="34"/>
      <c r="Z161" s="59">
        <f t="shared" si="285"/>
        <v>0</v>
      </c>
      <c r="AA161" s="34"/>
      <c r="AC161" s="34"/>
      <c r="AD161" s="59">
        <f t="shared" si="286"/>
        <v>0</v>
      </c>
      <c r="AE161" s="34"/>
      <c r="AG161" s="34"/>
      <c r="AH161" s="59">
        <f t="shared" si="287"/>
        <v>0</v>
      </c>
      <c r="AI161" s="34"/>
      <c r="AK161" s="34"/>
      <c r="AL161" s="59">
        <f t="shared" si="288"/>
        <v>0</v>
      </c>
      <c r="AM161" s="34"/>
      <c r="AO161" s="34"/>
      <c r="AP161" s="59">
        <f t="shared" si="289"/>
        <v>0</v>
      </c>
      <c r="AQ161" s="34"/>
      <c r="AS161" s="34"/>
      <c r="AT161" s="59">
        <f t="shared" si="290"/>
        <v>0</v>
      </c>
      <c r="AU161" s="34"/>
      <c r="AW161" s="34"/>
      <c r="AX161" s="59">
        <f t="shared" si="291"/>
        <v>0</v>
      </c>
      <c r="AY161" s="34"/>
      <c r="BA161" s="34"/>
      <c r="BB161" s="59">
        <f t="shared" si="292"/>
        <v>0</v>
      </c>
      <c r="BC161" s="34"/>
      <c r="BE161" s="61">
        <f t="shared" si="293"/>
        <v>0</v>
      </c>
      <c r="BF161" s="60">
        <f t="shared" si="294"/>
        <v>0</v>
      </c>
      <c r="BG161" s="61">
        <f t="shared" si="295"/>
        <v>0</v>
      </c>
    </row>
    <row r="162" spans="1:59" ht="21" hidden="1" customHeight="1" x14ac:dyDescent="0.3">
      <c r="A162" s="11"/>
      <c r="B162" s="181"/>
      <c r="C162" s="34"/>
      <c r="D162" s="34"/>
      <c r="E162" s="34"/>
      <c r="F162" s="34"/>
      <c r="G162" s="57"/>
      <c r="H162" s="35"/>
      <c r="I162" s="34"/>
      <c r="J162" s="59">
        <f t="shared" si="281"/>
        <v>0</v>
      </c>
      <c r="K162" s="34"/>
      <c r="M162" s="34"/>
      <c r="N162" s="59">
        <f t="shared" si="282"/>
        <v>0</v>
      </c>
      <c r="O162" s="34"/>
      <c r="Q162" s="34"/>
      <c r="R162" s="59">
        <f t="shared" si="283"/>
        <v>0</v>
      </c>
      <c r="S162" s="34"/>
      <c r="U162" s="34"/>
      <c r="V162" s="59">
        <f t="shared" si="284"/>
        <v>0</v>
      </c>
      <c r="W162" s="34"/>
      <c r="Y162" s="34"/>
      <c r="Z162" s="59">
        <f t="shared" si="285"/>
        <v>0</v>
      </c>
      <c r="AA162" s="34"/>
      <c r="AC162" s="34"/>
      <c r="AD162" s="59">
        <f t="shared" si="286"/>
        <v>0</v>
      </c>
      <c r="AE162" s="34"/>
      <c r="AG162" s="34"/>
      <c r="AH162" s="59">
        <f t="shared" si="287"/>
        <v>0</v>
      </c>
      <c r="AI162" s="34"/>
      <c r="AK162" s="34"/>
      <c r="AL162" s="59">
        <f t="shared" si="288"/>
        <v>0</v>
      </c>
      <c r="AM162" s="34"/>
      <c r="AO162" s="34"/>
      <c r="AP162" s="59">
        <f t="shared" si="289"/>
        <v>0</v>
      </c>
      <c r="AQ162" s="34"/>
      <c r="AS162" s="34"/>
      <c r="AT162" s="59">
        <f t="shared" si="290"/>
        <v>0</v>
      </c>
      <c r="AU162" s="34"/>
      <c r="AW162" s="34"/>
      <c r="AX162" s="59">
        <f t="shared" si="291"/>
        <v>0</v>
      </c>
      <c r="AY162" s="34"/>
      <c r="BA162" s="34"/>
      <c r="BB162" s="59">
        <f t="shared" si="292"/>
        <v>0</v>
      </c>
      <c r="BC162" s="34"/>
      <c r="BE162" s="61">
        <f t="shared" si="293"/>
        <v>0</v>
      </c>
      <c r="BF162" s="60">
        <f t="shared" si="294"/>
        <v>0</v>
      </c>
      <c r="BG162" s="61">
        <f t="shared" si="295"/>
        <v>0</v>
      </c>
    </row>
    <row r="163" spans="1:59" ht="21" hidden="1" customHeight="1" x14ac:dyDescent="0.3">
      <c r="A163" s="11"/>
      <c r="B163" s="181"/>
      <c r="C163" s="34"/>
      <c r="D163" s="34"/>
      <c r="E163" s="34"/>
      <c r="F163" s="34"/>
      <c r="G163" s="57"/>
      <c r="H163" s="35"/>
      <c r="I163" s="34"/>
      <c r="J163" s="59">
        <f>IFERROR(+K163/I163,0)</f>
        <v>0</v>
      </c>
      <c r="K163" s="34"/>
      <c r="M163" s="34"/>
      <c r="N163" s="59">
        <f>IFERROR(+O163/M163,0)</f>
        <v>0</v>
      </c>
      <c r="O163" s="34"/>
      <c r="Q163" s="34"/>
      <c r="R163" s="59">
        <f>IFERROR(+S163/Q163,0)</f>
        <v>0</v>
      </c>
      <c r="S163" s="34"/>
      <c r="U163" s="34"/>
      <c r="V163" s="59">
        <f>IFERROR(+W163/U163,0)</f>
        <v>0</v>
      </c>
      <c r="W163" s="34"/>
      <c r="Y163" s="34"/>
      <c r="Z163" s="59">
        <f>IFERROR(+AA163/Y163,0)</f>
        <v>0</v>
      </c>
      <c r="AA163" s="34"/>
      <c r="AC163" s="34"/>
      <c r="AD163" s="59">
        <f>IFERROR(+AE163/AC163,0)</f>
        <v>0</v>
      </c>
      <c r="AE163" s="34"/>
      <c r="AG163" s="34"/>
      <c r="AH163" s="59">
        <f>IFERROR(+AI163/AG163,0)</f>
        <v>0</v>
      </c>
      <c r="AI163" s="34"/>
      <c r="AK163" s="34"/>
      <c r="AL163" s="59">
        <f>IFERROR(+AM163/AK163,0)</f>
        <v>0</v>
      </c>
      <c r="AM163" s="34"/>
      <c r="AO163" s="34"/>
      <c r="AP163" s="59">
        <f>IFERROR(+AQ163/AO163,0)</f>
        <v>0</v>
      </c>
      <c r="AQ163" s="34"/>
      <c r="AS163" s="34"/>
      <c r="AT163" s="59">
        <f>IFERROR(+AU163/AS163,0)</f>
        <v>0</v>
      </c>
      <c r="AU163" s="34"/>
      <c r="AW163" s="34"/>
      <c r="AX163" s="59">
        <f>IFERROR(+AY163/AW163,0)</f>
        <v>0</v>
      </c>
      <c r="AY163" s="34"/>
      <c r="BA163" s="34"/>
      <c r="BB163" s="59">
        <f>IFERROR(+BC163/BA163,0)</f>
        <v>0</v>
      </c>
      <c r="BC163" s="34"/>
      <c r="BE163" s="61">
        <f t="shared" si="293"/>
        <v>0</v>
      </c>
      <c r="BF163" s="60">
        <f t="shared" si="294"/>
        <v>0</v>
      </c>
      <c r="BG163" s="61">
        <f t="shared" si="295"/>
        <v>0</v>
      </c>
    </row>
    <row r="164" spans="1:59" ht="21" hidden="1" customHeight="1" x14ac:dyDescent="0.3">
      <c r="A164" s="11"/>
      <c r="B164" s="181"/>
      <c r="C164" s="34"/>
      <c r="D164" s="34"/>
      <c r="E164" s="34"/>
      <c r="F164" s="34"/>
      <c r="G164" s="57" t="str">
        <f>IFERROR(+VLOOKUP(F164,Datos!$P:$Q,2,0),"")</f>
        <v/>
      </c>
      <c r="H164" s="35"/>
      <c r="I164" s="34"/>
      <c r="J164" s="59">
        <f t="shared" si="281"/>
        <v>0</v>
      </c>
      <c r="K164" s="34"/>
      <c r="M164" s="34"/>
      <c r="N164" s="59">
        <f t="shared" si="282"/>
        <v>0</v>
      </c>
      <c r="O164" s="34"/>
      <c r="Q164" s="34"/>
      <c r="R164" s="59">
        <f t="shared" si="283"/>
        <v>0</v>
      </c>
      <c r="S164" s="34"/>
      <c r="U164" s="34"/>
      <c r="V164" s="59">
        <f t="shared" si="284"/>
        <v>0</v>
      </c>
      <c r="W164" s="34"/>
      <c r="Y164" s="34"/>
      <c r="Z164" s="59">
        <f t="shared" si="285"/>
        <v>0</v>
      </c>
      <c r="AA164" s="34"/>
      <c r="AC164" s="34"/>
      <c r="AD164" s="59">
        <f t="shared" si="286"/>
        <v>0</v>
      </c>
      <c r="AE164" s="34"/>
      <c r="AG164" s="34"/>
      <c r="AH164" s="59">
        <f t="shared" si="287"/>
        <v>0</v>
      </c>
      <c r="AI164" s="34"/>
      <c r="AK164" s="34"/>
      <c r="AL164" s="59">
        <f t="shared" si="288"/>
        <v>0</v>
      </c>
      <c r="AM164" s="34"/>
      <c r="AO164" s="34"/>
      <c r="AP164" s="59">
        <f t="shared" si="289"/>
        <v>0</v>
      </c>
      <c r="AQ164" s="34"/>
      <c r="AS164" s="34"/>
      <c r="AT164" s="59">
        <f t="shared" si="290"/>
        <v>0</v>
      </c>
      <c r="AU164" s="34"/>
      <c r="AW164" s="34"/>
      <c r="AX164" s="59">
        <f t="shared" si="291"/>
        <v>0</v>
      </c>
      <c r="AY164" s="34"/>
      <c r="BA164" s="34"/>
      <c r="BB164" s="59">
        <f t="shared" si="292"/>
        <v>0</v>
      </c>
      <c r="BC164" s="34"/>
      <c r="BE164" s="61">
        <f>+I164+M164+Q164++U164+Y164+AC164+AG164+AK164+AO164+AS164+AW164+BA164</f>
        <v>0</v>
      </c>
      <c r="BF164" s="60">
        <f>IFERROR(+BG164/BE164,0)</f>
        <v>0</v>
      </c>
      <c r="BG164" s="61">
        <f>+K164+O164+S164+W164+AA164+AE164+AI164+AM164+AQ164+AU164+AY164+BC164</f>
        <v>0</v>
      </c>
    </row>
    <row r="165" spans="1:59" ht="21" hidden="1" customHeight="1" x14ac:dyDescent="0.3">
      <c r="A165" s="11"/>
      <c r="B165" s="330" t="s">
        <v>227</v>
      </c>
      <c r="C165" s="331"/>
      <c r="D165" s="331"/>
      <c r="E165" s="331"/>
      <c r="F165" s="331"/>
      <c r="G165" s="332"/>
      <c r="H165" s="35"/>
      <c r="I165" s="61">
        <f>SUM(I158:I164)</f>
        <v>0</v>
      </c>
      <c r="J165" s="60">
        <f t="shared" ref="J165" si="296">IFERROR(+K165/I165,0)</f>
        <v>0</v>
      </c>
      <c r="K165" s="61">
        <f>SUM(K158:K164)</f>
        <v>0</v>
      </c>
      <c r="M165" s="61">
        <f>SUM(M158:M164)</f>
        <v>0</v>
      </c>
      <c r="N165" s="60">
        <f t="shared" ref="N165" si="297">IFERROR(+O165/M165,0)</f>
        <v>0</v>
      </c>
      <c r="O165" s="61">
        <f>SUM(O158:O164)</f>
        <v>0</v>
      </c>
      <c r="Q165" s="61">
        <f>SUM(Q158:Q164)</f>
        <v>0</v>
      </c>
      <c r="R165" s="60">
        <f t="shared" ref="R165" si="298">IFERROR(+S165/Q165,0)</f>
        <v>0</v>
      </c>
      <c r="S165" s="61">
        <f>SUM(S158:S164)</f>
        <v>0</v>
      </c>
      <c r="U165" s="61">
        <f>SUM(U158:U164)</f>
        <v>0</v>
      </c>
      <c r="V165" s="60">
        <f t="shared" ref="V165" si="299">IFERROR(+W165/U165,0)</f>
        <v>0</v>
      </c>
      <c r="W165" s="61">
        <f>SUM(W158:W164)</f>
        <v>0</v>
      </c>
      <c r="Y165" s="61">
        <f>SUM(Y158:Y164)</f>
        <v>0</v>
      </c>
      <c r="Z165" s="60">
        <f t="shared" ref="Z165" si="300">IFERROR(+AA165/Y165,0)</f>
        <v>0</v>
      </c>
      <c r="AA165" s="61">
        <f>SUM(AA158:AA164)</f>
        <v>0</v>
      </c>
      <c r="AC165" s="61">
        <f>SUM(AC158:AC164)</f>
        <v>0</v>
      </c>
      <c r="AD165" s="60">
        <f t="shared" ref="AD165" si="301">IFERROR(+AE165/AC165,0)</f>
        <v>0</v>
      </c>
      <c r="AE165" s="61">
        <f>SUM(AE158:AE164)</f>
        <v>0</v>
      </c>
      <c r="AG165" s="61">
        <f>SUM(AG158:AG164)</f>
        <v>0</v>
      </c>
      <c r="AH165" s="60">
        <f t="shared" ref="AH165" si="302">IFERROR(+AI165/AG165,0)</f>
        <v>0</v>
      </c>
      <c r="AI165" s="61">
        <f>SUM(AI158:AI164)</f>
        <v>0</v>
      </c>
      <c r="AK165" s="61">
        <f>SUM(AK158:AK164)</f>
        <v>0</v>
      </c>
      <c r="AL165" s="60">
        <f t="shared" ref="AL165" si="303">IFERROR(+AM165/AK165,0)</f>
        <v>0</v>
      </c>
      <c r="AM165" s="61">
        <f>SUM(AM158:AM164)</f>
        <v>0</v>
      </c>
      <c r="AO165" s="61">
        <f>SUM(AO158:AO164)</f>
        <v>0</v>
      </c>
      <c r="AP165" s="60">
        <f t="shared" ref="AP165" si="304">IFERROR(+AQ165/AO165,0)</f>
        <v>0</v>
      </c>
      <c r="AQ165" s="61">
        <f>SUM(AQ158:AQ164)</f>
        <v>0</v>
      </c>
      <c r="AS165" s="61">
        <f>SUM(AS158:AS164)</f>
        <v>0</v>
      </c>
      <c r="AT165" s="60">
        <f t="shared" ref="AT165" si="305">IFERROR(+AU165/AS165,0)</f>
        <v>0</v>
      </c>
      <c r="AU165" s="61">
        <f>SUM(AU158:AU164)</f>
        <v>0</v>
      </c>
      <c r="AW165" s="61">
        <f>SUM(AW158:AW164)</f>
        <v>0</v>
      </c>
      <c r="AX165" s="60">
        <f t="shared" ref="AX165" si="306">IFERROR(+AY165/AW165,0)</f>
        <v>0</v>
      </c>
      <c r="AY165" s="61">
        <f>SUM(AY158:AY164)</f>
        <v>0</v>
      </c>
      <c r="BA165" s="61">
        <f>SUM(BA158:BA164)</f>
        <v>0</v>
      </c>
      <c r="BB165" s="60">
        <f t="shared" ref="BB165" si="307">IFERROR(+BC165/BA165,0)</f>
        <v>0</v>
      </c>
      <c r="BC165" s="61">
        <f>SUM(BC158:BC164)</f>
        <v>0</v>
      </c>
      <c r="BE165" s="61">
        <f>SUM(BE158:BE164)</f>
        <v>0</v>
      </c>
      <c r="BF165" s="60">
        <f t="shared" ref="BF165" si="308">IFERROR(+BG165/BE165,0)</f>
        <v>0</v>
      </c>
      <c r="BG165" s="61">
        <f>SUM(BG158:BG164)</f>
        <v>0</v>
      </c>
    </row>
    <row r="166" spans="1:59" hidden="1" x14ac:dyDescent="0.3"/>
    <row r="167" spans="1:59" ht="36" hidden="1" customHeight="1" x14ac:dyDescent="0.3">
      <c r="B167" s="338" t="s">
        <v>362</v>
      </c>
      <c r="C167" s="338"/>
      <c r="D167" s="338"/>
      <c r="E167" s="338"/>
      <c r="F167" s="338"/>
      <c r="G167" s="338"/>
      <c r="H167" s="338"/>
      <c r="I167" s="338"/>
      <c r="J167" s="338"/>
    </row>
    <row r="168" spans="1:59" hidden="1" x14ac:dyDescent="0.3"/>
    <row r="169" spans="1:59" ht="21" hidden="1" customHeight="1" x14ac:dyDescent="0.3">
      <c r="A169" s="11"/>
      <c r="B169" s="329" t="s">
        <v>894</v>
      </c>
      <c r="C169" s="329" t="s">
        <v>895</v>
      </c>
      <c r="D169" s="325" t="s">
        <v>235</v>
      </c>
      <c r="E169" s="319" t="s">
        <v>232</v>
      </c>
      <c r="F169" s="322" t="s">
        <v>233</v>
      </c>
      <c r="G169" s="319" t="s">
        <v>234</v>
      </c>
      <c r="H169" s="36"/>
      <c r="I169" s="328" t="str">
        <f>+"Enero "&amp;$I$6&amp;""</f>
        <v>Enero 2025</v>
      </c>
      <c r="J169" s="328"/>
      <c r="K169" s="328"/>
      <c r="M169" s="328" t="str">
        <f>+"Febrero "&amp;$I$6&amp;""</f>
        <v>Febrero 2025</v>
      </c>
      <c r="N169" s="328"/>
      <c r="O169" s="328"/>
      <c r="Q169" s="328" t="str">
        <f>+"Marzo "&amp;$I$6&amp;""</f>
        <v>Marzo 2025</v>
      </c>
      <c r="R169" s="328"/>
      <c r="S169" s="328"/>
      <c r="U169" s="328" t="str">
        <f>+"Abril "&amp;$I$6&amp;""</f>
        <v>Abril 2025</v>
      </c>
      <c r="V169" s="328"/>
      <c r="W169" s="328"/>
      <c r="Y169" s="328" t="str">
        <f>+"Mayo "&amp;$I$6&amp;""</f>
        <v>Mayo 2025</v>
      </c>
      <c r="Z169" s="328"/>
      <c r="AA169" s="328"/>
      <c r="AC169" s="328" t="str">
        <f>+"Junio "&amp;$I$6&amp;""</f>
        <v>Junio 2025</v>
      </c>
      <c r="AD169" s="328"/>
      <c r="AE169" s="328"/>
      <c r="AG169" s="328" t="str">
        <f>+"Julio "&amp;$I$6&amp;""</f>
        <v>Julio 2025</v>
      </c>
      <c r="AH169" s="328"/>
      <c r="AI169" s="328"/>
      <c r="AK169" s="328" t="str">
        <f>+"Agosto "&amp;$I$6&amp;""</f>
        <v>Agosto 2025</v>
      </c>
      <c r="AL169" s="328"/>
      <c r="AM169" s="328"/>
      <c r="AO169" s="328" t="str">
        <f>+"Septiembre "&amp;$I$6&amp;""</f>
        <v>Septiembre 2025</v>
      </c>
      <c r="AP169" s="328"/>
      <c r="AQ169" s="328"/>
      <c r="AS169" s="328" t="str">
        <f>+"Octubre "&amp;$I$6&amp;""</f>
        <v>Octubre 2025</v>
      </c>
      <c r="AT169" s="328"/>
      <c r="AU169" s="328"/>
      <c r="AW169" s="328" t="str">
        <f>+"Noviembre "&amp;$I$6&amp;""</f>
        <v>Noviembre 2025</v>
      </c>
      <c r="AX169" s="328"/>
      <c r="AY169" s="328"/>
      <c r="BA169" s="328" t="str">
        <f>+"Diciembre "&amp;$I$6&amp;""</f>
        <v>Diciembre 2025</v>
      </c>
      <c r="BB169" s="328"/>
      <c r="BC169" s="328"/>
      <c r="BE169" s="328" t="str">
        <f>+"Acumulado "&amp;$I$6&amp;""</f>
        <v>Acumulado 2025</v>
      </c>
      <c r="BF169" s="328"/>
      <c r="BG169" s="328"/>
    </row>
    <row r="170" spans="1:59" ht="21" hidden="1" customHeight="1" x14ac:dyDescent="0.3">
      <c r="A170" s="11"/>
      <c r="B170" s="329"/>
      <c r="C170" s="329"/>
      <c r="D170" s="326"/>
      <c r="E170" s="321"/>
      <c r="F170" s="323"/>
      <c r="G170" s="321"/>
      <c r="H170" s="36"/>
      <c r="I170" s="221" t="s">
        <v>60</v>
      </c>
      <c r="J170" s="319" t="s">
        <v>61</v>
      </c>
      <c r="K170" s="221" t="s">
        <v>62</v>
      </c>
      <c r="L170" s="20"/>
      <c r="M170" s="221" t="s">
        <v>60</v>
      </c>
      <c r="N170" s="319" t="s">
        <v>61</v>
      </c>
      <c r="O170" s="221" t="s">
        <v>62</v>
      </c>
      <c r="P170" s="20"/>
      <c r="Q170" s="221" t="s">
        <v>60</v>
      </c>
      <c r="R170" s="319" t="s">
        <v>61</v>
      </c>
      <c r="S170" s="221" t="s">
        <v>62</v>
      </c>
      <c r="T170" s="20"/>
      <c r="U170" s="221" t="s">
        <v>60</v>
      </c>
      <c r="V170" s="319" t="s">
        <v>61</v>
      </c>
      <c r="W170" s="221" t="s">
        <v>62</v>
      </c>
      <c r="X170" s="20"/>
      <c r="Y170" s="221" t="s">
        <v>60</v>
      </c>
      <c r="Z170" s="319" t="s">
        <v>61</v>
      </c>
      <c r="AA170" s="221" t="s">
        <v>62</v>
      </c>
      <c r="AB170" s="20"/>
      <c r="AC170" s="221" t="s">
        <v>60</v>
      </c>
      <c r="AD170" s="319" t="s">
        <v>61</v>
      </c>
      <c r="AE170" s="221" t="s">
        <v>62</v>
      </c>
      <c r="AF170" s="20"/>
      <c r="AG170" s="221" t="s">
        <v>60</v>
      </c>
      <c r="AH170" s="319" t="s">
        <v>61</v>
      </c>
      <c r="AI170" s="221" t="s">
        <v>62</v>
      </c>
      <c r="AJ170" s="20"/>
      <c r="AK170" s="221" t="s">
        <v>60</v>
      </c>
      <c r="AL170" s="319" t="s">
        <v>61</v>
      </c>
      <c r="AM170" s="221" t="s">
        <v>62</v>
      </c>
      <c r="AN170" s="20"/>
      <c r="AO170" s="221" t="s">
        <v>60</v>
      </c>
      <c r="AP170" s="319" t="s">
        <v>61</v>
      </c>
      <c r="AQ170" s="221" t="s">
        <v>62</v>
      </c>
      <c r="AR170" s="20"/>
      <c r="AS170" s="221" t="s">
        <v>60</v>
      </c>
      <c r="AT170" s="319" t="s">
        <v>61</v>
      </c>
      <c r="AU170" s="221" t="s">
        <v>62</v>
      </c>
      <c r="AV170" s="20"/>
      <c r="AW170" s="221" t="s">
        <v>60</v>
      </c>
      <c r="AX170" s="319" t="s">
        <v>61</v>
      </c>
      <c r="AY170" s="221" t="s">
        <v>62</v>
      </c>
      <c r="AZ170" s="20"/>
      <c r="BA170" s="221" t="s">
        <v>60</v>
      </c>
      <c r="BB170" s="319" t="s">
        <v>61</v>
      </c>
      <c r="BC170" s="221" t="s">
        <v>62</v>
      </c>
      <c r="BD170" s="20"/>
      <c r="BE170" s="221" t="s">
        <v>60</v>
      </c>
      <c r="BF170" s="319" t="s">
        <v>61</v>
      </c>
      <c r="BG170" s="221" t="s">
        <v>62</v>
      </c>
    </row>
    <row r="171" spans="1:59" ht="21" hidden="1" customHeight="1" x14ac:dyDescent="0.3">
      <c r="A171" s="11"/>
      <c r="B171" s="329"/>
      <c r="C171" s="329"/>
      <c r="D171" s="327"/>
      <c r="E171" s="320"/>
      <c r="F171" s="324"/>
      <c r="G171" s="320"/>
      <c r="H171" s="36"/>
      <c r="I171" s="220" t="s">
        <v>994</v>
      </c>
      <c r="J171" s="320"/>
      <c r="K171" s="220" t="s">
        <v>995</v>
      </c>
      <c r="L171" s="20"/>
      <c r="M171" s="220" t="s">
        <v>994</v>
      </c>
      <c r="N171" s="320"/>
      <c r="O171" s="220" t="s">
        <v>995</v>
      </c>
      <c r="P171" s="20"/>
      <c r="Q171" s="220" t="s">
        <v>994</v>
      </c>
      <c r="R171" s="320"/>
      <c r="S171" s="220" t="s">
        <v>995</v>
      </c>
      <c r="T171" s="20"/>
      <c r="U171" s="220" t="s">
        <v>994</v>
      </c>
      <c r="V171" s="320"/>
      <c r="W171" s="220" t="s">
        <v>995</v>
      </c>
      <c r="X171" s="20"/>
      <c r="Y171" s="220" t="s">
        <v>994</v>
      </c>
      <c r="Z171" s="320"/>
      <c r="AA171" s="220" t="s">
        <v>995</v>
      </c>
      <c r="AB171" s="20"/>
      <c r="AC171" s="220" t="s">
        <v>994</v>
      </c>
      <c r="AD171" s="320"/>
      <c r="AE171" s="220" t="s">
        <v>995</v>
      </c>
      <c r="AF171" s="20"/>
      <c r="AG171" s="220" t="s">
        <v>994</v>
      </c>
      <c r="AH171" s="320"/>
      <c r="AI171" s="220" t="s">
        <v>995</v>
      </c>
      <c r="AJ171" s="20"/>
      <c r="AK171" s="220" t="s">
        <v>994</v>
      </c>
      <c r="AL171" s="320"/>
      <c r="AM171" s="220" t="s">
        <v>995</v>
      </c>
      <c r="AN171" s="20"/>
      <c r="AO171" s="220" t="s">
        <v>994</v>
      </c>
      <c r="AP171" s="320"/>
      <c r="AQ171" s="220" t="s">
        <v>995</v>
      </c>
      <c r="AR171" s="20"/>
      <c r="AS171" s="220" t="s">
        <v>994</v>
      </c>
      <c r="AT171" s="320"/>
      <c r="AU171" s="220" t="s">
        <v>995</v>
      </c>
      <c r="AV171" s="20"/>
      <c r="AW171" s="220" t="s">
        <v>994</v>
      </c>
      <c r="AX171" s="320"/>
      <c r="AY171" s="220" t="s">
        <v>995</v>
      </c>
      <c r="AZ171" s="20"/>
      <c r="BA171" s="220" t="s">
        <v>994</v>
      </c>
      <c r="BB171" s="320"/>
      <c r="BC171" s="220" t="s">
        <v>995</v>
      </c>
      <c r="BD171" s="20"/>
      <c r="BE171" s="220" t="s">
        <v>994</v>
      </c>
      <c r="BF171" s="320"/>
      <c r="BG171" s="220" t="s">
        <v>995</v>
      </c>
    </row>
    <row r="172" spans="1:59" ht="21" hidden="1" customHeight="1" x14ac:dyDescent="0.3">
      <c r="A172" s="11"/>
      <c r="B172" s="181"/>
      <c r="C172" s="34"/>
      <c r="D172" s="34"/>
      <c r="E172" s="34"/>
      <c r="F172" s="34"/>
      <c r="G172" s="57"/>
      <c r="H172" s="35"/>
      <c r="I172" s="34"/>
      <c r="J172" s="59">
        <f>IFERROR(+K172/I172,0)</f>
        <v>0</v>
      </c>
      <c r="K172" s="34"/>
      <c r="M172" s="34"/>
      <c r="N172" s="59">
        <f>IFERROR(+O172/M172,0)</f>
        <v>0</v>
      </c>
      <c r="O172" s="34"/>
      <c r="Q172" s="34"/>
      <c r="R172" s="59">
        <f>IFERROR(+S172/Q172,0)</f>
        <v>0</v>
      </c>
      <c r="S172" s="34"/>
      <c r="U172" s="34"/>
      <c r="V172" s="59">
        <f>IFERROR(+W172/U172,0)</f>
        <v>0</v>
      </c>
      <c r="W172" s="34"/>
      <c r="Y172" s="34"/>
      <c r="Z172" s="59">
        <f>IFERROR(+AA172/Y172,0)</f>
        <v>0</v>
      </c>
      <c r="AA172" s="34"/>
      <c r="AC172" s="34"/>
      <c r="AD172" s="59">
        <f>IFERROR(+AE172/AC172,0)</f>
        <v>0</v>
      </c>
      <c r="AE172" s="34"/>
      <c r="AG172" s="34"/>
      <c r="AH172" s="59">
        <f>IFERROR(+AI172/AG172,0)</f>
        <v>0</v>
      </c>
      <c r="AI172" s="34"/>
      <c r="AK172" s="34"/>
      <c r="AL172" s="59">
        <f>IFERROR(+AM172/AK172,0)</f>
        <v>0</v>
      </c>
      <c r="AM172" s="34"/>
      <c r="AO172" s="34"/>
      <c r="AP172" s="59">
        <f>IFERROR(+AQ172/AO172,0)</f>
        <v>0</v>
      </c>
      <c r="AQ172" s="34"/>
      <c r="AS172" s="34"/>
      <c r="AT172" s="59">
        <f>IFERROR(+AU172/AS172,0)</f>
        <v>0</v>
      </c>
      <c r="AU172" s="34"/>
      <c r="AW172" s="34"/>
      <c r="AX172" s="59">
        <f>IFERROR(+AY172/AW172,0)</f>
        <v>0</v>
      </c>
      <c r="AY172" s="34"/>
      <c r="BA172" s="34"/>
      <c r="BB172" s="59">
        <f>IFERROR(+BC172/BA172,0)</f>
        <v>0</v>
      </c>
      <c r="BC172" s="34"/>
      <c r="BE172" s="61">
        <f>+I172+M172+Q172++U172+Y172+AC172+AG172+AK172+AO172+AS172+AW172+BA172</f>
        <v>0</v>
      </c>
      <c r="BF172" s="60">
        <f>IFERROR(+BG172/BE172,0)</f>
        <v>0</v>
      </c>
      <c r="BG172" s="61">
        <f>+K172+O172+S172+W172+AA172+AE172+AI172+AM172+AQ172+AU172+AY172+BC172</f>
        <v>0</v>
      </c>
    </row>
    <row r="173" spans="1:59" ht="21" hidden="1" customHeight="1" x14ac:dyDescent="0.3">
      <c r="A173" s="11"/>
      <c r="B173" s="181"/>
      <c r="C173" s="34"/>
      <c r="D173" s="34"/>
      <c r="E173" s="34"/>
      <c r="F173" s="34"/>
      <c r="G173" s="57"/>
      <c r="H173" s="35"/>
      <c r="I173" s="34"/>
      <c r="J173" s="59">
        <f t="shared" ref="J173:J177" si="309">IFERROR(+K173/I173,0)</f>
        <v>0</v>
      </c>
      <c r="K173" s="34"/>
      <c r="M173" s="34"/>
      <c r="N173" s="59">
        <f t="shared" ref="N173:N177" si="310">IFERROR(+O173/M173,0)</f>
        <v>0</v>
      </c>
      <c r="O173" s="34"/>
      <c r="Q173" s="34"/>
      <c r="R173" s="59">
        <f t="shared" ref="R173:R177" si="311">IFERROR(+S173/Q173,0)</f>
        <v>0</v>
      </c>
      <c r="S173" s="34"/>
      <c r="U173" s="34"/>
      <c r="V173" s="59">
        <f t="shared" ref="V173:V177" si="312">IFERROR(+W173/U173,0)</f>
        <v>0</v>
      </c>
      <c r="W173" s="34"/>
      <c r="Y173" s="34"/>
      <c r="Z173" s="59">
        <f t="shared" ref="Z173:Z177" si="313">IFERROR(+AA173/Y173,0)</f>
        <v>0</v>
      </c>
      <c r="AA173" s="34"/>
      <c r="AC173" s="34"/>
      <c r="AD173" s="59">
        <f t="shared" ref="AD173:AD177" si="314">IFERROR(+AE173/AC173,0)</f>
        <v>0</v>
      </c>
      <c r="AE173" s="34"/>
      <c r="AG173" s="34"/>
      <c r="AH173" s="59">
        <f t="shared" ref="AH173:AH177" si="315">IFERROR(+AI173/AG173,0)</f>
        <v>0</v>
      </c>
      <c r="AI173" s="34"/>
      <c r="AK173" s="34"/>
      <c r="AL173" s="59">
        <f t="shared" ref="AL173:AL177" si="316">IFERROR(+AM173/AK173,0)</f>
        <v>0</v>
      </c>
      <c r="AM173" s="34"/>
      <c r="AO173" s="34"/>
      <c r="AP173" s="59">
        <f t="shared" ref="AP173:AP177" si="317">IFERROR(+AQ173/AO173,0)</f>
        <v>0</v>
      </c>
      <c r="AQ173" s="34"/>
      <c r="AS173" s="34"/>
      <c r="AT173" s="59">
        <f t="shared" ref="AT173:AT177" si="318">IFERROR(+AU173/AS173,0)</f>
        <v>0</v>
      </c>
      <c r="AU173" s="34"/>
      <c r="AW173" s="34"/>
      <c r="AX173" s="59">
        <f t="shared" ref="AX173:AX177" si="319">IFERROR(+AY173/AW173,0)</f>
        <v>0</v>
      </c>
      <c r="AY173" s="34"/>
      <c r="BA173" s="34"/>
      <c r="BB173" s="59">
        <f t="shared" ref="BB173:BB177" si="320">IFERROR(+BC173/BA173,0)</f>
        <v>0</v>
      </c>
      <c r="BC173" s="34"/>
      <c r="BE173" s="61">
        <f t="shared" ref="BE173:BE177" si="321">+I173+M173+Q173++U173+Y173+AC173+AG173+AK173+AO173+AS173+AW173+BA173</f>
        <v>0</v>
      </c>
      <c r="BF173" s="60">
        <f t="shared" ref="BF173:BF177" si="322">IFERROR(+BG173/BE173,0)</f>
        <v>0</v>
      </c>
      <c r="BG173" s="61">
        <f t="shared" ref="BG173:BG177" si="323">+K173+O173+S173+W173+AA173+AE173+AI173+AM173+AQ173+AU173+AY173+BC173</f>
        <v>0</v>
      </c>
    </row>
    <row r="174" spans="1:59" ht="21" hidden="1" customHeight="1" x14ac:dyDescent="0.3">
      <c r="A174" s="11"/>
      <c r="B174" s="181"/>
      <c r="C174" s="34"/>
      <c r="D174" s="34"/>
      <c r="E174" s="34"/>
      <c r="F174" s="34"/>
      <c r="G174" s="57"/>
      <c r="H174" s="35"/>
      <c r="I174" s="34"/>
      <c r="J174" s="59">
        <f t="shared" si="309"/>
        <v>0</v>
      </c>
      <c r="K174" s="34"/>
      <c r="M174" s="34"/>
      <c r="N174" s="59">
        <f t="shared" si="310"/>
        <v>0</v>
      </c>
      <c r="O174" s="34"/>
      <c r="Q174" s="34"/>
      <c r="R174" s="59">
        <f t="shared" si="311"/>
        <v>0</v>
      </c>
      <c r="S174" s="34"/>
      <c r="U174" s="34"/>
      <c r="V174" s="59">
        <f t="shared" si="312"/>
        <v>0</v>
      </c>
      <c r="W174" s="34"/>
      <c r="Y174" s="34"/>
      <c r="Z174" s="59">
        <f t="shared" si="313"/>
        <v>0</v>
      </c>
      <c r="AA174" s="34"/>
      <c r="AC174" s="34"/>
      <c r="AD174" s="59">
        <f t="shared" si="314"/>
        <v>0</v>
      </c>
      <c r="AE174" s="34"/>
      <c r="AG174" s="34"/>
      <c r="AH174" s="59">
        <f t="shared" si="315"/>
        <v>0</v>
      </c>
      <c r="AI174" s="34"/>
      <c r="AK174" s="34"/>
      <c r="AL174" s="59">
        <f t="shared" si="316"/>
        <v>0</v>
      </c>
      <c r="AM174" s="34"/>
      <c r="AO174" s="34"/>
      <c r="AP174" s="59">
        <f t="shared" si="317"/>
        <v>0</v>
      </c>
      <c r="AQ174" s="34"/>
      <c r="AS174" s="34"/>
      <c r="AT174" s="59">
        <f t="shared" si="318"/>
        <v>0</v>
      </c>
      <c r="AU174" s="34"/>
      <c r="AW174" s="34"/>
      <c r="AX174" s="59">
        <f t="shared" si="319"/>
        <v>0</v>
      </c>
      <c r="AY174" s="34"/>
      <c r="BA174" s="34"/>
      <c r="BB174" s="59">
        <f t="shared" si="320"/>
        <v>0</v>
      </c>
      <c r="BC174" s="34"/>
      <c r="BE174" s="61">
        <f t="shared" si="321"/>
        <v>0</v>
      </c>
      <c r="BF174" s="60">
        <f t="shared" si="322"/>
        <v>0</v>
      </c>
      <c r="BG174" s="61">
        <f t="shared" si="323"/>
        <v>0</v>
      </c>
    </row>
    <row r="175" spans="1:59" ht="21" hidden="1" customHeight="1" x14ac:dyDescent="0.3">
      <c r="A175" s="11"/>
      <c r="B175" s="181"/>
      <c r="C175" s="34"/>
      <c r="D175" s="34"/>
      <c r="E175" s="34"/>
      <c r="F175" s="34"/>
      <c r="G175" s="57"/>
      <c r="H175" s="35"/>
      <c r="I175" s="34"/>
      <c r="J175" s="59">
        <f t="shared" si="309"/>
        <v>0</v>
      </c>
      <c r="K175" s="34"/>
      <c r="M175" s="34"/>
      <c r="N175" s="59">
        <f t="shared" si="310"/>
        <v>0</v>
      </c>
      <c r="O175" s="34"/>
      <c r="Q175" s="34"/>
      <c r="R175" s="59">
        <f t="shared" si="311"/>
        <v>0</v>
      </c>
      <c r="S175" s="34"/>
      <c r="U175" s="34"/>
      <c r="V175" s="59">
        <f t="shared" si="312"/>
        <v>0</v>
      </c>
      <c r="W175" s="34"/>
      <c r="Y175" s="34"/>
      <c r="Z175" s="59">
        <f t="shared" si="313"/>
        <v>0</v>
      </c>
      <c r="AA175" s="34"/>
      <c r="AC175" s="34"/>
      <c r="AD175" s="59">
        <f t="shared" si="314"/>
        <v>0</v>
      </c>
      <c r="AE175" s="34"/>
      <c r="AG175" s="34"/>
      <c r="AH175" s="59">
        <f t="shared" si="315"/>
        <v>0</v>
      </c>
      <c r="AI175" s="34"/>
      <c r="AK175" s="34"/>
      <c r="AL175" s="59">
        <f t="shared" si="316"/>
        <v>0</v>
      </c>
      <c r="AM175" s="34"/>
      <c r="AO175" s="34"/>
      <c r="AP175" s="59">
        <f t="shared" si="317"/>
        <v>0</v>
      </c>
      <c r="AQ175" s="34"/>
      <c r="AS175" s="34"/>
      <c r="AT175" s="59">
        <f t="shared" si="318"/>
        <v>0</v>
      </c>
      <c r="AU175" s="34"/>
      <c r="AW175" s="34"/>
      <c r="AX175" s="59">
        <f t="shared" si="319"/>
        <v>0</v>
      </c>
      <c r="AY175" s="34"/>
      <c r="BA175" s="34"/>
      <c r="BB175" s="59">
        <f t="shared" si="320"/>
        <v>0</v>
      </c>
      <c r="BC175" s="34"/>
      <c r="BE175" s="61">
        <f t="shared" si="321"/>
        <v>0</v>
      </c>
      <c r="BF175" s="60">
        <f t="shared" si="322"/>
        <v>0</v>
      </c>
      <c r="BG175" s="61">
        <f t="shared" si="323"/>
        <v>0</v>
      </c>
    </row>
    <row r="176" spans="1:59" ht="21" hidden="1" customHeight="1" x14ac:dyDescent="0.3">
      <c r="A176" s="11"/>
      <c r="B176" s="181"/>
      <c r="C176" s="34"/>
      <c r="D176" s="34"/>
      <c r="E176" s="34"/>
      <c r="F176" s="34"/>
      <c r="G176" s="57"/>
      <c r="H176" s="35"/>
      <c r="I176" s="34"/>
      <c r="J176" s="59">
        <f t="shared" si="309"/>
        <v>0</v>
      </c>
      <c r="K176" s="34"/>
      <c r="M176" s="34"/>
      <c r="N176" s="59">
        <f t="shared" si="310"/>
        <v>0</v>
      </c>
      <c r="O176" s="34"/>
      <c r="Q176" s="34"/>
      <c r="R176" s="59">
        <f t="shared" si="311"/>
        <v>0</v>
      </c>
      <c r="S176" s="34"/>
      <c r="U176" s="34"/>
      <c r="V176" s="59">
        <f t="shared" si="312"/>
        <v>0</v>
      </c>
      <c r="W176" s="34"/>
      <c r="Y176" s="34"/>
      <c r="Z176" s="59">
        <f t="shared" si="313"/>
        <v>0</v>
      </c>
      <c r="AA176" s="34"/>
      <c r="AC176" s="34"/>
      <c r="AD176" s="59">
        <f t="shared" si="314"/>
        <v>0</v>
      </c>
      <c r="AE176" s="34"/>
      <c r="AG176" s="34"/>
      <c r="AH176" s="59">
        <f t="shared" si="315"/>
        <v>0</v>
      </c>
      <c r="AI176" s="34"/>
      <c r="AK176" s="34"/>
      <c r="AL176" s="59">
        <f t="shared" si="316"/>
        <v>0</v>
      </c>
      <c r="AM176" s="34"/>
      <c r="AO176" s="34"/>
      <c r="AP176" s="59">
        <f t="shared" si="317"/>
        <v>0</v>
      </c>
      <c r="AQ176" s="34"/>
      <c r="AS176" s="34"/>
      <c r="AT176" s="59">
        <f t="shared" si="318"/>
        <v>0</v>
      </c>
      <c r="AU176" s="34"/>
      <c r="AW176" s="34"/>
      <c r="AX176" s="59">
        <f t="shared" si="319"/>
        <v>0</v>
      </c>
      <c r="AY176" s="34"/>
      <c r="BA176" s="34"/>
      <c r="BB176" s="59">
        <f t="shared" si="320"/>
        <v>0</v>
      </c>
      <c r="BC176" s="34"/>
      <c r="BE176" s="61">
        <f t="shared" si="321"/>
        <v>0</v>
      </c>
      <c r="BF176" s="60">
        <f t="shared" si="322"/>
        <v>0</v>
      </c>
      <c r="BG176" s="61">
        <f t="shared" si="323"/>
        <v>0</v>
      </c>
    </row>
    <row r="177" spans="1:59" ht="21" hidden="1" customHeight="1" x14ac:dyDescent="0.3">
      <c r="A177" s="11"/>
      <c r="B177" s="181"/>
      <c r="C177" s="34"/>
      <c r="D177" s="34"/>
      <c r="E177" s="34"/>
      <c r="F177" s="34"/>
      <c r="G177" s="57"/>
      <c r="H177" s="35"/>
      <c r="I177" s="34"/>
      <c r="J177" s="59">
        <f t="shared" si="309"/>
        <v>0</v>
      </c>
      <c r="K177" s="34"/>
      <c r="M177" s="34"/>
      <c r="N177" s="59">
        <f t="shared" si="310"/>
        <v>0</v>
      </c>
      <c r="O177" s="34"/>
      <c r="Q177" s="34"/>
      <c r="R177" s="59">
        <f t="shared" si="311"/>
        <v>0</v>
      </c>
      <c r="S177" s="34"/>
      <c r="U177" s="34"/>
      <c r="V177" s="59">
        <f t="shared" si="312"/>
        <v>0</v>
      </c>
      <c r="W177" s="34"/>
      <c r="Y177" s="34"/>
      <c r="Z177" s="59">
        <f t="shared" si="313"/>
        <v>0</v>
      </c>
      <c r="AA177" s="34"/>
      <c r="AC177" s="34"/>
      <c r="AD177" s="59">
        <f t="shared" si="314"/>
        <v>0</v>
      </c>
      <c r="AE177" s="34"/>
      <c r="AG177" s="34"/>
      <c r="AH177" s="59">
        <f t="shared" si="315"/>
        <v>0</v>
      </c>
      <c r="AI177" s="34"/>
      <c r="AK177" s="34"/>
      <c r="AL177" s="59">
        <f t="shared" si="316"/>
        <v>0</v>
      </c>
      <c r="AM177" s="34"/>
      <c r="AO177" s="34"/>
      <c r="AP177" s="59">
        <f t="shared" si="317"/>
        <v>0</v>
      </c>
      <c r="AQ177" s="34"/>
      <c r="AS177" s="34"/>
      <c r="AT177" s="59">
        <f t="shared" si="318"/>
        <v>0</v>
      </c>
      <c r="AU177" s="34"/>
      <c r="AW177" s="34"/>
      <c r="AX177" s="59">
        <f t="shared" si="319"/>
        <v>0</v>
      </c>
      <c r="AY177" s="34"/>
      <c r="BA177" s="34"/>
      <c r="BB177" s="59">
        <f t="shared" si="320"/>
        <v>0</v>
      </c>
      <c r="BC177" s="34"/>
      <c r="BE177" s="61">
        <f t="shared" si="321"/>
        <v>0</v>
      </c>
      <c r="BF177" s="60">
        <f t="shared" si="322"/>
        <v>0</v>
      </c>
      <c r="BG177" s="61">
        <f t="shared" si="323"/>
        <v>0</v>
      </c>
    </row>
    <row r="178" spans="1:59" ht="21" hidden="1" customHeight="1" x14ac:dyDescent="0.3">
      <c r="A178" s="11"/>
      <c r="B178" s="181"/>
      <c r="C178" s="34"/>
      <c r="D178" s="34"/>
      <c r="E178" s="34"/>
      <c r="F178" s="34"/>
      <c r="G178" s="57" t="str">
        <f>IFERROR(+VLOOKUP(F178,Datos!$P:$Q,2,0),"")</f>
        <v/>
      </c>
      <c r="H178" s="35"/>
      <c r="I178" s="34"/>
      <c r="J178" s="59">
        <f>IFERROR(+K178/I178,0)</f>
        <v>0</v>
      </c>
      <c r="K178" s="34"/>
      <c r="M178" s="34"/>
      <c r="N178" s="59">
        <f>IFERROR(+O178/M178,0)</f>
        <v>0</v>
      </c>
      <c r="O178" s="34"/>
      <c r="Q178" s="34"/>
      <c r="R178" s="59">
        <f>IFERROR(+S178/Q178,0)</f>
        <v>0</v>
      </c>
      <c r="S178" s="34"/>
      <c r="U178" s="34"/>
      <c r="V178" s="59">
        <f>IFERROR(+W178/U178,0)</f>
        <v>0</v>
      </c>
      <c r="W178" s="34"/>
      <c r="Y178" s="34"/>
      <c r="Z178" s="59">
        <f>IFERROR(+AA178/Y178,0)</f>
        <v>0</v>
      </c>
      <c r="AA178" s="34"/>
      <c r="AC178" s="34"/>
      <c r="AD178" s="59">
        <f>IFERROR(+AE178/AC178,0)</f>
        <v>0</v>
      </c>
      <c r="AE178" s="34"/>
      <c r="AG178" s="34"/>
      <c r="AH178" s="59">
        <f>IFERROR(+AI178/AG178,0)</f>
        <v>0</v>
      </c>
      <c r="AI178" s="34"/>
      <c r="AK178" s="34"/>
      <c r="AL178" s="59">
        <f>IFERROR(+AM178/AK178,0)</f>
        <v>0</v>
      </c>
      <c r="AM178" s="34"/>
      <c r="AO178" s="34"/>
      <c r="AP178" s="59">
        <f>IFERROR(+AQ178/AO178,0)</f>
        <v>0</v>
      </c>
      <c r="AQ178" s="34"/>
      <c r="AS178" s="34"/>
      <c r="AT178" s="59">
        <f>IFERROR(+AU178/AS178,0)</f>
        <v>0</v>
      </c>
      <c r="AU178" s="34"/>
      <c r="AW178" s="34"/>
      <c r="AX178" s="59">
        <f>IFERROR(+AY178/AW178,0)</f>
        <v>0</v>
      </c>
      <c r="AY178" s="34"/>
      <c r="BA178" s="34"/>
      <c r="BB178" s="59">
        <f>IFERROR(+BC178/BA178,0)</f>
        <v>0</v>
      </c>
      <c r="BC178" s="34"/>
      <c r="BE178" s="61">
        <f>+I178+M178+Q178++U178+Y178+AC178+AG178+AK178+AO178+AS178+AW178+BA178</f>
        <v>0</v>
      </c>
      <c r="BF178" s="60">
        <f>IFERROR(+BG178/BE178,0)</f>
        <v>0</v>
      </c>
      <c r="BG178" s="61">
        <f>+K178+O178+S178+W178+AA178+AE178+AI178+AM178+AQ178+AU178+AY178+BC178</f>
        <v>0</v>
      </c>
    </row>
    <row r="179" spans="1:59" ht="21" hidden="1" customHeight="1" x14ac:dyDescent="0.3">
      <c r="A179" s="11"/>
      <c r="B179" s="330" t="s">
        <v>227</v>
      </c>
      <c r="C179" s="331"/>
      <c r="D179" s="331"/>
      <c r="E179" s="331"/>
      <c r="F179" s="331"/>
      <c r="G179" s="332"/>
      <c r="H179" s="35"/>
      <c r="I179" s="61">
        <f>SUM(I172:I178)</f>
        <v>0</v>
      </c>
      <c r="J179" s="60">
        <f t="shared" ref="J179" si="324">IFERROR(+K179/I179,0)</f>
        <v>0</v>
      </c>
      <c r="K179" s="61">
        <f>SUM(K172:K178)</f>
        <v>0</v>
      </c>
      <c r="M179" s="61">
        <f>SUM(M172:M178)</f>
        <v>0</v>
      </c>
      <c r="N179" s="60">
        <f t="shared" ref="N179" si="325">IFERROR(+O179/M179,0)</f>
        <v>0</v>
      </c>
      <c r="O179" s="61">
        <f>SUM(O172:O178)</f>
        <v>0</v>
      </c>
      <c r="Q179" s="61">
        <f>SUM(Q172:Q178)</f>
        <v>0</v>
      </c>
      <c r="R179" s="60">
        <f t="shared" ref="R179" si="326">IFERROR(+S179/Q179,0)</f>
        <v>0</v>
      </c>
      <c r="S179" s="61">
        <f>SUM(S172:S178)</f>
        <v>0</v>
      </c>
      <c r="U179" s="61">
        <f>SUM(U172:U178)</f>
        <v>0</v>
      </c>
      <c r="V179" s="60">
        <f t="shared" ref="V179" si="327">IFERROR(+W179/U179,0)</f>
        <v>0</v>
      </c>
      <c r="W179" s="61">
        <f>SUM(W172:W178)</f>
        <v>0</v>
      </c>
      <c r="Y179" s="61">
        <f>SUM(Y172:Y178)</f>
        <v>0</v>
      </c>
      <c r="Z179" s="60">
        <f t="shared" ref="Z179" si="328">IFERROR(+AA179/Y179,0)</f>
        <v>0</v>
      </c>
      <c r="AA179" s="61">
        <f>SUM(AA172:AA178)</f>
        <v>0</v>
      </c>
      <c r="AC179" s="61">
        <f>SUM(AC172:AC178)</f>
        <v>0</v>
      </c>
      <c r="AD179" s="60">
        <f t="shared" ref="AD179" si="329">IFERROR(+AE179/AC179,0)</f>
        <v>0</v>
      </c>
      <c r="AE179" s="61">
        <f>SUM(AE172:AE178)</f>
        <v>0</v>
      </c>
      <c r="AG179" s="61">
        <f>SUM(AG172:AG178)</f>
        <v>0</v>
      </c>
      <c r="AH179" s="60">
        <f t="shared" ref="AH179" si="330">IFERROR(+AI179/AG179,0)</f>
        <v>0</v>
      </c>
      <c r="AI179" s="61">
        <f>SUM(AI172:AI178)</f>
        <v>0</v>
      </c>
      <c r="AK179" s="61">
        <f>SUM(AK172:AK178)</f>
        <v>0</v>
      </c>
      <c r="AL179" s="60">
        <f t="shared" ref="AL179" si="331">IFERROR(+AM179/AK179,0)</f>
        <v>0</v>
      </c>
      <c r="AM179" s="61">
        <f>SUM(AM172:AM178)</f>
        <v>0</v>
      </c>
      <c r="AO179" s="61">
        <f>SUM(AO172:AO178)</f>
        <v>0</v>
      </c>
      <c r="AP179" s="60">
        <f t="shared" ref="AP179" si="332">IFERROR(+AQ179/AO179,0)</f>
        <v>0</v>
      </c>
      <c r="AQ179" s="61">
        <f>SUM(AQ172:AQ178)</f>
        <v>0</v>
      </c>
      <c r="AS179" s="61">
        <f>SUM(AS172:AS178)</f>
        <v>0</v>
      </c>
      <c r="AT179" s="60">
        <f t="shared" ref="AT179" si="333">IFERROR(+AU179/AS179,0)</f>
        <v>0</v>
      </c>
      <c r="AU179" s="61">
        <f>SUM(AU172:AU178)</f>
        <v>0</v>
      </c>
      <c r="AW179" s="61">
        <f>SUM(AW172:AW178)</f>
        <v>0</v>
      </c>
      <c r="AX179" s="60">
        <f t="shared" ref="AX179" si="334">IFERROR(+AY179/AW179,0)</f>
        <v>0</v>
      </c>
      <c r="AY179" s="61">
        <f>SUM(AY172:AY178)</f>
        <v>0</v>
      </c>
      <c r="BA179" s="61">
        <f>SUM(BA172:BA178)</f>
        <v>0</v>
      </c>
      <c r="BB179" s="60">
        <f t="shared" ref="BB179" si="335">IFERROR(+BC179/BA179,0)</f>
        <v>0</v>
      </c>
      <c r="BC179" s="61">
        <f>SUM(BC172:BC178)</f>
        <v>0</v>
      </c>
      <c r="BE179" s="61">
        <f>SUM(BE172:BE178)</f>
        <v>0</v>
      </c>
      <c r="BF179" s="60">
        <f t="shared" ref="BF179" si="336">IFERROR(+BG179/BE179,0)</f>
        <v>0</v>
      </c>
      <c r="BG179" s="61">
        <f>SUM(BG172:BG178)</f>
        <v>0</v>
      </c>
    </row>
    <row r="180" spans="1:59" hidden="1" x14ac:dyDescent="0.3"/>
    <row r="181" spans="1:59" ht="36" hidden="1" customHeight="1" x14ac:dyDescent="0.3">
      <c r="B181" s="338" t="s">
        <v>363</v>
      </c>
      <c r="C181" s="338"/>
      <c r="D181" s="338"/>
      <c r="E181" s="338"/>
      <c r="F181" s="338"/>
      <c r="G181" s="338"/>
      <c r="H181" s="338"/>
      <c r="I181" s="338"/>
      <c r="J181" s="338"/>
    </row>
    <row r="182" spans="1:59" hidden="1" x14ac:dyDescent="0.3"/>
    <row r="183" spans="1:59" ht="21" hidden="1" customHeight="1" x14ac:dyDescent="0.3">
      <c r="A183" s="11"/>
      <c r="B183" s="322" t="s">
        <v>894</v>
      </c>
      <c r="C183" s="322" t="s">
        <v>895</v>
      </c>
      <c r="D183" s="325" t="s">
        <v>235</v>
      </c>
      <c r="E183" s="322" t="s">
        <v>232</v>
      </c>
      <c r="F183" s="329" t="s">
        <v>233</v>
      </c>
      <c r="G183" s="351" t="s">
        <v>234</v>
      </c>
      <c r="H183" s="36"/>
      <c r="I183" s="328" t="str">
        <f>+"Enero "&amp;$I$6&amp;""</f>
        <v>Enero 2025</v>
      </c>
      <c r="J183" s="328"/>
      <c r="K183" s="328"/>
      <c r="M183" s="328" t="str">
        <f>+"Febrero "&amp;$I$6&amp;""</f>
        <v>Febrero 2025</v>
      </c>
      <c r="N183" s="328"/>
      <c r="O183" s="328"/>
      <c r="Q183" s="328" t="str">
        <f>+"Marzo "&amp;$I$6&amp;""</f>
        <v>Marzo 2025</v>
      </c>
      <c r="R183" s="328"/>
      <c r="S183" s="328"/>
      <c r="U183" s="328" t="str">
        <f>+"Abril "&amp;$I$6&amp;""</f>
        <v>Abril 2025</v>
      </c>
      <c r="V183" s="328"/>
      <c r="W183" s="328"/>
      <c r="Y183" s="328" t="str">
        <f>+"Mayo "&amp;$I$6&amp;""</f>
        <v>Mayo 2025</v>
      </c>
      <c r="Z183" s="328"/>
      <c r="AA183" s="328"/>
      <c r="AC183" s="328" t="str">
        <f>+"Junio "&amp;$I$6&amp;""</f>
        <v>Junio 2025</v>
      </c>
      <c r="AD183" s="328"/>
      <c r="AE183" s="328"/>
      <c r="AG183" s="328" t="str">
        <f>+"Julio "&amp;$I$6&amp;""</f>
        <v>Julio 2025</v>
      </c>
      <c r="AH183" s="328"/>
      <c r="AI183" s="328"/>
      <c r="AK183" s="328" t="str">
        <f>+"Agosto "&amp;$I$6&amp;""</f>
        <v>Agosto 2025</v>
      </c>
      <c r="AL183" s="328"/>
      <c r="AM183" s="328"/>
      <c r="AO183" s="328" t="str">
        <f>+"Septiembre "&amp;$I$6&amp;""</f>
        <v>Septiembre 2025</v>
      </c>
      <c r="AP183" s="328"/>
      <c r="AQ183" s="328"/>
      <c r="AS183" s="328" t="str">
        <f>+"Octubre "&amp;$I$6&amp;""</f>
        <v>Octubre 2025</v>
      </c>
      <c r="AT183" s="328"/>
      <c r="AU183" s="328"/>
      <c r="AW183" s="328" t="str">
        <f>+"Noviembre "&amp;$I$6&amp;""</f>
        <v>Noviembre 2025</v>
      </c>
      <c r="AX183" s="328"/>
      <c r="AY183" s="328"/>
      <c r="BA183" s="328" t="str">
        <f>+"Diciembre "&amp;$I$6&amp;""</f>
        <v>Diciembre 2025</v>
      </c>
      <c r="BB183" s="328"/>
      <c r="BC183" s="328"/>
      <c r="BE183" s="328" t="str">
        <f>+"Acumulado "&amp;$I$6&amp;""</f>
        <v>Acumulado 2025</v>
      </c>
      <c r="BF183" s="328"/>
      <c r="BG183" s="328"/>
    </row>
    <row r="184" spans="1:59" ht="21" hidden="1" customHeight="1" x14ac:dyDescent="0.3">
      <c r="A184" s="11"/>
      <c r="B184" s="324"/>
      <c r="C184" s="324"/>
      <c r="D184" s="327"/>
      <c r="E184" s="324"/>
      <c r="F184" s="329"/>
      <c r="G184" s="329"/>
      <c r="H184" s="36"/>
      <c r="I184" s="222" t="s">
        <v>996</v>
      </c>
      <c r="J184" s="58" t="s">
        <v>61</v>
      </c>
      <c r="K184" s="58" t="s">
        <v>62</v>
      </c>
      <c r="M184" s="222" t="s">
        <v>996</v>
      </c>
      <c r="N184" s="58" t="s">
        <v>61</v>
      </c>
      <c r="O184" s="58" t="s">
        <v>62</v>
      </c>
      <c r="Q184" s="222" t="s">
        <v>996</v>
      </c>
      <c r="R184" s="58" t="s">
        <v>61</v>
      </c>
      <c r="S184" s="58" t="s">
        <v>62</v>
      </c>
      <c r="U184" s="222" t="s">
        <v>996</v>
      </c>
      <c r="V184" s="58" t="s">
        <v>61</v>
      </c>
      <c r="W184" s="58" t="s">
        <v>62</v>
      </c>
      <c r="Y184" s="222" t="s">
        <v>996</v>
      </c>
      <c r="Z184" s="58" t="s">
        <v>61</v>
      </c>
      <c r="AA184" s="58" t="s">
        <v>62</v>
      </c>
      <c r="AC184" s="222" t="s">
        <v>996</v>
      </c>
      <c r="AD184" s="58" t="s">
        <v>61</v>
      </c>
      <c r="AE184" s="58" t="s">
        <v>62</v>
      </c>
      <c r="AG184" s="222" t="s">
        <v>996</v>
      </c>
      <c r="AH184" s="58" t="s">
        <v>61</v>
      </c>
      <c r="AI184" s="58" t="s">
        <v>62</v>
      </c>
      <c r="AK184" s="222" t="s">
        <v>996</v>
      </c>
      <c r="AL184" s="58" t="s">
        <v>61</v>
      </c>
      <c r="AM184" s="58" t="s">
        <v>62</v>
      </c>
      <c r="AO184" s="222" t="s">
        <v>996</v>
      </c>
      <c r="AP184" s="58" t="s">
        <v>61</v>
      </c>
      <c r="AQ184" s="58" t="s">
        <v>62</v>
      </c>
      <c r="AS184" s="222" t="s">
        <v>996</v>
      </c>
      <c r="AT184" s="58" t="s">
        <v>61</v>
      </c>
      <c r="AU184" s="58" t="s">
        <v>62</v>
      </c>
      <c r="AW184" s="222" t="s">
        <v>996</v>
      </c>
      <c r="AX184" s="58" t="s">
        <v>61</v>
      </c>
      <c r="AY184" s="58" t="s">
        <v>62</v>
      </c>
      <c r="BA184" s="222" t="s">
        <v>996</v>
      </c>
      <c r="BB184" s="58" t="s">
        <v>61</v>
      </c>
      <c r="BC184" s="58" t="s">
        <v>62</v>
      </c>
      <c r="BE184" s="58" t="s">
        <v>60</v>
      </c>
      <c r="BF184" s="58" t="s">
        <v>61</v>
      </c>
      <c r="BG184" s="58" t="s">
        <v>62</v>
      </c>
    </row>
    <row r="185" spans="1:59" ht="21" hidden="1" customHeight="1" x14ac:dyDescent="0.3">
      <c r="A185" s="11"/>
      <c r="B185" s="181"/>
      <c r="C185" s="34"/>
      <c r="D185" s="34"/>
      <c r="E185" s="34"/>
      <c r="F185" s="34"/>
      <c r="G185" s="57" t="str">
        <f>IFERROR(+VLOOKUP(F185,Datos!$V:$W,2,0),"")</f>
        <v/>
      </c>
      <c r="H185" s="35"/>
      <c r="I185" s="34"/>
      <c r="J185" s="59">
        <f>IFERROR(+K185/I185,0)</f>
        <v>0</v>
      </c>
      <c r="K185" s="122"/>
      <c r="M185" s="34"/>
      <c r="N185" s="59">
        <f>IFERROR(+O185/M185,0)</f>
        <v>0</v>
      </c>
      <c r="O185" s="122"/>
      <c r="Q185" s="34"/>
      <c r="R185" s="59">
        <f>IFERROR(+S185/Q185,0)</f>
        <v>0</v>
      </c>
      <c r="S185" s="122"/>
      <c r="U185" s="34"/>
      <c r="V185" s="59">
        <f>IFERROR(+W185/U185,0)</f>
        <v>0</v>
      </c>
      <c r="W185" s="122"/>
      <c r="Y185" s="34"/>
      <c r="Z185" s="59">
        <f>IFERROR(+AA185/Y185,0)</f>
        <v>0</v>
      </c>
      <c r="AA185" s="122"/>
      <c r="AC185" s="34"/>
      <c r="AD185" s="59">
        <f>IFERROR(+AE185/AC185,0)</f>
        <v>0</v>
      </c>
      <c r="AE185" s="122"/>
      <c r="AG185" s="34"/>
      <c r="AH185" s="59">
        <f>IFERROR(+AI185/AG185,0)</f>
        <v>0</v>
      </c>
      <c r="AI185" s="122"/>
      <c r="AK185" s="34"/>
      <c r="AL185" s="59">
        <f>IFERROR(+AM185/AK185,0)</f>
        <v>0</v>
      </c>
      <c r="AM185" s="122"/>
      <c r="AO185" s="34"/>
      <c r="AP185" s="59">
        <f>IFERROR(+AQ185/AO185,0)</f>
        <v>0</v>
      </c>
      <c r="AQ185" s="122"/>
      <c r="AS185" s="34"/>
      <c r="AT185" s="59">
        <f>IFERROR(+AU185/AS185,0)</f>
        <v>0</v>
      </c>
      <c r="AU185" s="122"/>
      <c r="AW185" s="34"/>
      <c r="AX185" s="59">
        <f>IFERROR(+AY185/AW185,0)</f>
        <v>0</v>
      </c>
      <c r="AY185" s="122"/>
      <c r="BA185" s="34"/>
      <c r="BB185" s="59">
        <f>IFERROR(+BC185/BA185,0)</f>
        <v>0</v>
      </c>
      <c r="BC185" s="122"/>
      <c r="BE185" s="61">
        <f>+I185+M185+Q185++U185+Y185+AC185+AG185+AK185+AO185+AS185+AW185+BA185</f>
        <v>0</v>
      </c>
      <c r="BF185" s="60">
        <f>IFERROR(+BG185/BE185,0)</f>
        <v>0</v>
      </c>
      <c r="BG185" s="61">
        <f>+K185+O185+S185+W185+AA185+AE185+AI185+AM185+AQ185+AU185+AY185+BC185</f>
        <v>0</v>
      </c>
    </row>
    <row r="186" spans="1:59" ht="21" hidden="1" customHeight="1" x14ac:dyDescent="0.3">
      <c r="A186" s="11"/>
      <c r="B186" s="181"/>
      <c r="C186" s="34"/>
      <c r="D186" s="34"/>
      <c r="E186" s="34"/>
      <c r="F186" s="34"/>
      <c r="G186" s="57" t="str">
        <f>IFERROR(+VLOOKUP(F186,Datos!$V:$W,2,0),"")</f>
        <v/>
      </c>
      <c r="H186" s="35"/>
      <c r="I186" s="34"/>
      <c r="J186" s="59">
        <f t="shared" ref="J186:J190" si="337">IFERROR(+K186/I186,0)</f>
        <v>0</v>
      </c>
      <c r="K186" s="122"/>
      <c r="M186" s="34"/>
      <c r="N186" s="59">
        <f t="shared" ref="N186:N190" si="338">IFERROR(+O186/M186,0)</f>
        <v>0</v>
      </c>
      <c r="O186" s="122"/>
      <c r="Q186" s="34"/>
      <c r="R186" s="59">
        <f t="shared" ref="R186:R190" si="339">IFERROR(+S186/Q186,0)</f>
        <v>0</v>
      </c>
      <c r="S186" s="122"/>
      <c r="U186" s="34"/>
      <c r="V186" s="59">
        <f t="shared" ref="V186:V190" si="340">IFERROR(+W186/U186,0)</f>
        <v>0</v>
      </c>
      <c r="W186" s="122"/>
      <c r="Y186" s="34"/>
      <c r="Z186" s="59">
        <f t="shared" ref="Z186:Z190" si="341">IFERROR(+AA186/Y186,0)</f>
        <v>0</v>
      </c>
      <c r="AA186" s="122"/>
      <c r="AC186" s="34"/>
      <c r="AD186" s="59">
        <f t="shared" ref="AD186:AD190" si="342">IFERROR(+AE186/AC186,0)</f>
        <v>0</v>
      </c>
      <c r="AE186" s="122"/>
      <c r="AG186" s="34"/>
      <c r="AH186" s="59">
        <f t="shared" ref="AH186:AH190" si="343">IFERROR(+AI186/AG186,0)</f>
        <v>0</v>
      </c>
      <c r="AI186" s="122"/>
      <c r="AK186" s="34"/>
      <c r="AL186" s="59">
        <f t="shared" ref="AL186:AL190" si="344">IFERROR(+AM186/AK186,0)</f>
        <v>0</v>
      </c>
      <c r="AM186" s="122"/>
      <c r="AO186" s="34"/>
      <c r="AP186" s="59">
        <f t="shared" ref="AP186:AP190" si="345">IFERROR(+AQ186/AO186,0)</f>
        <v>0</v>
      </c>
      <c r="AQ186" s="122"/>
      <c r="AS186" s="34"/>
      <c r="AT186" s="59">
        <f t="shared" ref="AT186:AT190" si="346">IFERROR(+AU186/AS186,0)</f>
        <v>0</v>
      </c>
      <c r="AU186" s="122"/>
      <c r="AW186" s="34"/>
      <c r="AX186" s="59">
        <f t="shared" ref="AX186:AX190" si="347">IFERROR(+AY186/AW186,0)</f>
        <v>0</v>
      </c>
      <c r="AY186" s="122"/>
      <c r="BA186" s="34"/>
      <c r="BB186" s="59">
        <f t="shared" ref="BB186:BB190" si="348">IFERROR(+BC186/BA186,0)</f>
        <v>0</v>
      </c>
      <c r="BC186" s="122"/>
      <c r="BE186" s="61">
        <f t="shared" ref="BE186:BE190" si="349">+I186+M186+Q186++U186+Y186+AC186+AG186+AK186+AO186+AS186+AW186+BA186</f>
        <v>0</v>
      </c>
      <c r="BF186" s="60">
        <f t="shared" ref="BF186:BF190" si="350">IFERROR(+BG186/BE186,0)</f>
        <v>0</v>
      </c>
      <c r="BG186" s="61">
        <f t="shared" ref="BG186:BG190" si="351">+K186+O186+S186+W186+AA186+AE186+AI186+AM186+AQ186+AU186+AY186+BC186</f>
        <v>0</v>
      </c>
    </row>
    <row r="187" spans="1:59" ht="21" hidden="1" customHeight="1" x14ac:dyDescent="0.3">
      <c r="A187" s="11"/>
      <c r="B187" s="181"/>
      <c r="C187" s="34"/>
      <c r="D187" s="34"/>
      <c r="E187" s="34"/>
      <c r="F187" s="34"/>
      <c r="G187" s="57" t="str">
        <f>IFERROR(+VLOOKUP(F187,Datos!$V:$W,2,0),"")</f>
        <v/>
      </c>
      <c r="H187" s="35"/>
      <c r="I187" s="34"/>
      <c r="J187" s="59">
        <f t="shared" si="337"/>
        <v>0</v>
      </c>
      <c r="K187" s="122"/>
      <c r="M187" s="34"/>
      <c r="N187" s="59">
        <f t="shared" si="338"/>
        <v>0</v>
      </c>
      <c r="O187" s="122"/>
      <c r="Q187" s="34"/>
      <c r="R187" s="59">
        <f t="shared" si="339"/>
        <v>0</v>
      </c>
      <c r="S187" s="122"/>
      <c r="U187" s="34"/>
      <c r="V187" s="59">
        <f t="shared" si="340"/>
        <v>0</v>
      </c>
      <c r="W187" s="122"/>
      <c r="Y187" s="34"/>
      <c r="Z187" s="59">
        <f t="shared" si="341"/>
        <v>0</v>
      </c>
      <c r="AA187" s="122"/>
      <c r="AC187" s="34"/>
      <c r="AD187" s="59">
        <f t="shared" si="342"/>
        <v>0</v>
      </c>
      <c r="AE187" s="122"/>
      <c r="AG187" s="34"/>
      <c r="AH187" s="59">
        <f t="shared" si="343"/>
        <v>0</v>
      </c>
      <c r="AI187" s="122"/>
      <c r="AK187" s="34"/>
      <c r="AL187" s="59">
        <f t="shared" si="344"/>
        <v>0</v>
      </c>
      <c r="AM187" s="122"/>
      <c r="AO187" s="34"/>
      <c r="AP187" s="59">
        <f t="shared" si="345"/>
        <v>0</v>
      </c>
      <c r="AQ187" s="122"/>
      <c r="AS187" s="34"/>
      <c r="AT187" s="59">
        <f t="shared" si="346"/>
        <v>0</v>
      </c>
      <c r="AU187" s="122"/>
      <c r="AW187" s="34"/>
      <c r="AX187" s="59">
        <f t="shared" si="347"/>
        <v>0</v>
      </c>
      <c r="AY187" s="122"/>
      <c r="BA187" s="34"/>
      <c r="BB187" s="59">
        <f t="shared" si="348"/>
        <v>0</v>
      </c>
      <c r="BC187" s="122"/>
      <c r="BE187" s="61">
        <f t="shared" si="349"/>
        <v>0</v>
      </c>
      <c r="BF187" s="60">
        <f t="shared" si="350"/>
        <v>0</v>
      </c>
      <c r="BG187" s="61">
        <f t="shared" si="351"/>
        <v>0</v>
      </c>
    </row>
    <row r="188" spans="1:59" ht="21" hidden="1" customHeight="1" x14ac:dyDescent="0.3">
      <c r="A188" s="11"/>
      <c r="B188" s="181"/>
      <c r="C188" s="34"/>
      <c r="D188" s="34"/>
      <c r="E188" s="34"/>
      <c r="F188" s="34"/>
      <c r="G188" s="57" t="str">
        <f>IFERROR(+VLOOKUP(F188,Datos!$V:$W,2,0),"")</f>
        <v/>
      </c>
      <c r="H188" s="35"/>
      <c r="I188" s="34"/>
      <c r="J188" s="59">
        <f t="shared" si="337"/>
        <v>0</v>
      </c>
      <c r="K188" s="122"/>
      <c r="M188" s="34"/>
      <c r="N188" s="59">
        <f t="shared" si="338"/>
        <v>0</v>
      </c>
      <c r="O188" s="122"/>
      <c r="Q188" s="34"/>
      <c r="R188" s="59">
        <f t="shared" si="339"/>
        <v>0</v>
      </c>
      <c r="S188" s="122"/>
      <c r="U188" s="34"/>
      <c r="V188" s="59">
        <f t="shared" si="340"/>
        <v>0</v>
      </c>
      <c r="W188" s="122"/>
      <c r="Y188" s="34"/>
      <c r="Z188" s="59">
        <f t="shared" si="341"/>
        <v>0</v>
      </c>
      <c r="AA188" s="122"/>
      <c r="AC188" s="34"/>
      <c r="AD188" s="59">
        <f t="shared" si="342"/>
        <v>0</v>
      </c>
      <c r="AE188" s="122"/>
      <c r="AG188" s="34"/>
      <c r="AH188" s="59">
        <f t="shared" si="343"/>
        <v>0</v>
      </c>
      <c r="AI188" s="122"/>
      <c r="AK188" s="34"/>
      <c r="AL188" s="59">
        <f t="shared" si="344"/>
        <v>0</v>
      </c>
      <c r="AM188" s="122"/>
      <c r="AO188" s="34"/>
      <c r="AP188" s="59">
        <f t="shared" si="345"/>
        <v>0</v>
      </c>
      <c r="AQ188" s="122"/>
      <c r="AS188" s="34"/>
      <c r="AT188" s="59">
        <f t="shared" si="346"/>
        <v>0</v>
      </c>
      <c r="AU188" s="122"/>
      <c r="AW188" s="34"/>
      <c r="AX188" s="59">
        <f t="shared" si="347"/>
        <v>0</v>
      </c>
      <c r="AY188" s="122"/>
      <c r="BA188" s="34"/>
      <c r="BB188" s="59">
        <f t="shared" si="348"/>
        <v>0</v>
      </c>
      <c r="BC188" s="122"/>
      <c r="BE188" s="61">
        <f t="shared" si="349"/>
        <v>0</v>
      </c>
      <c r="BF188" s="60">
        <f t="shared" si="350"/>
        <v>0</v>
      </c>
      <c r="BG188" s="61">
        <f t="shared" si="351"/>
        <v>0</v>
      </c>
    </row>
    <row r="189" spans="1:59" ht="21" hidden="1" customHeight="1" x14ac:dyDescent="0.3">
      <c r="A189" s="11"/>
      <c r="B189" s="181"/>
      <c r="C189" s="34"/>
      <c r="D189" s="34"/>
      <c r="E189" s="34"/>
      <c r="F189" s="34"/>
      <c r="G189" s="57" t="str">
        <f>IFERROR(+VLOOKUP(F189,Datos!$V:$W,2,0),"")</f>
        <v/>
      </c>
      <c r="H189" s="35"/>
      <c r="I189" s="34"/>
      <c r="J189" s="59">
        <f t="shared" si="337"/>
        <v>0</v>
      </c>
      <c r="K189" s="122"/>
      <c r="M189" s="34"/>
      <c r="N189" s="59">
        <f t="shared" si="338"/>
        <v>0</v>
      </c>
      <c r="O189" s="122"/>
      <c r="Q189" s="34"/>
      <c r="R189" s="59">
        <f t="shared" si="339"/>
        <v>0</v>
      </c>
      <c r="S189" s="122"/>
      <c r="U189" s="34"/>
      <c r="V189" s="59">
        <f t="shared" si="340"/>
        <v>0</v>
      </c>
      <c r="W189" s="122"/>
      <c r="Y189" s="34"/>
      <c r="Z189" s="59">
        <f t="shared" si="341"/>
        <v>0</v>
      </c>
      <c r="AA189" s="122"/>
      <c r="AC189" s="34"/>
      <c r="AD189" s="59">
        <f t="shared" si="342"/>
        <v>0</v>
      </c>
      <c r="AE189" s="122"/>
      <c r="AG189" s="34"/>
      <c r="AH189" s="59">
        <f t="shared" si="343"/>
        <v>0</v>
      </c>
      <c r="AI189" s="122"/>
      <c r="AK189" s="34"/>
      <c r="AL189" s="59">
        <f t="shared" si="344"/>
        <v>0</v>
      </c>
      <c r="AM189" s="122"/>
      <c r="AO189" s="34"/>
      <c r="AP189" s="59">
        <f t="shared" si="345"/>
        <v>0</v>
      </c>
      <c r="AQ189" s="122"/>
      <c r="AS189" s="34"/>
      <c r="AT189" s="59">
        <f t="shared" si="346"/>
        <v>0</v>
      </c>
      <c r="AU189" s="122"/>
      <c r="AW189" s="34"/>
      <c r="AX189" s="59">
        <f t="shared" si="347"/>
        <v>0</v>
      </c>
      <c r="AY189" s="122"/>
      <c r="BA189" s="34"/>
      <c r="BB189" s="59">
        <f t="shared" si="348"/>
        <v>0</v>
      </c>
      <c r="BC189" s="122"/>
      <c r="BE189" s="61">
        <f t="shared" si="349"/>
        <v>0</v>
      </c>
      <c r="BF189" s="60">
        <f t="shared" si="350"/>
        <v>0</v>
      </c>
      <c r="BG189" s="61">
        <f t="shared" si="351"/>
        <v>0</v>
      </c>
    </row>
    <row r="190" spans="1:59" ht="21" hidden="1" customHeight="1" x14ac:dyDescent="0.3">
      <c r="A190" s="11"/>
      <c r="B190" s="181"/>
      <c r="C190" s="34"/>
      <c r="D190" s="34"/>
      <c r="E190" s="34"/>
      <c r="F190" s="34"/>
      <c r="G190" s="57" t="str">
        <f>IFERROR(+VLOOKUP(F190,Datos!$V:$W,2,0),"")</f>
        <v/>
      </c>
      <c r="H190" s="35"/>
      <c r="I190" s="34"/>
      <c r="J190" s="59">
        <f t="shared" si="337"/>
        <v>0</v>
      </c>
      <c r="K190" s="122"/>
      <c r="M190" s="34"/>
      <c r="N190" s="59">
        <f t="shared" si="338"/>
        <v>0</v>
      </c>
      <c r="O190" s="122"/>
      <c r="Q190" s="34"/>
      <c r="R190" s="59">
        <f t="shared" si="339"/>
        <v>0</v>
      </c>
      <c r="S190" s="122"/>
      <c r="U190" s="34"/>
      <c r="V190" s="59">
        <f t="shared" si="340"/>
        <v>0</v>
      </c>
      <c r="W190" s="122"/>
      <c r="Y190" s="34"/>
      <c r="Z190" s="59">
        <f t="shared" si="341"/>
        <v>0</v>
      </c>
      <c r="AA190" s="122"/>
      <c r="AC190" s="34"/>
      <c r="AD190" s="59">
        <f t="shared" si="342"/>
        <v>0</v>
      </c>
      <c r="AE190" s="122"/>
      <c r="AG190" s="34"/>
      <c r="AH190" s="59">
        <f t="shared" si="343"/>
        <v>0</v>
      </c>
      <c r="AI190" s="122"/>
      <c r="AK190" s="34"/>
      <c r="AL190" s="59">
        <f t="shared" si="344"/>
        <v>0</v>
      </c>
      <c r="AM190" s="122"/>
      <c r="AO190" s="34"/>
      <c r="AP190" s="59">
        <f t="shared" si="345"/>
        <v>0</v>
      </c>
      <c r="AQ190" s="122"/>
      <c r="AS190" s="34"/>
      <c r="AT190" s="59">
        <f t="shared" si="346"/>
        <v>0</v>
      </c>
      <c r="AU190" s="122"/>
      <c r="AW190" s="34"/>
      <c r="AX190" s="59">
        <f t="shared" si="347"/>
        <v>0</v>
      </c>
      <c r="AY190" s="122"/>
      <c r="BA190" s="34"/>
      <c r="BB190" s="59">
        <f t="shared" si="348"/>
        <v>0</v>
      </c>
      <c r="BC190" s="122"/>
      <c r="BE190" s="61">
        <f t="shared" si="349"/>
        <v>0</v>
      </c>
      <c r="BF190" s="60">
        <f t="shared" si="350"/>
        <v>0</v>
      </c>
      <c r="BG190" s="61">
        <f t="shared" si="351"/>
        <v>0</v>
      </c>
    </row>
    <row r="191" spans="1:59" ht="21" hidden="1" customHeight="1" x14ac:dyDescent="0.3">
      <c r="A191" s="11"/>
      <c r="B191" s="181"/>
      <c r="C191" s="34"/>
      <c r="D191" s="34"/>
      <c r="E191" s="34"/>
      <c r="F191" s="34"/>
      <c r="G191" s="57" t="str">
        <f>IFERROR(+VLOOKUP(F191,Datos!$V:$W,2,0),"")</f>
        <v/>
      </c>
      <c r="H191" s="35"/>
      <c r="I191" s="34"/>
      <c r="J191" s="59">
        <f>IFERROR(+K191/I191,0)</f>
        <v>0</v>
      </c>
      <c r="K191" s="122"/>
      <c r="M191" s="34"/>
      <c r="N191" s="59">
        <f>IFERROR(+O191/M191,0)</f>
        <v>0</v>
      </c>
      <c r="O191" s="122"/>
      <c r="Q191" s="34"/>
      <c r="R191" s="59">
        <f>IFERROR(+S191/Q191,0)</f>
        <v>0</v>
      </c>
      <c r="S191" s="122"/>
      <c r="U191" s="34"/>
      <c r="V191" s="59">
        <f>IFERROR(+W191/U191,0)</f>
        <v>0</v>
      </c>
      <c r="W191" s="122"/>
      <c r="Y191" s="34"/>
      <c r="Z191" s="59">
        <f>IFERROR(+AA191/Y191,0)</f>
        <v>0</v>
      </c>
      <c r="AA191" s="122"/>
      <c r="AC191" s="34"/>
      <c r="AD191" s="59">
        <f>IFERROR(+AE191/AC191,0)</f>
        <v>0</v>
      </c>
      <c r="AE191" s="122"/>
      <c r="AG191" s="34"/>
      <c r="AH191" s="59">
        <f>IFERROR(+AI191/AG191,0)</f>
        <v>0</v>
      </c>
      <c r="AI191" s="122"/>
      <c r="AK191" s="34"/>
      <c r="AL191" s="59">
        <f>IFERROR(+AM191/AK191,0)</f>
        <v>0</v>
      </c>
      <c r="AM191" s="122"/>
      <c r="AO191" s="34"/>
      <c r="AP191" s="59">
        <f>IFERROR(+AQ191/AO191,0)</f>
        <v>0</v>
      </c>
      <c r="AQ191" s="122"/>
      <c r="AS191" s="34"/>
      <c r="AT191" s="59">
        <f>IFERROR(+AU191/AS191,0)</f>
        <v>0</v>
      </c>
      <c r="AU191" s="122"/>
      <c r="AW191" s="34"/>
      <c r="AX191" s="59">
        <f>IFERROR(+AY191/AW191,0)</f>
        <v>0</v>
      </c>
      <c r="AY191" s="122"/>
      <c r="BA191" s="34"/>
      <c r="BB191" s="59">
        <f>IFERROR(+BC191/BA191,0)</f>
        <v>0</v>
      </c>
      <c r="BC191" s="122"/>
      <c r="BE191" s="61">
        <f>+I191+M191+Q191++U191+Y191+AC191+AG191+AK191+AO191+AS191+AW191+BA191</f>
        <v>0</v>
      </c>
      <c r="BF191" s="60">
        <f>IFERROR(+BG191/BE191,0)</f>
        <v>0</v>
      </c>
      <c r="BG191" s="61">
        <f>+K191+O191+S191+W191+AA191+AE191+AI191+AM191+AQ191+AU191+AY191+BC191</f>
        <v>0</v>
      </c>
    </row>
    <row r="192" spans="1:59" ht="21" hidden="1" customHeight="1" x14ac:dyDescent="0.3">
      <c r="A192" s="11"/>
      <c r="B192" s="330" t="s">
        <v>227</v>
      </c>
      <c r="C192" s="331"/>
      <c r="D192" s="331"/>
      <c r="E192" s="331"/>
      <c r="F192" s="331"/>
      <c r="G192" s="332"/>
      <c r="H192" s="35"/>
      <c r="I192" s="61">
        <f>SUM(I185:I191)</f>
        <v>0</v>
      </c>
      <c r="J192" s="60">
        <f t="shared" ref="J192" si="352">IFERROR(+K192/I192,0)</f>
        <v>0</v>
      </c>
      <c r="K192" s="61">
        <f>SUM(K185:K191)</f>
        <v>0</v>
      </c>
      <c r="M192" s="61">
        <f>SUM(M185:M191)</f>
        <v>0</v>
      </c>
      <c r="N192" s="60">
        <f t="shared" ref="N192" si="353">IFERROR(+O192/M192,0)</f>
        <v>0</v>
      </c>
      <c r="O192" s="61">
        <f>SUM(O185:O191)</f>
        <v>0</v>
      </c>
      <c r="Q192" s="61">
        <f>SUM(Q185:Q191)</f>
        <v>0</v>
      </c>
      <c r="R192" s="60">
        <f t="shared" ref="R192" si="354">IFERROR(+S192/Q192,0)</f>
        <v>0</v>
      </c>
      <c r="S192" s="61">
        <f>SUM(S185:S191)</f>
        <v>0</v>
      </c>
      <c r="U192" s="61">
        <f>SUM(U185:U191)</f>
        <v>0</v>
      </c>
      <c r="V192" s="60">
        <f t="shared" ref="V192" si="355">IFERROR(+W192/U192,0)</f>
        <v>0</v>
      </c>
      <c r="W192" s="61">
        <f>SUM(W185:W191)</f>
        <v>0</v>
      </c>
      <c r="Y192" s="61">
        <f>SUM(Y185:Y191)</f>
        <v>0</v>
      </c>
      <c r="Z192" s="60">
        <f t="shared" ref="Z192" si="356">IFERROR(+AA192/Y192,0)</f>
        <v>0</v>
      </c>
      <c r="AA192" s="61">
        <f>SUM(AA185:AA191)</f>
        <v>0</v>
      </c>
      <c r="AC192" s="61">
        <f>SUM(AC185:AC191)</f>
        <v>0</v>
      </c>
      <c r="AD192" s="60">
        <f t="shared" ref="AD192" si="357">IFERROR(+AE192/AC192,0)</f>
        <v>0</v>
      </c>
      <c r="AE192" s="61">
        <f>SUM(AE185:AE191)</f>
        <v>0</v>
      </c>
      <c r="AG192" s="61">
        <f>SUM(AG185:AG191)</f>
        <v>0</v>
      </c>
      <c r="AH192" s="60">
        <f t="shared" ref="AH192" si="358">IFERROR(+AI192/AG192,0)</f>
        <v>0</v>
      </c>
      <c r="AI192" s="61">
        <f>SUM(AI185:AI191)</f>
        <v>0</v>
      </c>
      <c r="AK192" s="61">
        <f>SUM(AK185:AK191)</f>
        <v>0</v>
      </c>
      <c r="AL192" s="60">
        <f t="shared" ref="AL192" si="359">IFERROR(+AM192/AK192,0)</f>
        <v>0</v>
      </c>
      <c r="AM192" s="61">
        <f>SUM(AM185:AM191)</f>
        <v>0</v>
      </c>
      <c r="AO192" s="61">
        <f>SUM(AO185:AO191)</f>
        <v>0</v>
      </c>
      <c r="AP192" s="60">
        <f t="shared" ref="AP192" si="360">IFERROR(+AQ192/AO192,0)</f>
        <v>0</v>
      </c>
      <c r="AQ192" s="61">
        <f>SUM(AQ185:AQ191)</f>
        <v>0</v>
      </c>
      <c r="AS192" s="61">
        <f>SUM(AS185:AS191)</f>
        <v>0</v>
      </c>
      <c r="AT192" s="60">
        <f t="shared" ref="AT192" si="361">IFERROR(+AU192/AS192,0)</f>
        <v>0</v>
      </c>
      <c r="AU192" s="61">
        <f>SUM(AU185:AU191)</f>
        <v>0</v>
      </c>
      <c r="AW192" s="61">
        <f>SUM(AW185:AW191)</f>
        <v>0</v>
      </c>
      <c r="AX192" s="60">
        <f t="shared" ref="AX192" si="362">IFERROR(+AY192/AW192,0)</f>
        <v>0</v>
      </c>
      <c r="AY192" s="61">
        <f>SUM(AY185:AY191)</f>
        <v>0</v>
      </c>
      <c r="BA192" s="61">
        <f>SUM(BA185:BA191)</f>
        <v>0</v>
      </c>
      <c r="BB192" s="60">
        <f t="shared" ref="BB192" si="363">IFERROR(+BC192/BA192,0)</f>
        <v>0</v>
      </c>
      <c r="BC192" s="61">
        <f>SUM(BC185:BC191)</f>
        <v>0</v>
      </c>
      <c r="BE192" s="61">
        <f>SUM(BE185:BE191)</f>
        <v>0</v>
      </c>
      <c r="BF192" s="60">
        <f t="shared" ref="BF192" si="364">IFERROR(+BG192/BE192,0)</f>
        <v>0</v>
      </c>
      <c r="BG192" s="61">
        <f>SUM(BG185:BG191)</f>
        <v>0</v>
      </c>
    </row>
    <row r="193" spans="1:59" hidden="1" x14ac:dyDescent="0.3"/>
    <row r="194" spans="1:59" ht="36" hidden="1" customHeight="1" x14ac:dyDescent="0.3">
      <c r="B194" s="338" t="s">
        <v>420</v>
      </c>
      <c r="C194" s="338"/>
      <c r="D194" s="338"/>
      <c r="E194" s="338"/>
      <c r="F194" s="338"/>
      <c r="G194" s="338"/>
      <c r="H194" s="338"/>
      <c r="I194" s="338"/>
      <c r="J194" s="338"/>
    </row>
    <row r="195" spans="1:59" hidden="1" x14ac:dyDescent="0.3"/>
    <row r="196" spans="1:59" ht="21" hidden="1" customHeight="1" x14ac:dyDescent="0.3">
      <c r="A196" s="11"/>
      <c r="B196" s="322" t="s">
        <v>894</v>
      </c>
      <c r="C196" s="322" t="s">
        <v>895</v>
      </c>
      <c r="D196" s="325" t="s">
        <v>235</v>
      </c>
      <c r="E196" s="322" t="s">
        <v>232</v>
      </c>
      <c r="F196" s="329" t="s">
        <v>233</v>
      </c>
      <c r="G196" s="351" t="s">
        <v>234</v>
      </c>
      <c r="H196" s="36"/>
      <c r="I196" s="328" t="str">
        <f>+"Enero "&amp;$I$6&amp;""</f>
        <v>Enero 2025</v>
      </c>
      <c r="J196" s="328"/>
      <c r="K196" s="328"/>
      <c r="M196" s="328" t="str">
        <f>+"Febrero "&amp;$I$6&amp;""</f>
        <v>Febrero 2025</v>
      </c>
      <c r="N196" s="328"/>
      <c r="O196" s="328"/>
      <c r="Q196" s="328" t="str">
        <f>+"Marzo "&amp;$I$6&amp;""</f>
        <v>Marzo 2025</v>
      </c>
      <c r="R196" s="328"/>
      <c r="S196" s="328"/>
      <c r="U196" s="328" t="str">
        <f>+"Abril "&amp;$I$6&amp;""</f>
        <v>Abril 2025</v>
      </c>
      <c r="V196" s="328"/>
      <c r="W196" s="328"/>
      <c r="Y196" s="328" t="str">
        <f>+"Mayo "&amp;$I$6&amp;""</f>
        <v>Mayo 2025</v>
      </c>
      <c r="Z196" s="328"/>
      <c r="AA196" s="328"/>
      <c r="AC196" s="328" t="str">
        <f>+"Junio "&amp;$I$6&amp;""</f>
        <v>Junio 2025</v>
      </c>
      <c r="AD196" s="328"/>
      <c r="AE196" s="328"/>
      <c r="AG196" s="328" t="str">
        <f>+"Julio "&amp;$I$6&amp;""</f>
        <v>Julio 2025</v>
      </c>
      <c r="AH196" s="328"/>
      <c r="AI196" s="328"/>
      <c r="AK196" s="328" t="str">
        <f>+"Agosto "&amp;$I$6&amp;""</f>
        <v>Agosto 2025</v>
      </c>
      <c r="AL196" s="328"/>
      <c r="AM196" s="328"/>
      <c r="AO196" s="328" t="str">
        <f>+"Septiembre "&amp;$I$6&amp;""</f>
        <v>Septiembre 2025</v>
      </c>
      <c r="AP196" s="328"/>
      <c r="AQ196" s="328"/>
      <c r="AS196" s="328" t="str">
        <f>+"Octubre "&amp;$I$6&amp;""</f>
        <v>Octubre 2025</v>
      </c>
      <c r="AT196" s="328"/>
      <c r="AU196" s="328"/>
      <c r="AW196" s="328" t="str">
        <f>+"Noviembre "&amp;$I$6&amp;""</f>
        <v>Noviembre 2025</v>
      </c>
      <c r="AX196" s="328"/>
      <c r="AY196" s="328"/>
      <c r="BA196" s="328" t="str">
        <f>+"Diciembre "&amp;$I$6&amp;""</f>
        <v>Diciembre 2025</v>
      </c>
      <c r="BB196" s="328"/>
      <c r="BC196" s="328"/>
      <c r="BE196" s="328" t="str">
        <f>+"Acumulado "&amp;$I$6&amp;""</f>
        <v>Acumulado 2025</v>
      </c>
      <c r="BF196" s="328"/>
      <c r="BG196" s="328"/>
    </row>
    <row r="197" spans="1:59" ht="21" hidden="1" customHeight="1" x14ac:dyDescent="0.3">
      <c r="A197" s="11"/>
      <c r="B197" s="324"/>
      <c r="C197" s="324"/>
      <c r="D197" s="327"/>
      <c r="E197" s="324"/>
      <c r="F197" s="329"/>
      <c r="G197" s="329"/>
      <c r="H197" s="36"/>
      <c r="I197" s="222" t="s">
        <v>997</v>
      </c>
      <c r="J197" s="58" t="s">
        <v>61</v>
      </c>
      <c r="K197" s="58" t="s">
        <v>62</v>
      </c>
      <c r="M197" s="222" t="s">
        <v>997</v>
      </c>
      <c r="N197" s="58" t="s">
        <v>61</v>
      </c>
      <c r="O197" s="58" t="s">
        <v>62</v>
      </c>
      <c r="Q197" s="222" t="s">
        <v>997</v>
      </c>
      <c r="R197" s="58" t="s">
        <v>61</v>
      </c>
      <c r="S197" s="58" t="s">
        <v>62</v>
      </c>
      <c r="U197" s="222" t="s">
        <v>997</v>
      </c>
      <c r="V197" s="58" t="s">
        <v>61</v>
      </c>
      <c r="W197" s="58" t="s">
        <v>62</v>
      </c>
      <c r="Y197" s="222" t="s">
        <v>997</v>
      </c>
      <c r="Z197" s="58" t="s">
        <v>61</v>
      </c>
      <c r="AA197" s="58" t="s">
        <v>62</v>
      </c>
      <c r="AC197" s="222" t="s">
        <v>997</v>
      </c>
      <c r="AD197" s="58" t="s">
        <v>61</v>
      </c>
      <c r="AE197" s="58" t="s">
        <v>62</v>
      </c>
      <c r="AG197" s="222" t="s">
        <v>997</v>
      </c>
      <c r="AH197" s="58" t="s">
        <v>61</v>
      </c>
      <c r="AI197" s="58" t="s">
        <v>62</v>
      </c>
      <c r="AK197" s="222" t="s">
        <v>997</v>
      </c>
      <c r="AL197" s="58" t="s">
        <v>61</v>
      </c>
      <c r="AM197" s="58" t="s">
        <v>62</v>
      </c>
      <c r="AO197" s="222" t="s">
        <v>997</v>
      </c>
      <c r="AP197" s="58" t="s">
        <v>61</v>
      </c>
      <c r="AQ197" s="58" t="s">
        <v>62</v>
      </c>
      <c r="AS197" s="222" t="s">
        <v>997</v>
      </c>
      <c r="AT197" s="58" t="s">
        <v>61</v>
      </c>
      <c r="AU197" s="58" t="s">
        <v>62</v>
      </c>
      <c r="AW197" s="222" t="s">
        <v>997</v>
      </c>
      <c r="AX197" s="58" t="s">
        <v>61</v>
      </c>
      <c r="AY197" s="58" t="s">
        <v>62</v>
      </c>
      <c r="BA197" s="222" t="s">
        <v>997</v>
      </c>
      <c r="BB197" s="58" t="s">
        <v>61</v>
      </c>
      <c r="BC197" s="58" t="s">
        <v>62</v>
      </c>
      <c r="BE197" s="222" t="s">
        <v>997</v>
      </c>
      <c r="BF197" s="58" t="s">
        <v>61</v>
      </c>
      <c r="BG197" s="58" t="s">
        <v>62</v>
      </c>
    </row>
    <row r="198" spans="1:59" ht="21" hidden="1" customHeight="1" x14ac:dyDescent="0.3">
      <c r="A198" s="11"/>
      <c r="B198" s="181"/>
      <c r="C198" s="34"/>
      <c r="D198" s="34"/>
      <c r="E198" s="34"/>
      <c r="F198" s="34"/>
      <c r="G198" s="57" t="str">
        <f>IFERROR(+VLOOKUP(F198,Datos!$Y:$Z,2,0),"")</f>
        <v/>
      </c>
      <c r="H198" s="35"/>
      <c r="I198" s="34"/>
      <c r="J198" s="59">
        <f>IFERROR(+K198/I198,0)</f>
        <v>0</v>
      </c>
      <c r="K198" s="122"/>
      <c r="M198" s="34"/>
      <c r="N198" s="59">
        <f>IFERROR(+O198/M198,0)</f>
        <v>0</v>
      </c>
      <c r="O198" s="122"/>
      <c r="Q198" s="34"/>
      <c r="R198" s="59">
        <f>IFERROR(+S198/Q198,0)</f>
        <v>0</v>
      </c>
      <c r="S198" s="122"/>
      <c r="U198" s="34"/>
      <c r="V198" s="59">
        <f>IFERROR(+W198/U198,0)</f>
        <v>0</v>
      </c>
      <c r="W198" s="122"/>
      <c r="Y198" s="34"/>
      <c r="Z198" s="59">
        <f>IFERROR(+AA198/Y198,0)</f>
        <v>0</v>
      </c>
      <c r="AA198" s="122"/>
      <c r="AC198" s="34"/>
      <c r="AD198" s="59">
        <f>IFERROR(+AE198/AC198,0)</f>
        <v>0</v>
      </c>
      <c r="AE198" s="122"/>
      <c r="AG198" s="34"/>
      <c r="AH198" s="59">
        <f>IFERROR(+AI198/AG198,0)</f>
        <v>0</v>
      </c>
      <c r="AI198" s="122"/>
      <c r="AK198" s="34"/>
      <c r="AL198" s="59">
        <f>IFERROR(+AM198/AK198,0)</f>
        <v>0</v>
      </c>
      <c r="AM198" s="122"/>
      <c r="AO198" s="34"/>
      <c r="AP198" s="59">
        <f>IFERROR(+AQ198/AO198,0)</f>
        <v>0</v>
      </c>
      <c r="AQ198" s="122"/>
      <c r="AS198" s="34"/>
      <c r="AT198" s="59">
        <f>IFERROR(+AU198/AS198,0)</f>
        <v>0</v>
      </c>
      <c r="AU198" s="122"/>
      <c r="AW198" s="34"/>
      <c r="AX198" s="59">
        <f>IFERROR(+AY198/AW198,0)</f>
        <v>0</v>
      </c>
      <c r="AY198" s="122"/>
      <c r="BA198" s="34"/>
      <c r="BB198" s="59">
        <f>IFERROR(+BC198/BA198,0)</f>
        <v>0</v>
      </c>
      <c r="BC198" s="122"/>
      <c r="BE198" s="61">
        <f>+I198+M198+Q198++U198+Y198+AC198+AG198+AK198+AO198+AS198+AW198+BA198</f>
        <v>0</v>
      </c>
      <c r="BF198" s="60">
        <f>IFERROR(+BG198/BE198,0)</f>
        <v>0</v>
      </c>
      <c r="BG198" s="61">
        <f>+K198+O198+S198+W198+AA198+AE198+AI198+AM198+AQ198+AU198+AY198+BC198</f>
        <v>0</v>
      </c>
    </row>
    <row r="199" spans="1:59" ht="21" hidden="1" customHeight="1" x14ac:dyDescent="0.3">
      <c r="A199" s="11"/>
      <c r="B199" s="181"/>
      <c r="C199" s="34"/>
      <c r="D199" s="34"/>
      <c r="E199" s="34"/>
      <c r="F199" s="69"/>
      <c r="G199" s="57" t="str">
        <f>IFERROR(+VLOOKUP(F199,Datos!$Y:$Z,2,0),"")</f>
        <v/>
      </c>
      <c r="H199" s="35"/>
      <c r="I199" s="34"/>
      <c r="J199" s="59">
        <f t="shared" ref="J199:J203" si="365">IFERROR(+K199/I199,0)</f>
        <v>0</v>
      </c>
      <c r="K199" s="122"/>
      <c r="M199" s="34"/>
      <c r="N199" s="59">
        <f t="shared" ref="N199:N203" si="366">IFERROR(+O199/M199,0)</f>
        <v>0</v>
      </c>
      <c r="O199" s="122"/>
      <c r="Q199" s="34"/>
      <c r="R199" s="59">
        <f t="shared" ref="R199:R203" si="367">IFERROR(+S199/Q199,0)</f>
        <v>0</v>
      </c>
      <c r="S199" s="122"/>
      <c r="U199" s="34"/>
      <c r="V199" s="59">
        <f t="shared" ref="V199:V203" si="368">IFERROR(+W199/U199,0)</f>
        <v>0</v>
      </c>
      <c r="W199" s="122"/>
      <c r="Y199" s="34"/>
      <c r="Z199" s="59">
        <f t="shared" ref="Z199:Z203" si="369">IFERROR(+AA199/Y199,0)</f>
        <v>0</v>
      </c>
      <c r="AA199" s="122"/>
      <c r="AC199" s="34"/>
      <c r="AD199" s="59">
        <f t="shared" ref="AD199:AD203" si="370">IFERROR(+AE199/AC199,0)</f>
        <v>0</v>
      </c>
      <c r="AE199" s="122"/>
      <c r="AG199" s="34"/>
      <c r="AH199" s="59">
        <f t="shared" ref="AH199:AH203" si="371">IFERROR(+AI199/AG199,0)</f>
        <v>0</v>
      </c>
      <c r="AI199" s="122"/>
      <c r="AK199" s="34"/>
      <c r="AL199" s="59">
        <f t="shared" ref="AL199:AL203" si="372">IFERROR(+AM199/AK199,0)</f>
        <v>0</v>
      </c>
      <c r="AM199" s="122"/>
      <c r="AO199" s="34"/>
      <c r="AP199" s="59">
        <f t="shared" ref="AP199:AP203" si="373">IFERROR(+AQ199/AO199,0)</f>
        <v>0</v>
      </c>
      <c r="AQ199" s="122"/>
      <c r="AS199" s="34"/>
      <c r="AT199" s="59">
        <f t="shared" ref="AT199:AT203" si="374">IFERROR(+AU199/AS199,0)</f>
        <v>0</v>
      </c>
      <c r="AU199" s="122"/>
      <c r="AW199" s="34"/>
      <c r="AX199" s="59">
        <f t="shared" ref="AX199:AX203" si="375">IFERROR(+AY199/AW199,0)</f>
        <v>0</v>
      </c>
      <c r="AY199" s="122"/>
      <c r="BA199" s="34"/>
      <c r="BB199" s="59">
        <f t="shared" ref="BB199:BB203" si="376">IFERROR(+BC199/BA199,0)</f>
        <v>0</v>
      </c>
      <c r="BC199" s="122"/>
      <c r="BE199" s="61">
        <f t="shared" ref="BE199:BE203" si="377">+I199+M199+Q199++U199+Y199+AC199+AG199+AK199+AO199+AS199+AW199+BA199</f>
        <v>0</v>
      </c>
      <c r="BF199" s="60">
        <f t="shared" ref="BF199:BF203" si="378">IFERROR(+BG199/BE199,0)</f>
        <v>0</v>
      </c>
      <c r="BG199" s="61">
        <f t="shared" ref="BG199:BG203" si="379">+K199+O199+S199+W199+AA199+AE199+AI199+AM199+AQ199+AU199+AY199+BC199</f>
        <v>0</v>
      </c>
    </row>
    <row r="200" spans="1:59" ht="21" hidden="1" customHeight="1" x14ac:dyDescent="0.3">
      <c r="A200" s="11"/>
      <c r="B200" s="181"/>
      <c r="C200" s="34"/>
      <c r="D200" s="34"/>
      <c r="E200" s="34"/>
      <c r="F200" s="69"/>
      <c r="G200" s="57" t="str">
        <f>IFERROR(+VLOOKUP(F200,Datos!$Y:$Z,2,0),"")</f>
        <v/>
      </c>
      <c r="H200" s="35"/>
      <c r="I200" s="34"/>
      <c r="J200" s="59">
        <f t="shared" si="365"/>
        <v>0</v>
      </c>
      <c r="K200" s="122"/>
      <c r="M200" s="34"/>
      <c r="N200" s="59">
        <f t="shared" si="366"/>
        <v>0</v>
      </c>
      <c r="O200" s="122"/>
      <c r="Q200" s="34"/>
      <c r="R200" s="59">
        <f t="shared" si="367"/>
        <v>0</v>
      </c>
      <c r="S200" s="122"/>
      <c r="U200" s="34"/>
      <c r="V200" s="59">
        <f t="shared" si="368"/>
        <v>0</v>
      </c>
      <c r="W200" s="122"/>
      <c r="Y200" s="34"/>
      <c r="Z200" s="59">
        <f t="shared" si="369"/>
        <v>0</v>
      </c>
      <c r="AA200" s="122"/>
      <c r="AC200" s="34"/>
      <c r="AD200" s="59">
        <f t="shared" si="370"/>
        <v>0</v>
      </c>
      <c r="AE200" s="122"/>
      <c r="AG200" s="34"/>
      <c r="AH200" s="59">
        <f t="shared" si="371"/>
        <v>0</v>
      </c>
      <c r="AI200" s="122"/>
      <c r="AK200" s="34"/>
      <c r="AL200" s="59">
        <f t="shared" si="372"/>
        <v>0</v>
      </c>
      <c r="AM200" s="122"/>
      <c r="AO200" s="34"/>
      <c r="AP200" s="59">
        <f t="shared" si="373"/>
        <v>0</v>
      </c>
      <c r="AQ200" s="122"/>
      <c r="AS200" s="34"/>
      <c r="AT200" s="59">
        <f t="shared" si="374"/>
        <v>0</v>
      </c>
      <c r="AU200" s="122"/>
      <c r="AW200" s="34"/>
      <c r="AX200" s="59">
        <f t="shared" si="375"/>
        <v>0</v>
      </c>
      <c r="AY200" s="122"/>
      <c r="BA200" s="34"/>
      <c r="BB200" s="59">
        <f t="shared" si="376"/>
        <v>0</v>
      </c>
      <c r="BC200" s="122"/>
      <c r="BE200" s="61">
        <f t="shared" si="377"/>
        <v>0</v>
      </c>
      <c r="BF200" s="60">
        <f t="shared" si="378"/>
        <v>0</v>
      </c>
      <c r="BG200" s="61">
        <f t="shared" si="379"/>
        <v>0</v>
      </c>
    </row>
    <row r="201" spans="1:59" ht="21" hidden="1" customHeight="1" x14ac:dyDescent="0.3">
      <c r="A201" s="11"/>
      <c r="B201" s="181"/>
      <c r="C201" s="34"/>
      <c r="D201" s="34"/>
      <c r="E201" s="34"/>
      <c r="F201" s="34"/>
      <c r="G201" s="57" t="str">
        <f>IFERROR(+VLOOKUP(F201,Datos!$Y:$Z,2,0),"")</f>
        <v/>
      </c>
      <c r="H201" s="35"/>
      <c r="I201" s="34"/>
      <c r="J201" s="59">
        <f t="shared" si="365"/>
        <v>0</v>
      </c>
      <c r="K201" s="122"/>
      <c r="M201" s="34"/>
      <c r="N201" s="59">
        <f t="shared" si="366"/>
        <v>0</v>
      </c>
      <c r="O201" s="122"/>
      <c r="Q201" s="34"/>
      <c r="R201" s="59">
        <f t="shared" si="367"/>
        <v>0</v>
      </c>
      <c r="S201" s="122"/>
      <c r="U201" s="34"/>
      <c r="V201" s="59">
        <f t="shared" si="368"/>
        <v>0</v>
      </c>
      <c r="W201" s="122"/>
      <c r="Y201" s="34"/>
      <c r="Z201" s="59">
        <f t="shared" si="369"/>
        <v>0</v>
      </c>
      <c r="AA201" s="122"/>
      <c r="AC201" s="34"/>
      <c r="AD201" s="59">
        <f t="shared" si="370"/>
        <v>0</v>
      </c>
      <c r="AE201" s="122"/>
      <c r="AG201" s="34"/>
      <c r="AH201" s="59">
        <f t="shared" si="371"/>
        <v>0</v>
      </c>
      <c r="AI201" s="122"/>
      <c r="AK201" s="34"/>
      <c r="AL201" s="59">
        <f t="shared" si="372"/>
        <v>0</v>
      </c>
      <c r="AM201" s="122"/>
      <c r="AO201" s="34"/>
      <c r="AP201" s="59">
        <f t="shared" si="373"/>
        <v>0</v>
      </c>
      <c r="AQ201" s="122"/>
      <c r="AS201" s="34"/>
      <c r="AT201" s="59">
        <f t="shared" si="374"/>
        <v>0</v>
      </c>
      <c r="AU201" s="122"/>
      <c r="AW201" s="34"/>
      <c r="AX201" s="59">
        <f t="shared" si="375"/>
        <v>0</v>
      </c>
      <c r="AY201" s="122"/>
      <c r="BA201" s="34"/>
      <c r="BB201" s="59">
        <f t="shared" si="376"/>
        <v>0</v>
      </c>
      <c r="BC201" s="122"/>
      <c r="BE201" s="61">
        <f t="shared" si="377"/>
        <v>0</v>
      </c>
      <c r="BF201" s="60">
        <f t="shared" si="378"/>
        <v>0</v>
      </c>
      <c r="BG201" s="61">
        <f t="shared" si="379"/>
        <v>0</v>
      </c>
    </row>
    <row r="202" spans="1:59" ht="21" hidden="1" customHeight="1" x14ac:dyDescent="0.3">
      <c r="A202" s="11"/>
      <c r="B202" s="181"/>
      <c r="C202" s="34"/>
      <c r="D202" s="34"/>
      <c r="E202" s="34"/>
      <c r="F202" s="34"/>
      <c r="G202" s="57" t="str">
        <f>IFERROR(+VLOOKUP(F202,Datos!$Y:$Z,2,0),"")</f>
        <v/>
      </c>
      <c r="H202" s="35"/>
      <c r="I202" s="34"/>
      <c r="J202" s="59">
        <f t="shared" si="365"/>
        <v>0</v>
      </c>
      <c r="K202" s="122"/>
      <c r="M202" s="34"/>
      <c r="N202" s="59">
        <f t="shared" si="366"/>
        <v>0</v>
      </c>
      <c r="O202" s="122"/>
      <c r="Q202" s="34"/>
      <c r="R202" s="59">
        <f t="shared" si="367"/>
        <v>0</v>
      </c>
      <c r="S202" s="122"/>
      <c r="U202" s="34"/>
      <c r="V202" s="59">
        <f t="shared" si="368"/>
        <v>0</v>
      </c>
      <c r="W202" s="122"/>
      <c r="Y202" s="34"/>
      <c r="Z202" s="59">
        <f t="shared" si="369"/>
        <v>0</v>
      </c>
      <c r="AA202" s="122"/>
      <c r="AC202" s="34"/>
      <c r="AD202" s="59">
        <f t="shared" si="370"/>
        <v>0</v>
      </c>
      <c r="AE202" s="122"/>
      <c r="AG202" s="34"/>
      <c r="AH202" s="59">
        <f t="shared" si="371"/>
        <v>0</v>
      </c>
      <c r="AI202" s="122"/>
      <c r="AK202" s="34"/>
      <c r="AL202" s="59">
        <f t="shared" si="372"/>
        <v>0</v>
      </c>
      <c r="AM202" s="122"/>
      <c r="AO202" s="34"/>
      <c r="AP202" s="59">
        <f t="shared" si="373"/>
        <v>0</v>
      </c>
      <c r="AQ202" s="122"/>
      <c r="AS202" s="34"/>
      <c r="AT202" s="59">
        <f t="shared" si="374"/>
        <v>0</v>
      </c>
      <c r="AU202" s="122"/>
      <c r="AW202" s="34"/>
      <c r="AX202" s="59">
        <f t="shared" si="375"/>
        <v>0</v>
      </c>
      <c r="AY202" s="122"/>
      <c r="BA202" s="34"/>
      <c r="BB202" s="59">
        <f t="shared" si="376"/>
        <v>0</v>
      </c>
      <c r="BC202" s="122"/>
      <c r="BE202" s="61">
        <f t="shared" si="377"/>
        <v>0</v>
      </c>
      <c r="BF202" s="60">
        <f t="shared" si="378"/>
        <v>0</v>
      </c>
      <c r="BG202" s="61">
        <f t="shared" si="379"/>
        <v>0</v>
      </c>
    </row>
    <row r="203" spans="1:59" ht="21" hidden="1" customHeight="1" x14ac:dyDescent="0.3">
      <c r="A203" s="11"/>
      <c r="B203" s="181"/>
      <c r="C203" s="34"/>
      <c r="D203" s="34"/>
      <c r="E203" s="34"/>
      <c r="F203" s="34"/>
      <c r="G203" s="57" t="str">
        <f>IFERROR(+VLOOKUP(F203,Datos!$Y:$Z,2,0),"")</f>
        <v/>
      </c>
      <c r="H203" s="35"/>
      <c r="I203" s="34"/>
      <c r="J203" s="59">
        <f t="shared" si="365"/>
        <v>0</v>
      </c>
      <c r="K203" s="122"/>
      <c r="M203" s="34"/>
      <c r="N203" s="59">
        <f t="shared" si="366"/>
        <v>0</v>
      </c>
      <c r="O203" s="122"/>
      <c r="Q203" s="34"/>
      <c r="R203" s="59">
        <f t="shared" si="367"/>
        <v>0</v>
      </c>
      <c r="S203" s="122"/>
      <c r="U203" s="34"/>
      <c r="V203" s="59">
        <f t="shared" si="368"/>
        <v>0</v>
      </c>
      <c r="W203" s="122"/>
      <c r="Y203" s="34"/>
      <c r="Z203" s="59">
        <f t="shared" si="369"/>
        <v>0</v>
      </c>
      <c r="AA203" s="122"/>
      <c r="AC203" s="34"/>
      <c r="AD203" s="59">
        <f t="shared" si="370"/>
        <v>0</v>
      </c>
      <c r="AE203" s="122"/>
      <c r="AG203" s="34"/>
      <c r="AH203" s="59">
        <f t="shared" si="371"/>
        <v>0</v>
      </c>
      <c r="AI203" s="122"/>
      <c r="AK203" s="34"/>
      <c r="AL203" s="59">
        <f t="shared" si="372"/>
        <v>0</v>
      </c>
      <c r="AM203" s="122"/>
      <c r="AO203" s="34"/>
      <c r="AP203" s="59">
        <f t="shared" si="373"/>
        <v>0</v>
      </c>
      <c r="AQ203" s="122"/>
      <c r="AS203" s="34"/>
      <c r="AT203" s="59">
        <f t="shared" si="374"/>
        <v>0</v>
      </c>
      <c r="AU203" s="122"/>
      <c r="AW203" s="34"/>
      <c r="AX203" s="59">
        <f t="shared" si="375"/>
        <v>0</v>
      </c>
      <c r="AY203" s="122"/>
      <c r="BA203" s="34"/>
      <c r="BB203" s="59">
        <f t="shared" si="376"/>
        <v>0</v>
      </c>
      <c r="BC203" s="122"/>
      <c r="BE203" s="61">
        <f t="shared" si="377"/>
        <v>0</v>
      </c>
      <c r="BF203" s="60">
        <f t="shared" si="378"/>
        <v>0</v>
      </c>
      <c r="BG203" s="61">
        <f t="shared" si="379"/>
        <v>0</v>
      </c>
    </row>
    <row r="204" spans="1:59" ht="21" hidden="1" customHeight="1" x14ac:dyDescent="0.3">
      <c r="A204" s="11"/>
      <c r="B204" s="181"/>
      <c r="C204" s="34"/>
      <c r="D204" s="34"/>
      <c r="E204" s="34"/>
      <c r="F204" s="34"/>
      <c r="G204" s="57" t="str">
        <f>IFERROR(+VLOOKUP(F204,Datos!$Y:$Z,2,0),"")</f>
        <v/>
      </c>
      <c r="H204" s="35"/>
      <c r="I204" s="34"/>
      <c r="J204" s="59">
        <f>IFERROR(+K204/I204,0)</f>
        <v>0</v>
      </c>
      <c r="K204" s="122"/>
      <c r="M204" s="34"/>
      <c r="N204" s="59">
        <f>IFERROR(+O204/M204,0)</f>
        <v>0</v>
      </c>
      <c r="O204" s="122"/>
      <c r="Q204" s="34"/>
      <c r="R204" s="59">
        <f>IFERROR(+S204/Q204,0)</f>
        <v>0</v>
      </c>
      <c r="S204" s="122"/>
      <c r="U204" s="34"/>
      <c r="V204" s="59">
        <f>IFERROR(+W204/U204,0)</f>
        <v>0</v>
      </c>
      <c r="W204" s="122"/>
      <c r="Y204" s="34"/>
      <c r="Z204" s="59">
        <f>IFERROR(+AA204/Y204,0)</f>
        <v>0</v>
      </c>
      <c r="AA204" s="122"/>
      <c r="AC204" s="34"/>
      <c r="AD204" s="59">
        <f>IFERROR(+AE204/AC204,0)</f>
        <v>0</v>
      </c>
      <c r="AE204" s="122"/>
      <c r="AG204" s="34"/>
      <c r="AH204" s="59">
        <f>IFERROR(+AI204/AG204,0)</f>
        <v>0</v>
      </c>
      <c r="AI204" s="122"/>
      <c r="AK204" s="34"/>
      <c r="AL204" s="59">
        <f>IFERROR(+AM204/AK204,0)</f>
        <v>0</v>
      </c>
      <c r="AM204" s="122"/>
      <c r="AO204" s="34"/>
      <c r="AP204" s="59">
        <f>IFERROR(+AQ204/AO204,0)</f>
        <v>0</v>
      </c>
      <c r="AQ204" s="122"/>
      <c r="AS204" s="34"/>
      <c r="AT204" s="59">
        <f>IFERROR(+AU204/AS204,0)</f>
        <v>0</v>
      </c>
      <c r="AU204" s="122"/>
      <c r="AW204" s="34"/>
      <c r="AX204" s="59">
        <f>IFERROR(+AY204/AW204,0)</f>
        <v>0</v>
      </c>
      <c r="AY204" s="122"/>
      <c r="BA204" s="34"/>
      <c r="BB204" s="59">
        <f>IFERROR(+BC204/BA204,0)</f>
        <v>0</v>
      </c>
      <c r="BC204" s="122"/>
      <c r="BE204" s="61">
        <f>+I204+M204+Q204++U204+Y204+AC204+AG204+AK204+AO204+AS204+AW204+BA204</f>
        <v>0</v>
      </c>
      <c r="BF204" s="60">
        <f>IFERROR(+BG204/BE204,0)</f>
        <v>0</v>
      </c>
      <c r="BG204" s="61">
        <f>+K204+O204+S204+W204+AA204+AE204+AI204+AM204+AQ204+AU204+AY204+BC204</f>
        <v>0</v>
      </c>
    </row>
    <row r="205" spans="1:59" ht="21" hidden="1" customHeight="1" x14ac:dyDescent="0.3">
      <c r="A205" s="11"/>
      <c r="B205" s="330" t="s">
        <v>227</v>
      </c>
      <c r="C205" s="331"/>
      <c r="D205" s="331"/>
      <c r="E205" s="331"/>
      <c r="F205" s="331"/>
      <c r="G205" s="332"/>
      <c r="H205" s="35"/>
      <c r="I205" s="61">
        <f>SUM(I198:I204)</f>
        <v>0</v>
      </c>
      <c r="J205" s="60">
        <f t="shared" ref="J205" si="380">IFERROR(+K205/I205,0)</f>
        <v>0</v>
      </c>
      <c r="K205" s="61">
        <f>SUM(K198:K204)</f>
        <v>0</v>
      </c>
      <c r="M205" s="61">
        <f>SUM(M198:M204)</f>
        <v>0</v>
      </c>
      <c r="N205" s="60">
        <f t="shared" ref="N205" si="381">IFERROR(+O205/M205,0)</f>
        <v>0</v>
      </c>
      <c r="O205" s="61">
        <f>SUM(O198:O204)</f>
        <v>0</v>
      </c>
      <c r="Q205" s="61">
        <f>SUM(Q198:Q204)</f>
        <v>0</v>
      </c>
      <c r="R205" s="60">
        <f t="shared" ref="R205" si="382">IFERROR(+S205/Q205,0)</f>
        <v>0</v>
      </c>
      <c r="S205" s="61">
        <f>SUM(S198:S204)</f>
        <v>0</v>
      </c>
      <c r="U205" s="61">
        <f>SUM(U198:U204)</f>
        <v>0</v>
      </c>
      <c r="V205" s="60">
        <f t="shared" ref="V205" si="383">IFERROR(+W205/U205,0)</f>
        <v>0</v>
      </c>
      <c r="W205" s="61">
        <f>SUM(W198:W204)</f>
        <v>0</v>
      </c>
      <c r="Y205" s="61">
        <f>SUM(Y198:Y204)</f>
        <v>0</v>
      </c>
      <c r="Z205" s="60">
        <f t="shared" ref="Z205" si="384">IFERROR(+AA205/Y205,0)</f>
        <v>0</v>
      </c>
      <c r="AA205" s="61">
        <f>SUM(AA198:AA204)</f>
        <v>0</v>
      </c>
      <c r="AC205" s="61">
        <f>SUM(AC198:AC204)</f>
        <v>0</v>
      </c>
      <c r="AD205" s="60">
        <f t="shared" ref="AD205" si="385">IFERROR(+AE205/AC205,0)</f>
        <v>0</v>
      </c>
      <c r="AE205" s="61">
        <f>SUM(AE198:AE204)</f>
        <v>0</v>
      </c>
      <c r="AG205" s="61">
        <f>SUM(AG198:AG204)</f>
        <v>0</v>
      </c>
      <c r="AH205" s="60">
        <f t="shared" ref="AH205" si="386">IFERROR(+AI205/AG205,0)</f>
        <v>0</v>
      </c>
      <c r="AI205" s="61">
        <f>SUM(AI198:AI204)</f>
        <v>0</v>
      </c>
      <c r="AK205" s="61">
        <f>SUM(AK198:AK204)</f>
        <v>0</v>
      </c>
      <c r="AL205" s="60">
        <f t="shared" ref="AL205" si="387">IFERROR(+AM205/AK205,0)</f>
        <v>0</v>
      </c>
      <c r="AM205" s="61">
        <f>SUM(AM198:AM204)</f>
        <v>0</v>
      </c>
      <c r="AO205" s="61">
        <f>SUM(AO198:AO204)</f>
        <v>0</v>
      </c>
      <c r="AP205" s="60">
        <f t="shared" ref="AP205" si="388">IFERROR(+AQ205/AO205,0)</f>
        <v>0</v>
      </c>
      <c r="AQ205" s="61">
        <f>SUM(AQ198:AQ204)</f>
        <v>0</v>
      </c>
      <c r="AS205" s="61">
        <f>SUM(AS198:AS204)</f>
        <v>0</v>
      </c>
      <c r="AT205" s="60">
        <f t="shared" ref="AT205" si="389">IFERROR(+AU205/AS205,0)</f>
        <v>0</v>
      </c>
      <c r="AU205" s="61">
        <f>SUM(AU198:AU204)</f>
        <v>0</v>
      </c>
      <c r="AW205" s="61">
        <f>SUM(AW198:AW204)</f>
        <v>0</v>
      </c>
      <c r="AX205" s="60">
        <f t="shared" ref="AX205" si="390">IFERROR(+AY205/AW205,0)</f>
        <v>0</v>
      </c>
      <c r="AY205" s="61">
        <f>SUM(AY198:AY204)</f>
        <v>0</v>
      </c>
      <c r="BA205" s="61">
        <f>SUM(BA198:BA204)</f>
        <v>0</v>
      </c>
      <c r="BB205" s="60">
        <f t="shared" ref="BB205" si="391">IFERROR(+BC205/BA205,0)</f>
        <v>0</v>
      </c>
      <c r="BC205" s="61">
        <f>SUM(BC198:BC204)</f>
        <v>0</v>
      </c>
      <c r="BE205" s="61">
        <f>SUM(BE198:BE204)</f>
        <v>0</v>
      </c>
      <c r="BF205" s="60">
        <f t="shared" ref="BF205" si="392">IFERROR(+BG205/BE205,0)</f>
        <v>0</v>
      </c>
      <c r="BG205" s="61">
        <f>SUM(BG198:BG204)</f>
        <v>0</v>
      </c>
    </row>
    <row r="206" spans="1:59" hidden="1" x14ac:dyDescent="0.3"/>
    <row r="207" spans="1:59" ht="36" hidden="1" customHeight="1" x14ac:dyDescent="0.3">
      <c r="B207" s="338" t="s">
        <v>736</v>
      </c>
      <c r="C207" s="338"/>
      <c r="D207" s="338"/>
      <c r="E207" s="338"/>
      <c r="F207" s="338"/>
      <c r="G207" s="338"/>
      <c r="H207" s="338"/>
      <c r="I207" s="338"/>
      <c r="J207" s="338"/>
    </row>
    <row r="208" spans="1:59" hidden="1" x14ac:dyDescent="0.3"/>
    <row r="209" spans="1:59" ht="21" hidden="1" customHeight="1" x14ac:dyDescent="0.3">
      <c r="A209" s="11"/>
      <c r="B209" s="329" t="s">
        <v>894</v>
      </c>
      <c r="C209" s="329" t="s">
        <v>895</v>
      </c>
      <c r="D209" s="325" t="s">
        <v>235</v>
      </c>
      <c r="E209" s="319" t="s">
        <v>232</v>
      </c>
      <c r="F209" s="343" t="s">
        <v>910</v>
      </c>
      <c r="G209" s="344"/>
      <c r="H209" s="36"/>
      <c r="I209" s="328" t="str">
        <f>+"Enero "&amp;$I$6&amp;""</f>
        <v>Enero 2025</v>
      </c>
      <c r="J209" s="328"/>
      <c r="K209" s="328"/>
      <c r="M209" s="328" t="str">
        <f>+"Febrero "&amp;$I$6&amp;""</f>
        <v>Febrero 2025</v>
      </c>
      <c r="N209" s="328"/>
      <c r="O209" s="328"/>
      <c r="Q209" s="328" t="str">
        <f>+"Marzo "&amp;$I$6&amp;""</f>
        <v>Marzo 2025</v>
      </c>
      <c r="R209" s="328"/>
      <c r="S209" s="328"/>
      <c r="U209" s="328" t="str">
        <f>+"Abril "&amp;$I$6&amp;""</f>
        <v>Abril 2025</v>
      </c>
      <c r="V209" s="328"/>
      <c r="W209" s="328"/>
      <c r="Y209" s="328" t="str">
        <f>+"Mayo "&amp;$I$6&amp;""</f>
        <v>Mayo 2025</v>
      </c>
      <c r="Z209" s="328"/>
      <c r="AA209" s="328"/>
      <c r="AC209" s="328" t="str">
        <f>+"Junio "&amp;$I$6&amp;""</f>
        <v>Junio 2025</v>
      </c>
      <c r="AD209" s="328"/>
      <c r="AE209" s="328"/>
      <c r="AG209" s="328" t="str">
        <f>+"Julio "&amp;$I$6&amp;""</f>
        <v>Julio 2025</v>
      </c>
      <c r="AH209" s="328"/>
      <c r="AI209" s="328"/>
      <c r="AK209" s="328" t="str">
        <f>+"Agosto "&amp;$I$6&amp;""</f>
        <v>Agosto 2025</v>
      </c>
      <c r="AL209" s="328"/>
      <c r="AM209" s="328"/>
      <c r="AO209" s="328" t="str">
        <f>+"Septiembre "&amp;$I$6&amp;""</f>
        <v>Septiembre 2025</v>
      </c>
      <c r="AP209" s="328"/>
      <c r="AQ209" s="328"/>
      <c r="AS209" s="328" t="str">
        <f>+"Octubre "&amp;$I$6&amp;""</f>
        <v>Octubre 2025</v>
      </c>
      <c r="AT209" s="328"/>
      <c r="AU209" s="328"/>
      <c r="AW209" s="328" t="str">
        <f>+"Noviembre "&amp;$I$6&amp;""</f>
        <v>Noviembre 2025</v>
      </c>
      <c r="AX209" s="328"/>
      <c r="AY209" s="328"/>
      <c r="BA209" s="328" t="str">
        <f>+"Diciembre "&amp;$I$6&amp;""</f>
        <v>Diciembre 2025</v>
      </c>
      <c r="BB209" s="328"/>
      <c r="BC209" s="328"/>
      <c r="BE209" s="328" t="str">
        <f>+"Acumulado "&amp;$I$6&amp;""</f>
        <v>Acumulado 2025</v>
      </c>
      <c r="BF209" s="328"/>
      <c r="BG209" s="328"/>
    </row>
    <row r="210" spans="1:59" ht="21" hidden="1" customHeight="1" x14ac:dyDescent="0.3">
      <c r="A210" s="11"/>
      <c r="B210" s="329"/>
      <c r="C210" s="329"/>
      <c r="D210" s="326"/>
      <c r="E210" s="321"/>
      <c r="F210" s="345"/>
      <c r="G210" s="346"/>
      <c r="H210" s="36"/>
      <c r="I210" s="221" t="s">
        <v>60</v>
      </c>
      <c r="J210" s="319" t="s">
        <v>61</v>
      </c>
      <c r="K210" s="221" t="s">
        <v>62</v>
      </c>
      <c r="L210" s="20"/>
      <c r="M210" s="221" t="s">
        <v>60</v>
      </c>
      <c r="N210" s="319" t="s">
        <v>61</v>
      </c>
      <c r="O210" s="221" t="s">
        <v>62</v>
      </c>
      <c r="P210" s="20"/>
      <c r="Q210" s="221" t="s">
        <v>60</v>
      </c>
      <c r="R210" s="319" t="s">
        <v>61</v>
      </c>
      <c r="S210" s="221" t="s">
        <v>62</v>
      </c>
      <c r="T210" s="20"/>
      <c r="U210" s="221" t="s">
        <v>60</v>
      </c>
      <c r="V210" s="319" t="s">
        <v>61</v>
      </c>
      <c r="W210" s="221" t="s">
        <v>62</v>
      </c>
      <c r="X210" s="20"/>
      <c r="Y210" s="221" t="s">
        <v>60</v>
      </c>
      <c r="Z210" s="319" t="s">
        <v>61</v>
      </c>
      <c r="AA210" s="221" t="s">
        <v>62</v>
      </c>
      <c r="AB210" s="20"/>
      <c r="AC210" s="221" t="s">
        <v>60</v>
      </c>
      <c r="AD210" s="319" t="s">
        <v>61</v>
      </c>
      <c r="AE210" s="221" t="s">
        <v>62</v>
      </c>
      <c r="AF210" s="20"/>
      <c r="AG210" s="221" t="s">
        <v>60</v>
      </c>
      <c r="AH210" s="319" t="s">
        <v>61</v>
      </c>
      <c r="AI210" s="221" t="s">
        <v>62</v>
      </c>
      <c r="AJ210" s="20"/>
      <c r="AK210" s="221" t="s">
        <v>60</v>
      </c>
      <c r="AL210" s="319" t="s">
        <v>61</v>
      </c>
      <c r="AM210" s="221" t="s">
        <v>62</v>
      </c>
      <c r="AN210" s="20"/>
      <c r="AO210" s="221" t="s">
        <v>60</v>
      </c>
      <c r="AP210" s="319" t="s">
        <v>61</v>
      </c>
      <c r="AQ210" s="221" t="s">
        <v>62</v>
      </c>
      <c r="AR210" s="20"/>
      <c r="AS210" s="221" t="s">
        <v>60</v>
      </c>
      <c r="AT210" s="319" t="s">
        <v>61</v>
      </c>
      <c r="AU210" s="221" t="s">
        <v>62</v>
      </c>
      <c r="AV210" s="20"/>
      <c r="AW210" s="221" t="s">
        <v>60</v>
      </c>
      <c r="AX210" s="319" t="s">
        <v>61</v>
      </c>
      <c r="AY210" s="221" t="s">
        <v>62</v>
      </c>
      <c r="AZ210" s="20"/>
      <c r="BA210" s="221" t="s">
        <v>60</v>
      </c>
      <c r="BB210" s="319" t="s">
        <v>61</v>
      </c>
      <c r="BC210" s="221" t="s">
        <v>62</v>
      </c>
      <c r="BD210" s="20"/>
      <c r="BE210" s="221" t="s">
        <v>60</v>
      </c>
      <c r="BF210" s="319" t="s">
        <v>61</v>
      </c>
      <c r="BG210" s="221" t="s">
        <v>62</v>
      </c>
    </row>
    <row r="211" spans="1:59" ht="21" hidden="1" customHeight="1" x14ac:dyDescent="0.3">
      <c r="A211" s="11"/>
      <c r="B211" s="329"/>
      <c r="C211" s="329"/>
      <c r="D211" s="327"/>
      <c r="E211" s="320"/>
      <c r="F211" s="347"/>
      <c r="G211" s="348"/>
      <c r="H211" s="36"/>
      <c r="I211" s="220" t="s">
        <v>998</v>
      </c>
      <c r="J211" s="320"/>
      <c r="K211" s="220" t="s">
        <v>999</v>
      </c>
      <c r="L211" s="20"/>
      <c r="M211" s="220" t="s">
        <v>998</v>
      </c>
      <c r="N211" s="320"/>
      <c r="O211" s="220" t="s">
        <v>999</v>
      </c>
      <c r="P211" s="20"/>
      <c r="Q211" s="220" t="s">
        <v>998</v>
      </c>
      <c r="R211" s="320"/>
      <c r="S211" s="220" t="s">
        <v>999</v>
      </c>
      <c r="T211" s="20"/>
      <c r="U211" s="220" t="s">
        <v>998</v>
      </c>
      <c r="V211" s="320"/>
      <c r="W211" s="220" t="s">
        <v>999</v>
      </c>
      <c r="X211" s="20"/>
      <c r="Y211" s="220" t="s">
        <v>998</v>
      </c>
      <c r="Z211" s="320"/>
      <c r="AA211" s="220" t="s">
        <v>999</v>
      </c>
      <c r="AB211" s="20"/>
      <c r="AC211" s="220" t="s">
        <v>998</v>
      </c>
      <c r="AD211" s="320"/>
      <c r="AE211" s="220" t="s">
        <v>999</v>
      </c>
      <c r="AF211" s="20"/>
      <c r="AG211" s="220" t="s">
        <v>998</v>
      </c>
      <c r="AH211" s="320"/>
      <c r="AI211" s="220" t="s">
        <v>999</v>
      </c>
      <c r="AJ211" s="20"/>
      <c r="AK211" s="220" t="s">
        <v>998</v>
      </c>
      <c r="AL211" s="320"/>
      <c r="AM211" s="220" t="s">
        <v>999</v>
      </c>
      <c r="AN211" s="20"/>
      <c r="AO211" s="220" t="s">
        <v>998</v>
      </c>
      <c r="AP211" s="320"/>
      <c r="AQ211" s="220" t="s">
        <v>999</v>
      </c>
      <c r="AR211" s="20"/>
      <c r="AS211" s="220" t="s">
        <v>998</v>
      </c>
      <c r="AT211" s="320"/>
      <c r="AU211" s="220" t="s">
        <v>999</v>
      </c>
      <c r="AV211" s="20"/>
      <c r="AW211" s="220" t="s">
        <v>998</v>
      </c>
      <c r="AX211" s="320"/>
      <c r="AY211" s="220" t="s">
        <v>999</v>
      </c>
      <c r="AZ211" s="20"/>
      <c r="BA211" s="220" t="s">
        <v>998</v>
      </c>
      <c r="BB211" s="320"/>
      <c r="BC211" s="220" t="s">
        <v>999</v>
      </c>
      <c r="BD211" s="20"/>
      <c r="BE211" s="220" t="s">
        <v>998</v>
      </c>
      <c r="BF211" s="320"/>
      <c r="BG211" s="220" t="s">
        <v>999</v>
      </c>
    </row>
    <row r="212" spans="1:59" ht="21" hidden="1" customHeight="1" x14ac:dyDescent="0.3">
      <c r="A212" s="11"/>
      <c r="B212" s="181"/>
      <c r="C212" s="34"/>
      <c r="D212" s="34"/>
      <c r="E212" s="34"/>
      <c r="F212" s="278" t="s">
        <v>911</v>
      </c>
      <c r="G212" s="279"/>
      <c r="H212" s="35"/>
      <c r="I212" s="34"/>
      <c r="J212" s="59">
        <f>IFERROR(+K212/I212,0)</f>
        <v>0</v>
      </c>
      <c r="K212" s="34"/>
      <c r="M212" s="34"/>
      <c r="N212" s="59">
        <f>IFERROR(+O212/M212,0)</f>
        <v>0</v>
      </c>
      <c r="O212" s="34"/>
      <c r="Q212" s="34"/>
      <c r="R212" s="59">
        <f>IFERROR(+S212/Q212,0)</f>
        <v>0</v>
      </c>
      <c r="S212" s="34"/>
      <c r="U212" s="34"/>
      <c r="V212" s="59">
        <f>IFERROR(+W212/U212,0)</f>
        <v>0</v>
      </c>
      <c r="W212" s="34"/>
      <c r="Y212" s="34"/>
      <c r="Z212" s="59">
        <f>IFERROR(+AA212/Y212,0)</f>
        <v>0</v>
      </c>
      <c r="AA212" s="34"/>
      <c r="AC212" s="34"/>
      <c r="AD212" s="59">
        <f>IFERROR(+AE212/AC212,0)</f>
        <v>0</v>
      </c>
      <c r="AE212" s="34"/>
      <c r="AG212" s="34"/>
      <c r="AH212" s="59">
        <f>IFERROR(+AI212/AG212,0)</f>
        <v>0</v>
      </c>
      <c r="AI212" s="34"/>
      <c r="AK212" s="34"/>
      <c r="AL212" s="59">
        <f>IFERROR(+AM212/AK212,0)</f>
        <v>0</v>
      </c>
      <c r="AM212" s="34"/>
      <c r="AO212" s="34"/>
      <c r="AP212" s="59">
        <f>IFERROR(+AQ212/AO212,0)</f>
        <v>0</v>
      </c>
      <c r="AQ212" s="34"/>
      <c r="AS212" s="34"/>
      <c r="AT212" s="59">
        <f>IFERROR(+AU212/AS212,0)</f>
        <v>0</v>
      </c>
      <c r="AU212" s="34"/>
      <c r="AW212" s="34"/>
      <c r="AX212" s="59">
        <f>IFERROR(+AY212/AW212,0)</f>
        <v>0</v>
      </c>
      <c r="AY212" s="34"/>
      <c r="BA212" s="34"/>
      <c r="BB212" s="59">
        <f>IFERROR(+BC212/BA212,0)</f>
        <v>0</v>
      </c>
      <c r="BC212" s="34"/>
      <c r="BE212" s="61">
        <f>+I212+M212+Q212++U212+Y212+AC212+AG212+AK212+AO212+AS212+AW212+BA212</f>
        <v>0</v>
      </c>
      <c r="BF212" s="60">
        <f>IFERROR(+BG212/BE212,0)</f>
        <v>0</v>
      </c>
      <c r="BG212" s="61">
        <f>+K212+O212+S212+W212+AA212+AE212+AI212+AM212+AQ212+AU212+AY212+BC212</f>
        <v>0</v>
      </c>
    </row>
    <row r="213" spans="1:59" ht="21" hidden="1" customHeight="1" x14ac:dyDescent="0.3">
      <c r="A213" s="11"/>
      <c r="B213" s="181"/>
      <c r="C213" s="34"/>
      <c r="D213" s="34"/>
      <c r="E213" s="34"/>
      <c r="F213" s="278" t="s">
        <v>911</v>
      </c>
      <c r="G213" s="279"/>
      <c r="H213" s="35"/>
      <c r="I213" s="34"/>
      <c r="J213" s="59">
        <f t="shared" ref="J213:J217" si="393">IFERROR(+K213/I213,0)</f>
        <v>0</v>
      </c>
      <c r="K213" s="34"/>
      <c r="M213" s="34"/>
      <c r="N213" s="59">
        <f t="shared" ref="N213:N217" si="394">IFERROR(+O213/M213,0)</f>
        <v>0</v>
      </c>
      <c r="O213" s="34"/>
      <c r="Q213" s="34"/>
      <c r="R213" s="59">
        <f t="shared" ref="R213:R217" si="395">IFERROR(+S213/Q213,0)</f>
        <v>0</v>
      </c>
      <c r="S213" s="34"/>
      <c r="U213" s="34"/>
      <c r="V213" s="59">
        <f t="shared" ref="V213:V217" si="396">IFERROR(+W213/U213,0)</f>
        <v>0</v>
      </c>
      <c r="W213" s="34"/>
      <c r="Y213" s="34"/>
      <c r="Z213" s="59">
        <f t="shared" ref="Z213:Z217" si="397">IFERROR(+AA213/Y213,0)</f>
        <v>0</v>
      </c>
      <c r="AA213" s="34"/>
      <c r="AC213" s="34"/>
      <c r="AD213" s="59">
        <f t="shared" ref="AD213:AD217" si="398">IFERROR(+AE213/AC213,0)</f>
        <v>0</v>
      </c>
      <c r="AE213" s="34"/>
      <c r="AG213" s="34"/>
      <c r="AH213" s="59">
        <f t="shared" ref="AH213:AH217" si="399">IFERROR(+AI213/AG213,0)</f>
        <v>0</v>
      </c>
      <c r="AI213" s="34"/>
      <c r="AK213" s="34"/>
      <c r="AL213" s="59">
        <f t="shared" ref="AL213:AL217" si="400">IFERROR(+AM213/AK213,0)</f>
        <v>0</v>
      </c>
      <c r="AM213" s="34"/>
      <c r="AO213" s="34"/>
      <c r="AP213" s="59">
        <f t="shared" ref="AP213:AP217" si="401">IFERROR(+AQ213/AO213,0)</f>
        <v>0</v>
      </c>
      <c r="AQ213" s="34"/>
      <c r="AS213" s="34"/>
      <c r="AT213" s="59">
        <f t="shared" ref="AT213:AT217" si="402">IFERROR(+AU213/AS213,0)</f>
        <v>0</v>
      </c>
      <c r="AU213" s="34"/>
      <c r="AW213" s="34"/>
      <c r="AX213" s="59">
        <f t="shared" ref="AX213:AX217" si="403">IFERROR(+AY213/AW213,0)</f>
        <v>0</v>
      </c>
      <c r="AY213" s="34"/>
      <c r="BA213" s="34"/>
      <c r="BB213" s="59">
        <f t="shared" ref="BB213:BB217" si="404">IFERROR(+BC213/BA213,0)</f>
        <v>0</v>
      </c>
      <c r="BC213" s="34"/>
      <c r="BE213" s="61">
        <f t="shared" ref="BE213:BE217" si="405">+I213+M213+Q213++U213+Y213+AC213+AG213+AK213+AO213+AS213+AW213+BA213</f>
        <v>0</v>
      </c>
      <c r="BF213" s="60">
        <f t="shared" ref="BF213:BF217" si="406">IFERROR(+BG213/BE213,0)</f>
        <v>0</v>
      </c>
      <c r="BG213" s="61">
        <f t="shared" ref="BG213:BG217" si="407">+K213+O213+S213+W213+AA213+AE213+AI213+AM213+AQ213+AU213+AY213+BC213</f>
        <v>0</v>
      </c>
    </row>
    <row r="214" spans="1:59" ht="21" hidden="1" customHeight="1" x14ac:dyDescent="0.3">
      <c r="A214" s="11"/>
      <c r="B214" s="181"/>
      <c r="C214" s="34"/>
      <c r="D214" s="34"/>
      <c r="E214" s="34"/>
      <c r="F214" s="278" t="s">
        <v>911</v>
      </c>
      <c r="G214" s="279"/>
      <c r="H214" s="35"/>
      <c r="I214" s="34"/>
      <c r="J214" s="59">
        <f t="shared" si="393"/>
        <v>0</v>
      </c>
      <c r="K214" s="34"/>
      <c r="M214" s="34"/>
      <c r="N214" s="59">
        <f t="shared" si="394"/>
        <v>0</v>
      </c>
      <c r="O214" s="34"/>
      <c r="Q214" s="34"/>
      <c r="R214" s="59">
        <f t="shared" si="395"/>
        <v>0</v>
      </c>
      <c r="S214" s="34"/>
      <c r="U214" s="34"/>
      <c r="V214" s="59">
        <f t="shared" si="396"/>
        <v>0</v>
      </c>
      <c r="W214" s="34"/>
      <c r="Y214" s="34"/>
      <c r="Z214" s="59">
        <f t="shared" si="397"/>
        <v>0</v>
      </c>
      <c r="AA214" s="34"/>
      <c r="AC214" s="34"/>
      <c r="AD214" s="59">
        <f t="shared" si="398"/>
        <v>0</v>
      </c>
      <c r="AE214" s="34"/>
      <c r="AG214" s="34"/>
      <c r="AH214" s="59">
        <f t="shared" si="399"/>
        <v>0</v>
      </c>
      <c r="AI214" s="34"/>
      <c r="AK214" s="34"/>
      <c r="AL214" s="59">
        <f t="shared" si="400"/>
        <v>0</v>
      </c>
      <c r="AM214" s="34"/>
      <c r="AO214" s="34"/>
      <c r="AP214" s="59">
        <f t="shared" si="401"/>
        <v>0</v>
      </c>
      <c r="AQ214" s="34"/>
      <c r="AS214" s="34"/>
      <c r="AT214" s="59">
        <f t="shared" si="402"/>
        <v>0</v>
      </c>
      <c r="AU214" s="34"/>
      <c r="AW214" s="34"/>
      <c r="AX214" s="59">
        <f t="shared" si="403"/>
        <v>0</v>
      </c>
      <c r="AY214" s="34"/>
      <c r="BA214" s="34"/>
      <c r="BB214" s="59">
        <f t="shared" si="404"/>
        <v>0</v>
      </c>
      <c r="BC214" s="34"/>
      <c r="BE214" s="61">
        <f t="shared" si="405"/>
        <v>0</v>
      </c>
      <c r="BF214" s="60">
        <f t="shared" si="406"/>
        <v>0</v>
      </c>
      <c r="BG214" s="61">
        <f t="shared" si="407"/>
        <v>0</v>
      </c>
    </row>
    <row r="215" spans="1:59" ht="21" hidden="1" customHeight="1" x14ac:dyDescent="0.3">
      <c r="A215" s="11"/>
      <c r="B215" s="181"/>
      <c r="C215" s="34"/>
      <c r="D215" s="34"/>
      <c r="E215" s="34"/>
      <c r="F215" s="278" t="s">
        <v>911</v>
      </c>
      <c r="G215" s="279"/>
      <c r="H215" s="35"/>
      <c r="I215" s="34"/>
      <c r="J215" s="59">
        <f t="shared" si="393"/>
        <v>0</v>
      </c>
      <c r="K215" s="34"/>
      <c r="M215" s="34"/>
      <c r="N215" s="59">
        <f t="shared" si="394"/>
        <v>0</v>
      </c>
      <c r="O215" s="34"/>
      <c r="Q215" s="34"/>
      <c r="R215" s="59">
        <f t="shared" si="395"/>
        <v>0</v>
      </c>
      <c r="S215" s="34"/>
      <c r="U215" s="34"/>
      <c r="V215" s="59">
        <f t="shared" si="396"/>
        <v>0</v>
      </c>
      <c r="W215" s="34"/>
      <c r="Y215" s="34"/>
      <c r="Z215" s="59">
        <f t="shared" si="397"/>
        <v>0</v>
      </c>
      <c r="AA215" s="34"/>
      <c r="AC215" s="34"/>
      <c r="AD215" s="59">
        <f t="shared" si="398"/>
        <v>0</v>
      </c>
      <c r="AE215" s="34"/>
      <c r="AG215" s="34"/>
      <c r="AH215" s="59">
        <f t="shared" si="399"/>
        <v>0</v>
      </c>
      <c r="AI215" s="34"/>
      <c r="AK215" s="34"/>
      <c r="AL215" s="59">
        <f t="shared" si="400"/>
        <v>0</v>
      </c>
      <c r="AM215" s="34"/>
      <c r="AO215" s="34"/>
      <c r="AP215" s="59">
        <f t="shared" si="401"/>
        <v>0</v>
      </c>
      <c r="AQ215" s="34"/>
      <c r="AS215" s="34"/>
      <c r="AT215" s="59">
        <f t="shared" si="402"/>
        <v>0</v>
      </c>
      <c r="AU215" s="34"/>
      <c r="AW215" s="34"/>
      <c r="AX215" s="59">
        <f t="shared" si="403"/>
        <v>0</v>
      </c>
      <c r="AY215" s="34"/>
      <c r="BA215" s="34"/>
      <c r="BB215" s="59">
        <f t="shared" si="404"/>
        <v>0</v>
      </c>
      <c r="BC215" s="34"/>
      <c r="BE215" s="61">
        <f t="shared" si="405"/>
        <v>0</v>
      </c>
      <c r="BF215" s="60">
        <f t="shared" si="406"/>
        <v>0</v>
      </c>
      <c r="BG215" s="61">
        <f t="shared" si="407"/>
        <v>0</v>
      </c>
    </row>
    <row r="216" spans="1:59" ht="21" hidden="1" customHeight="1" x14ac:dyDescent="0.3">
      <c r="A216" s="11"/>
      <c r="B216" s="181"/>
      <c r="C216" s="34"/>
      <c r="D216" s="34"/>
      <c r="E216" s="34"/>
      <c r="F216" s="278" t="s">
        <v>911</v>
      </c>
      <c r="G216" s="279"/>
      <c r="H216" s="35"/>
      <c r="I216" s="34"/>
      <c r="J216" s="59">
        <f t="shared" si="393"/>
        <v>0</v>
      </c>
      <c r="K216" s="34"/>
      <c r="M216" s="34"/>
      <c r="N216" s="59">
        <f t="shared" si="394"/>
        <v>0</v>
      </c>
      <c r="O216" s="34"/>
      <c r="Q216" s="34"/>
      <c r="R216" s="59">
        <f t="shared" si="395"/>
        <v>0</v>
      </c>
      <c r="S216" s="34"/>
      <c r="U216" s="34"/>
      <c r="V216" s="59">
        <f t="shared" si="396"/>
        <v>0</v>
      </c>
      <c r="W216" s="34"/>
      <c r="Y216" s="34"/>
      <c r="Z216" s="59">
        <f t="shared" si="397"/>
        <v>0</v>
      </c>
      <c r="AA216" s="34"/>
      <c r="AC216" s="34"/>
      <c r="AD216" s="59">
        <f t="shared" si="398"/>
        <v>0</v>
      </c>
      <c r="AE216" s="34"/>
      <c r="AG216" s="34"/>
      <c r="AH216" s="59">
        <f t="shared" si="399"/>
        <v>0</v>
      </c>
      <c r="AI216" s="34"/>
      <c r="AK216" s="34"/>
      <c r="AL216" s="59">
        <f t="shared" si="400"/>
        <v>0</v>
      </c>
      <c r="AM216" s="34"/>
      <c r="AO216" s="34"/>
      <c r="AP216" s="59">
        <f t="shared" si="401"/>
        <v>0</v>
      </c>
      <c r="AQ216" s="34"/>
      <c r="AS216" s="34"/>
      <c r="AT216" s="59">
        <f t="shared" si="402"/>
        <v>0</v>
      </c>
      <c r="AU216" s="34"/>
      <c r="AW216" s="34"/>
      <c r="AX216" s="59">
        <f t="shared" si="403"/>
        <v>0</v>
      </c>
      <c r="AY216" s="34"/>
      <c r="BA216" s="34"/>
      <c r="BB216" s="59">
        <f t="shared" si="404"/>
        <v>0</v>
      </c>
      <c r="BC216" s="34"/>
      <c r="BE216" s="61">
        <f t="shared" si="405"/>
        <v>0</v>
      </c>
      <c r="BF216" s="60">
        <f t="shared" si="406"/>
        <v>0</v>
      </c>
      <c r="BG216" s="61">
        <f t="shared" si="407"/>
        <v>0</v>
      </c>
    </row>
    <row r="217" spans="1:59" ht="21" hidden="1" customHeight="1" x14ac:dyDescent="0.3">
      <c r="A217" s="11"/>
      <c r="B217" s="181"/>
      <c r="C217" s="34"/>
      <c r="D217" s="34"/>
      <c r="E217" s="34"/>
      <c r="F217" s="278" t="s">
        <v>911</v>
      </c>
      <c r="G217" s="279"/>
      <c r="H217" s="35"/>
      <c r="I217" s="34"/>
      <c r="J217" s="59">
        <f t="shared" si="393"/>
        <v>0</v>
      </c>
      <c r="K217" s="34"/>
      <c r="M217" s="34"/>
      <c r="N217" s="59">
        <f t="shared" si="394"/>
        <v>0</v>
      </c>
      <c r="O217" s="34"/>
      <c r="Q217" s="34"/>
      <c r="R217" s="59">
        <f t="shared" si="395"/>
        <v>0</v>
      </c>
      <c r="S217" s="34"/>
      <c r="U217" s="34"/>
      <c r="V217" s="59">
        <f t="shared" si="396"/>
        <v>0</v>
      </c>
      <c r="W217" s="34"/>
      <c r="Y217" s="34"/>
      <c r="Z217" s="59">
        <f t="shared" si="397"/>
        <v>0</v>
      </c>
      <c r="AA217" s="34"/>
      <c r="AC217" s="34"/>
      <c r="AD217" s="59">
        <f t="shared" si="398"/>
        <v>0</v>
      </c>
      <c r="AE217" s="34"/>
      <c r="AG217" s="34"/>
      <c r="AH217" s="59">
        <f t="shared" si="399"/>
        <v>0</v>
      </c>
      <c r="AI217" s="34"/>
      <c r="AK217" s="34"/>
      <c r="AL217" s="59">
        <f t="shared" si="400"/>
        <v>0</v>
      </c>
      <c r="AM217" s="34"/>
      <c r="AO217" s="34"/>
      <c r="AP217" s="59">
        <f t="shared" si="401"/>
        <v>0</v>
      </c>
      <c r="AQ217" s="34"/>
      <c r="AS217" s="34"/>
      <c r="AT217" s="59">
        <f t="shared" si="402"/>
        <v>0</v>
      </c>
      <c r="AU217" s="34"/>
      <c r="AW217" s="34"/>
      <c r="AX217" s="59">
        <f t="shared" si="403"/>
        <v>0</v>
      </c>
      <c r="AY217" s="34"/>
      <c r="BA217" s="34"/>
      <c r="BB217" s="59">
        <f t="shared" si="404"/>
        <v>0</v>
      </c>
      <c r="BC217" s="34"/>
      <c r="BE217" s="61">
        <f t="shared" si="405"/>
        <v>0</v>
      </c>
      <c r="BF217" s="60">
        <f t="shared" si="406"/>
        <v>0</v>
      </c>
      <c r="BG217" s="61">
        <f t="shared" si="407"/>
        <v>0</v>
      </c>
    </row>
    <row r="218" spans="1:59" ht="21" hidden="1" customHeight="1" x14ac:dyDescent="0.3">
      <c r="A218" s="11"/>
      <c r="B218" s="181"/>
      <c r="C218" s="34"/>
      <c r="D218" s="34"/>
      <c r="E218" s="34"/>
      <c r="F218" s="228" t="s">
        <v>911</v>
      </c>
      <c r="G218" s="229"/>
      <c r="H218" s="35"/>
      <c r="I218" s="34"/>
      <c r="J218" s="59">
        <f>IFERROR(+K218/I218,0)</f>
        <v>0</v>
      </c>
      <c r="K218" s="34"/>
      <c r="M218" s="34"/>
      <c r="N218" s="59">
        <f>IFERROR(+O218/M218,0)</f>
        <v>0</v>
      </c>
      <c r="O218" s="34"/>
      <c r="Q218" s="34"/>
      <c r="R218" s="59">
        <f>IFERROR(+S218/Q218,0)</f>
        <v>0</v>
      </c>
      <c r="S218" s="34"/>
      <c r="U218" s="34"/>
      <c r="V218" s="59">
        <f>IFERROR(+W218/U218,0)</f>
        <v>0</v>
      </c>
      <c r="W218" s="34"/>
      <c r="Y218" s="34"/>
      <c r="Z218" s="59">
        <f>IFERROR(+AA218/Y218,0)</f>
        <v>0</v>
      </c>
      <c r="AA218" s="34"/>
      <c r="AC218" s="34"/>
      <c r="AD218" s="59">
        <f>IFERROR(+AE218/AC218,0)</f>
        <v>0</v>
      </c>
      <c r="AE218" s="34"/>
      <c r="AG218" s="34"/>
      <c r="AH218" s="59">
        <f>IFERROR(+AI218/AG218,0)</f>
        <v>0</v>
      </c>
      <c r="AI218" s="34"/>
      <c r="AK218" s="34"/>
      <c r="AL218" s="59">
        <f>IFERROR(+AM218/AK218,0)</f>
        <v>0</v>
      </c>
      <c r="AM218" s="34"/>
      <c r="AO218" s="34"/>
      <c r="AP218" s="59">
        <f>IFERROR(+AQ218/AO218,0)</f>
        <v>0</v>
      </c>
      <c r="AQ218" s="34"/>
      <c r="AS218" s="34"/>
      <c r="AT218" s="59">
        <f>IFERROR(+AU218/AS218,0)</f>
        <v>0</v>
      </c>
      <c r="AU218" s="34"/>
      <c r="AW218" s="34"/>
      <c r="AX218" s="59">
        <f>IFERROR(+AY218/AW218,0)</f>
        <v>0</v>
      </c>
      <c r="AY218" s="34"/>
      <c r="BA218" s="34"/>
      <c r="BB218" s="59">
        <f>IFERROR(+BC218/BA218,0)</f>
        <v>0</v>
      </c>
      <c r="BC218" s="34"/>
      <c r="BE218" s="61">
        <f>+I218+M218+Q218++U218+Y218+AC218+AG218+AK218+AO218+AS218+AW218+BA218</f>
        <v>0</v>
      </c>
      <c r="BF218" s="60">
        <f>IFERROR(+BG218/BE218,0)</f>
        <v>0</v>
      </c>
      <c r="BG218" s="61">
        <f>+K218+O218+S218+W218+AA218+AE218+AI218+AM218+AQ218+AU218+AY218+BC218</f>
        <v>0</v>
      </c>
    </row>
    <row r="219" spans="1:59" ht="21" hidden="1" customHeight="1" x14ac:dyDescent="0.3">
      <c r="A219" s="11"/>
      <c r="B219" s="330" t="s">
        <v>227</v>
      </c>
      <c r="C219" s="331"/>
      <c r="D219" s="331"/>
      <c r="E219" s="331"/>
      <c r="F219" s="331"/>
      <c r="G219" s="332"/>
      <c r="H219" s="35"/>
      <c r="I219" s="61">
        <f>SUM(I212:I218)</f>
        <v>0</v>
      </c>
      <c r="J219" s="60">
        <f t="shared" ref="J219" si="408">IFERROR(+K219/I219,0)</f>
        <v>0</v>
      </c>
      <c r="K219" s="61">
        <f>SUM(K212:K218)</f>
        <v>0</v>
      </c>
      <c r="M219" s="61">
        <f>SUM(M212:M218)</f>
        <v>0</v>
      </c>
      <c r="N219" s="60">
        <f t="shared" ref="N219" si="409">IFERROR(+O219/M219,0)</f>
        <v>0</v>
      </c>
      <c r="O219" s="61">
        <f>SUM(O212:O218)</f>
        <v>0</v>
      </c>
      <c r="Q219" s="61">
        <f>SUM(Q212:Q218)</f>
        <v>0</v>
      </c>
      <c r="R219" s="60">
        <f t="shared" ref="R219" si="410">IFERROR(+S219/Q219,0)</f>
        <v>0</v>
      </c>
      <c r="S219" s="61">
        <f>SUM(S212:S218)</f>
        <v>0</v>
      </c>
      <c r="U219" s="61">
        <f>SUM(U212:U218)</f>
        <v>0</v>
      </c>
      <c r="V219" s="60">
        <f t="shared" ref="V219" si="411">IFERROR(+W219/U219,0)</f>
        <v>0</v>
      </c>
      <c r="W219" s="61">
        <f>SUM(W212:W218)</f>
        <v>0</v>
      </c>
      <c r="Y219" s="61">
        <f>SUM(Y212:Y218)</f>
        <v>0</v>
      </c>
      <c r="Z219" s="60">
        <f t="shared" ref="Z219" si="412">IFERROR(+AA219/Y219,0)</f>
        <v>0</v>
      </c>
      <c r="AA219" s="61">
        <f>SUM(AA212:AA218)</f>
        <v>0</v>
      </c>
      <c r="AC219" s="61">
        <f>SUM(AC212:AC218)</f>
        <v>0</v>
      </c>
      <c r="AD219" s="60">
        <f t="shared" ref="AD219" si="413">IFERROR(+AE219/AC219,0)</f>
        <v>0</v>
      </c>
      <c r="AE219" s="61">
        <f>SUM(AE212:AE218)</f>
        <v>0</v>
      </c>
      <c r="AG219" s="61">
        <f>SUM(AG212:AG218)</f>
        <v>0</v>
      </c>
      <c r="AH219" s="60">
        <f t="shared" ref="AH219" si="414">IFERROR(+AI219/AG219,0)</f>
        <v>0</v>
      </c>
      <c r="AI219" s="61">
        <f>SUM(AI212:AI218)</f>
        <v>0</v>
      </c>
      <c r="AK219" s="61">
        <f>SUM(AK212:AK218)</f>
        <v>0</v>
      </c>
      <c r="AL219" s="60">
        <f t="shared" ref="AL219" si="415">IFERROR(+AM219/AK219,0)</f>
        <v>0</v>
      </c>
      <c r="AM219" s="61">
        <f>SUM(AM212:AM218)</f>
        <v>0</v>
      </c>
      <c r="AO219" s="61">
        <f>SUM(AO212:AO218)</f>
        <v>0</v>
      </c>
      <c r="AP219" s="60">
        <f t="shared" ref="AP219" si="416">IFERROR(+AQ219/AO219,0)</f>
        <v>0</v>
      </c>
      <c r="AQ219" s="61">
        <f>SUM(AQ212:AQ218)</f>
        <v>0</v>
      </c>
      <c r="AS219" s="61">
        <f>SUM(AS212:AS218)</f>
        <v>0</v>
      </c>
      <c r="AT219" s="60">
        <f t="shared" ref="AT219" si="417">IFERROR(+AU219/AS219,0)</f>
        <v>0</v>
      </c>
      <c r="AU219" s="61">
        <f>SUM(AU212:AU218)</f>
        <v>0</v>
      </c>
      <c r="AW219" s="61">
        <f>SUM(AW212:AW218)</f>
        <v>0</v>
      </c>
      <c r="AX219" s="60">
        <f t="shared" ref="AX219" si="418">IFERROR(+AY219/AW219,0)</f>
        <v>0</v>
      </c>
      <c r="AY219" s="61">
        <f>SUM(AY212:AY218)</f>
        <v>0</v>
      </c>
      <c r="BA219" s="61">
        <f>SUM(BA212:BA218)</f>
        <v>0</v>
      </c>
      <c r="BB219" s="60">
        <f t="shared" ref="BB219" si="419">IFERROR(+BC219/BA219,0)</f>
        <v>0</v>
      </c>
      <c r="BC219" s="61">
        <f>SUM(BC212:BC218)</f>
        <v>0</v>
      </c>
      <c r="BE219" s="61">
        <f>SUM(BE212:BE218)</f>
        <v>0</v>
      </c>
      <c r="BF219" s="60">
        <f t="shared" ref="BF219" si="420">IFERROR(+BG219/BE219,0)</f>
        <v>0</v>
      </c>
      <c r="BG219" s="61">
        <f>SUM(BG212:BG218)</f>
        <v>0</v>
      </c>
    </row>
    <row r="220" spans="1:59" hidden="1" x14ac:dyDescent="0.3"/>
    <row r="221" spans="1:59" ht="36" customHeight="1" x14ac:dyDescent="0.3">
      <c r="B221" s="349" t="s">
        <v>737</v>
      </c>
      <c r="C221" s="349"/>
      <c r="D221" s="349"/>
      <c r="E221" s="349"/>
      <c r="F221" s="349"/>
      <c r="G221" s="349"/>
      <c r="H221" s="349"/>
      <c r="I221" s="349"/>
      <c r="J221" s="349"/>
    </row>
    <row r="223" spans="1:59" ht="36" hidden="1" customHeight="1" x14ac:dyDescent="0.3">
      <c r="A223" s="11"/>
      <c r="B223" s="318" t="s">
        <v>738</v>
      </c>
      <c r="C223" s="318"/>
      <c r="D223" s="318"/>
      <c r="E223" s="318"/>
      <c r="F223" s="318"/>
      <c r="G223" s="318"/>
      <c r="H223" s="318"/>
      <c r="I223" s="318"/>
      <c r="J223" s="318"/>
    </row>
    <row r="224" spans="1:59" hidden="1" x14ac:dyDescent="0.3"/>
    <row r="225" spans="1:59" ht="21" hidden="1" customHeight="1" x14ac:dyDescent="0.3">
      <c r="A225" s="11"/>
      <c r="B225" s="312" t="s">
        <v>894</v>
      </c>
      <c r="C225" s="312" t="s">
        <v>895</v>
      </c>
      <c r="D225" s="281" t="s">
        <v>235</v>
      </c>
      <c r="E225" s="302" t="s">
        <v>232</v>
      </c>
      <c r="F225" s="302" t="s">
        <v>233</v>
      </c>
      <c r="G225" s="299" t="s">
        <v>234</v>
      </c>
      <c r="H225" s="36"/>
      <c r="I225" s="301" t="str">
        <f>+"Enero "&amp;$I$6&amp;""</f>
        <v>Enero 2025</v>
      </c>
      <c r="J225" s="301"/>
      <c r="K225" s="301"/>
      <c r="M225" s="301" t="str">
        <f>+"Febrero "&amp;$I$6&amp;""</f>
        <v>Febrero 2025</v>
      </c>
      <c r="N225" s="301"/>
      <c r="O225" s="301"/>
      <c r="Q225" s="301" t="str">
        <f>+"Marzo "&amp;$I$6&amp;""</f>
        <v>Marzo 2025</v>
      </c>
      <c r="R225" s="301"/>
      <c r="S225" s="301"/>
      <c r="U225" s="301" t="str">
        <f>+"Abril "&amp;$I$6&amp;""</f>
        <v>Abril 2025</v>
      </c>
      <c r="V225" s="301"/>
      <c r="W225" s="301"/>
      <c r="Y225" s="301" t="str">
        <f>+"Mayo "&amp;$I$6&amp;""</f>
        <v>Mayo 2025</v>
      </c>
      <c r="Z225" s="301"/>
      <c r="AA225" s="301"/>
      <c r="AC225" s="301" t="str">
        <f>+"Junio "&amp;$I$6&amp;""</f>
        <v>Junio 2025</v>
      </c>
      <c r="AD225" s="301"/>
      <c r="AE225" s="301"/>
      <c r="AG225" s="301" t="str">
        <f>+"Julio "&amp;$I$6&amp;""</f>
        <v>Julio 2025</v>
      </c>
      <c r="AH225" s="301"/>
      <c r="AI225" s="301"/>
      <c r="AK225" s="301" t="str">
        <f>+"Agosto "&amp;$I$6&amp;""</f>
        <v>Agosto 2025</v>
      </c>
      <c r="AL225" s="301"/>
      <c r="AM225" s="301"/>
      <c r="AO225" s="301" t="str">
        <f>+"Septiembre "&amp;$I$6&amp;""</f>
        <v>Septiembre 2025</v>
      </c>
      <c r="AP225" s="301"/>
      <c r="AQ225" s="301"/>
      <c r="AS225" s="301" t="str">
        <f>+"Octubre "&amp;$I$6&amp;""</f>
        <v>Octubre 2025</v>
      </c>
      <c r="AT225" s="301"/>
      <c r="AU225" s="301"/>
      <c r="AW225" s="301" t="str">
        <f>+"Noviembre "&amp;$I$6&amp;""</f>
        <v>Noviembre 2025</v>
      </c>
      <c r="AX225" s="301"/>
      <c r="AY225" s="301"/>
      <c r="BA225" s="301" t="str">
        <f>+"Diciembre "&amp;$I$6&amp;""</f>
        <v>Diciembre 2025</v>
      </c>
      <c r="BB225" s="301"/>
      <c r="BC225" s="301"/>
      <c r="BE225" s="301" t="str">
        <f>+"Acumulado "&amp;$I$6&amp;""</f>
        <v>Acumulado 2025</v>
      </c>
      <c r="BF225" s="301"/>
      <c r="BG225" s="301"/>
    </row>
    <row r="226" spans="1:59" ht="21" hidden="1" customHeight="1" x14ac:dyDescent="0.3">
      <c r="A226" s="11"/>
      <c r="B226" s="312"/>
      <c r="C226" s="312"/>
      <c r="D226" s="282"/>
      <c r="E226" s="303"/>
      <c r="F226" s="303"/>
      <c r="G226" s="317"/>
      <c r="H226" s="36"/>
      <c r="I226" s="223" t="s">
        <v>60</v>
      </c>
      <c r="J226" s="299" t="s">
        <v>61</v>
      </c>
      <c r="K226" s="223" t="s">
        <v>62</v>
      </c>
      <c r="L226" s="20"/>
      <c r="M226" s="223" t="s">
        <v>60</v>
      </c>
      <c r="N226" s="299" t="s">
        <v>61</v>
      </c>
      <c r="O226" s="223" t="s">
        <v>62</v>
      </c>
      <c r="P226" s="20"/>
      <c r="Q226" s="223" t="s">
        <v>60</v>
      </c>
      <c r="R226" s="299" t="s">
        <v>61</v>
      </c>
      <c r="S226" s="223" t="s">
        <v>62</v>
      </c>
      <c r="T226" s="20"/>
      <c r="U226" s="223" t="s">
        <v>60</v>
      </c>
      <c r="V226" s="299" t="s">
        <v>61</v>
      </c>
      <c r="W226" s="223" t="s">
        <v>62</v>
      </c>
      <c r="X226" s="20"/>
      <c r="Y226" s="223" t="s">
        <v>60</v>
      </c>
      <c r="Z226" s="299" t="s">
        <v>61</v>
      </c>
      <c r="AA226" s="223" t="s">
        <v>62</v>
      </c>
      <c r="AB226" s="20"/>
      <c r="AC226" s="223" t="s">
        <v>60</v>
      </c>
      <c r="AD226" s="299" t="s">
        <v>61</v>
      </c>
      <c r="AE226" s="223" t="s">
        <v>62</v>
      </c>
      <c r="AF226" s="20"/>
      <c r="AG226" s="223" t="s">
        <v>60</v>
      </c>
      <c r="AH226" s="299" t="s">
        <v>61</v>
      </c>
      <c r="AI226" s="223" t="s">
        <v>62</v>
      </c>
      <c r="AJ226" s="20"/>
      <c r="AK226" s="223" t="s">
        <v>60</v>
      </c>
      <c r="AL226" s="299" t="s">
        <v>61</v>
      </c>
      <c r="AM226" s="223" t="s">
        <v>62</v>
      </c>
      <c r="AN226" s="20"/>
      <c r="AO226" s="223" t="s">
        <v>60</v>
      </c>
      <c r="AP226" s="299" t="s">
        <v>61</v>
      </c>
      <c r="AQ226" s="223" t="s">
        <v>62</v>
      </c>
      <c r="AR226" s="20"/>
      <c r="AS226" s="223" t="s">
        <v>60</v>
      </c>
      <c r="AT226" s="299" t="s">
        <v>61</v>
      </c>
      <c r="AU226" s="223" t="s">
        <v>62</v>
      </c>
      <c r="AV226" s="20"/>
      <c r="AW226" s="223" t="s">
        <v>60</v>
      </c>
      <c r="AX226" s="299" t="s">
        <v>61</v>
      </c>
      <c r="AY226" s="223" t="s">
        <v>62</v>
      </c>
      <c r="AZ226" s="20"/>
      <c r="BA226" s="223" t="s">
        <v>60</v>
      </c>
      <c r="BB226" s="299" t="s">
        <v>61</v>
      </c>
      <c r="BC226" s="223" t="s">
        <v>62</v>
      </c>
      <c r="BD226" s="20"/>
      <c r="BE226" s="223" t="s">
        <v>60</v>
      </c>
      <c r="BF226" s="299" t="s">
        <v>61</v>
      </c>
      <c r="BG226" s="223" t="s">
        <v>62</v>
      </c>
    </row>
    <row r="227" spans="1:59" ht="21" hidden="1" customHeight="1" x14ac:dyDescent="0.3">
      <c r="A227" s="11"/>
      <c r="B227" s="312"/>
      <c r="C227" s="312"/>
      <c r="D227" s="283"/>
      <c r="E227" s="304"/>
      <c r="F227" s="304"/>
      <c r="G227" s="300"/>
      <c r="H227" s="36"/>
      <c r="I227" s="224" t="s">
        <v>1000</v>
      </c>
      <c r="J227" s="300"/>
      <c r="K227" s="224" t="s">
        <v>1001</v>
      </c>
      <c r="L227" s="20"/>
      <c r="M227" s="224" t="s">
        <v>1000</v>
      </c>
      <c r="N227" s="300"/>
      <c r="O227" s="224" t="s">
        <v>1001</v>
      </c>
      <c r="P227" s="20"/>
      <c r="Q227" s="224" t="s">
        <v>1000</v>
      </c>
      <c r="R227" s="300"/>
      <c r="S227" s="224" t="s">
        <v>1001</v>
      </c>
      <c r="T227" s="20"/>
      <c r="U227" s="224" t="s">
        <v>1000</v>
      </c>
      <c r="V227" s="300"/>
      <c r="W227" s="224" t="s">
        <v>1001</v>
      </c>
      <c r="X227" s="20"/>
      <c r="Y227" s="224" t="s">
        <v>1000</v>
      </c>
      <c r="Z227" s="300"/>
      <c r="AA227" s="224" t="s">
        <v>1001</v>
      </c>
      <c r="AB227" s="20"/>
      <c r="AC227" s="224" t="s">
        <v>1000</v>
      </c>
      <c r="AD227" s="300"/>
      <c r="AE227" s="224" t="s">
        <v>1001</v>
      </c>
      <c r="AF227" s="20"/>
      <c r="AG227" s="224" t="s">
        <v>1000</v>
      </c>
      <c r="AH227" s="300"/>
      <c r="AI227" s="224" t="s">
        <v>1001</v>
      </c>
      <c r="AJ227" s="20"/>
      <c r="AK227" s="224" t="s">
        <v>1000</v>
      </c>
      <c r="AL227" s="300"/>
      <c r="AM227" s="224" t="s">
        <v>1001</v>
      </c>
      <c r="AN227" s="20"/>
      <c r="AO227" s="224" t="s">
        <v>1000</v>
      </c>
      <c r="AP227" s="300"/>
      <c r="AQ227" s="224" t="s">
        <v>1001</v>
      </c>
      <c r="AR227" s="20"/>
      <c r="AS227" s="224" t="s">
        <v>1000</v>
      </c>
      <c r="AT227" s="300"/>
      <c r="AU227" s="224" t="s">
        <v>1001</v>
      </c>
      <c r="AV227" s="20"/>
      <c r="AW227" s="224" t="s">
        <v>1000</v>
      </c>
      <c r="AX227" s="300"/>
      <c r="AY227" s="224" t="s">
        <v>1001</v>
      </c>
      <c r="AZ227" s="20"/>
      <c r="BA227" s="224" t="s">
        <v>1000</v>
      </c>
      <c r="BB227" s="300"/>
      <c r="BC227" s="224" t="s">
        <v>1001</v>
      </c>
      <c r="BD227" s="20"/>
      <c r="BE227" s="224" t="s">
        <v>1000</v>
      </c>
      <c r="BF227" s="300"/>
      <c r="BG227" s="224" t="s">
        <v>1001</v>
      </c>
    </row>
    <row r="228" spans="1:59" ht="21" hidden="1" customHeight="1" x14ac:dyDescent="0.3">
      <c r="A228" s="11"/>
      <c r="B228" s="181"/>
      <c r="C228" s="34"/>
      <c r="D228" s="34"/>
      <c r="E228" s="34"/>
      <c r="F228" s="34"/>
      <c r="G228" s="64" t="str">
        <f>IFERROR(+VLOOKUP(F228,Datos!$P:$Q,2,0),"")</f>
        <v/>
      </c>
      <c r="H228" s="35"/>
      <c r="I228" s="34"/>
      <c r="J228" s="66">
        <f>IFERROR(+K228/I228,0)</f>
        <v>0</v>
      </c>
      <c r="K228" s="34"/>
      <c r="M228" s="34"/>
      <c r="N228" s="66">
        <f>IFERROR(+O228/M228,0)</f>
        <v>0</v>
      </c>
      <c r="O228" s="34"/>
      <c r="Q228" s="34"/>
      <c r="R228" s="66">
        <f>IFERROR(+S228/Q228,0)</f>
        <v>0</v>
      </c>
      <c r="S228" s="34"/>
      <c r="U228" s="34"/>
      <c r="V228" s="66">
        <f>IFERROR(+W228/U228,0)</f>
        <v>0</v>
      </c>
      <c r="W228" s="34"/>
      <c r="Y228" s="34"/>
      <c r="Z228" s="66">
        <f>IFERROR(+AA228/Y228,0)</f>
        <v>0</v>
      </c>
      <c r="AA228" s="34"/>
      <c r="AC228" s="34"/>
      <c r="AD228" s="66">
        <f>IFERROR(+AE228/AC228,0)</f>
        <v>0</v>
      </c>
      <c r="AE228" s="34"/>
      <c r="AG228" s="34"/>
      <c r="AH228" s="66">
        <f>IFERROR(+AI228/AG228,0)</f>
        <v>0</v>
      </c>
      <c r="AI228" s="34"/>
      <c r="AK228" s="34"/>
      <c r="AL228" s="66">
        <f>IFERROR(+AM228/AK228,0)</f>
        <v>0</v>
      </c>
      <c r="AM228" s="34"/>
      <c r="AO228" s="34"/>
      <c r="AP228" s="66">
        <f>IFERROR(+AQ228/AO228,0)</f>
        <v>0</v>
      </c>
      <c r="AQ228" s="34"/>
      <c r="AS228" s="34"/>
      <c r="AT228" s="66">
        <f>IFERROR(+AU228/AS228,0)</f>
        <v>0</v>
      </c>
      <c r="AU228" s="34"/>
      <c r="AW228" s="34"/>
      <c r="AX228" s="66">
        <f>IFERROR(+AY228/AW228,0)</f>
        <v>0</v>
      </c>
      <c r="AY228" s="34"/>
      <c r="BA228" s="34"/>
      <c r="BB228" s="66">
        <f>IFERROR(+BC228/BA228,0)</f>
        <v>0</v>
      </c>
      <c r="BC228" s="34"/>
      <c r="BE228" s="67">
        <f>+I228+M228+Q228++U228+Y228+AC228+AG228+AK228+AO228+AS228+AW228+BA228</f>
        <v>0</v>
      </c>
      <c r="BF228" s="68">
        <f>IFERROR(+BG228/BE228,0)</f>
        <v>0</v>
      </c>
      <c r="BG228" s="67">
        <f>+K228+O228+S228+W228+AA228+AE228+AI228+AM228+AQ228+AU228+AY228+BC228</f>
        <v>0</v>
      </c>
    </row>
    <row r="229" spans="1:59" ht="21" hidden="1" customHeight="1" x14ac:dyDescent="0.3">
      <c r="A229" s="11"/>
      <c r="B229" s="181"/>
      <c r="C229" s="34"/>
      <c r="D229" s="34"/>
      <c r="E229" s="34"/>
      <c r="F229" s="34"/>
      <c r="G229" s="64" t="str">
        <f>IFERROR(+VLOOKUP(F229,Datos!$P:$Q,2,0),"")</f>
        <v/>
      </c>
      <c r="H229" s="35"/>
      <c r="I229" s="34"/>
      <c r="J229" s="66">
        <f t="shared" ref="J229:J233" si="421">IFERROR(+K229/I229,0)</f>
        <v>0</v>
      </c>
      <c r="K229" s="34"/>
      <c r="M229" s="34"/>
      <c r="N229" s="66">
        <f t="shared" ref="N229:N233" si="422">IFERROR(+O229/M229,0)</f>
        <v>0</v>
      </c>
      <c r="O229" s="34"/>
      <c r="Q229" s="34"/>
      <c r="R229" s="66">
        <f t="shared" ref="R229:R233" si="423">IFERROR(+S229/Q229,0)</f>
        <v>0</v>
      </c>
      <c r="S229" s="34"/>
      <c r="U229" s="34"/>
      <c r="V229" s="66">
        <f t="shared" ref="V229:V233" si="424">IFERROR(+W229/U229,0)</f>
        <v>0</v>
      </c>
      <c r="W229" s="34"/>
      <c r="Y229" s="34"/>
      <c r="Z229" s="66">
        <f t="shared" ref="Z229:Z233" si="425">IFERROR(+AA229/Y229,0)</f>
        <v>0</v>
      </c>
      <c r="AA229" s="34"/>
      <c r="AC229" s="34"/>
      <c r="AD229" s="66">
        <f t="shared" ref="AD229:AD233" si="426">IFERROR(+AE229/AC229,0)</f>
        <v>0</v>
      </c>
      <c r="AE229" s="34"/>
      <c r="AG229" s="34"/>
      <c r="AH229" s="66">
        <f t="shared" ref="AH229:AH233" si="427">IFERROR(+AI229/AG229,0)</f>
        <v>0</v>
      </c>
      <c r="AI229" s="34"/>
      <c r="AK229" s="34"/>
      <c r="AL229" s="66">
        <f t="shared" ref="AL229:AL233" si="428">IFERROR(+AM229/AK229,0)</f>
        <v>0</v>
      </c>
      <c r="AM229" s="34"/>
      <c r="AO229" s="34"/>
      <c r="AP229" s="66">
        <f t="shared" ref="AP229:AP233" si="429">IFERROR(+AQ229/AO229,0)</f>
        <v>0</v>
      </c>
      <c r="AQ229" s="34"/>
      <c r="AS229" s="34"/>
      <c r="AT229" s="66">
        <f t="shared" ref="AT229:AT233" si="430">IFERROR(+AU229/AS229,0)</f>
        <v>0</v>
      </c>
      <c r="AU229" s="34"/>
      <c r="AW229" s="34"/>
      <c r="AX229" s="66">
        <f t="shared" ref="AX229:AX233" si="431">IFERROR(+AY229/AW229,0)</f>
        <v>0</v>
      </c>
      <c r="AY229" s="34"/>
      <c r="BA229" s="34"/>
      <c r="BB229" s="66">
        <f t="shared" ref="BB229:BB233" si="432">IFERROR(+BC229/BA229,0)</f>
        <v>0</v>
      </c>
      <c r="BC229" s="34"/>
      <c r="BE229" s="67">
        <f t="shared" ref="BE229:BE233" si="433">+I229+M229+Q229++U229+Y229+AC229+AG229+AK229+AO229+AS229+AW229+BA229</f>
        <v>0</v>
      </c>
      <c r="BF229" s="68">
        <f t="shared" ref="BF229:BF233" si="434">IFERROR(+BG229/BE229,0)</f>
        <v>0</v>
      </c>
      <c r="BG229" s="67">
        <f t="shared" ref="BG229:BG233" si="435">+K229+O229+S229+W229+AA229+AE229+AI229+AM229+AQ229+AU229+AY229+BC229</f>
        <v>0</v>
      </c>
    </row>
    <row r="230" spans="1:59" ht="21" hidden="1" customHeight="1" x14ac:dyDescent="0.3">
      <c r="A230" s="11"/>
      <c r="B230" s="181"/>
      <c r="C230" s="34"/>
      <c r="D230" s="34"/>
      <c r="E230" s="34"/>
      <c r="F230" s="34"/>
      <c r="G230" s="64" t="str">
        <f>IFERROR(+VLOOKUP(F230,Datos!$P:$Q,2,0),"")</f>
        <v/>
      </c>
      <c r="H230" s="35"/>
      <c r="I230" s="34"/>
      <c r="J230" s="66">
        <f t="shared" si="421"/>
        <v>0</v>
      </c>
      <c r="K230" s="34"/>
      <c r="M230" s="34"/>
      <c r="N230" s="66">
        <f t="shared" si="422"/>
        <v>0</v>
      </c>
      <c r="O230" s="34"/>
      <c r="Q230" s="34"/>
      <c r="R230" s="66">
        <f t="shared" si="423"/>
        <v>0</v>
      </c>
      <c r="S230" s="34"/>
      <c r="U230" s="34"/>
      <c r="V230" s="66">
        <f t="shared" si="424"/>
        <v>0</v>
      </c>
      <c r="W230" s="34"/>
      <c r="Y230" s="34"/>
      <c r="Z230" s="66">
        <f t="shared" si="425"/>
        <v>0</v>
      </c>
      <c r="AA230" s="34"/>
      <c r="AC230" s="34"/>
      <c r="AD230" s="66">
        <f t="shared" si="426"/>
        <v>0</v>
      </c>
      <c r="AE230" s="34"/>
      <c r="AG230" s="34"/>
      <c r="AH230" s="66">
        <f t="shared" si="427"/>
        <v>0</v>
      </c>
      <c r="AI230" s="34"/>
      <c r="AK230" s="34"/>
      <c r="AL230" s="66">
        <f t="shared" si="428"/>
        <v>0</v>
      </c>
      <c r="AM230" s="34"/>
      <c r="AO230" s="34"/>
      <c r="AP230" s="66">
        <f t="shared" si="429"/>
        <v>0</v>
      </c>
      <c r="AQ230" s="34"/>
      <c r="AS230" s="34"/>
      <c r="AT230" s="66">
        <f t="shared" si="430"/>
        <v>0</v>
      </c>
      <c r="AU230" s="34"/>
      <c r="AW230" s="34"/>
      <c r="AX230" s="66">
        <f t="shared" si="431"/>
        <v>0</v>
      </c>
      <c r="AY230" s="34"/>
      <c r="BA230" s="34"/>
      <c r="BB230" s="66">
        <f t="shared" si="432"/>
        <v>0</v>
      </c>
      <c r="BC230" s="34"/>
      <c r="BE230" s="67">
        <f t="shared" si="433"/>
        <v>0</v>
      </c>
      <c r="BF230" s="68">
        <f t="shared" si="434"/>
        <v>0</v>
      </c>
      <c r="BG230" s="67">
        <f t="shared" si="435"/>
        <v>0</v>
      </c>
    </row>
    <row r="231" spans="1:59" ht="21" hidden="1" customHeight="1" x14ac:dyDescent="0.3">
      <c r="A231" s="11"/>
      <c r="B231" s="181"/>
      <c r="C231" s="34"/>
      <c r="D231" s="34"/>
      <c r="E231" s="34"/>
      <c r="F231" s="34"/>
      <c r="G231" s="64" t="str">
        <f>IFERROR(+VLOOKUP(F231,Datos!$P:$Q,2,0),"")</f>
        <v/>
      </c>
      <c r="H231" s="35"/>
      <c r="I231" s="34"/>
      <c r="J231" s="66">
        <f t="shared" si="421"/>
        <v>0</v>
      </c>
      <c r="K231" s="34"/>
      <c r="M231" s="34"/>
      <c r="N231" s="66">
        <f t="shared" si="422"/>
        <v>0</v>
      </c>
      <c r="O231" s="34"/>
      <c r="Q231" s="34"/>
      <c r="R231" s="66">
        <f t="shared" si="423"/>
        <v>0</v>
      </c>
      <c r="S231" s="34"/>
      <c r="U231" s="34"/>
      <c r="V231" s="66">
        <f t="shared" si="424"/>
        <v>0</v>
      </c>
      <c r="W231" s="34"/>
      <c r="Y231" s="34"/>
      <c r="Z231" s="66">
        <f t="shared" si="425"/>
        <v>0</v>
      </c>
      <c r="AA231" s="34"/>
      <c r="AC231" s="34"/>
      <c r="AD231" s="66">
        <f t="shared" si="426"/>
        <v>0</v>
      </c>
      <c r="AE231" s="34"/>
      <c r="AG231" s="34"/>
      <c r="AH231" s="66">
        <f t="shared" si="427"/>
        <v>0</v>
      </c>
      <c r="AI231" s="34"/>
      <c r="AK231" s="34"/>
      <c r="AL231" s="66">
        <f t="shared" si="428"/>
        <v>0</v>
      </c>
      <c r="AM231" s="34"/>
      <c r="AO231" s="34"/>
      <c r="AP231" s="66">
        <f t="shared" si="429"/>
        <v>0</v>
      </c>
      <c r="AQ231" s="34"/>
      <c r="AS231" s="34"/>
      <c r="AT231" s="66">
        <f t="shared" si="430"/>
        <v>0</v>
      </c>
      <c r="AU231" s="34"/>
      <c r="AW231" s="34"/>
      <c r="AX231" s="66">
        <f t="shared" si="431"/>
        <v>0</v>
      </c>
      <c r="AY231" s="34"/>
      <c r="BA231" s="34"/>
      <c r="BB231" s="66">
        <f t="shared" si="432"/>
        <v>0</v>
      </c>
      <c r="BC231" s="34"/>
      <c r="BE231" s="67">
        <f t="shared" si="433"/>
        <v>0</v>
      </c>
      <c r="BF231" s="68">
        <f t="shared" si="434"/>
        <v>0</v>
      </c>
      <c r="BG231" s="67">
        <f t="shared" si="435"/>
        <v>0</v>
      </c>
    </row>
    <row r="232" spans="1:59" ht="21" hidden="1" customHeight="1" x14ac:dyDescent="0.3">
      <c r="A232" s="11"/>
      <c r="B232" s="181"/>
      <c r="C232" s="34"/>
      <c r="D232" s="34"/>
      <c r="E232" s="34"/>
      <c r="F232" s="34"/>
      <c r="G232" s="64" t="str">
        <f>IFERROR(+VLOOKUP(F232,Datos!$P:$Q,2,0),"")</f>
        <v/>
      </c>
      <c r="H232" s="35"/>
      <c r="I232" s="34"/>
      <c r="J232" s="66">
        <f t="shared" si="421"/>
        <v>0</v>
      </c>
      <c r="K232" s="34"/>
      <c r="M232" s="34"/>
      <c r="N232" s="66">
        <f t="shared" si="422"/>
        <v>0</v>
      </c>
      <c r="O232" s="34"/>
      <c r="Q232" s="34"/>
      <c r="R232" s="66">
        <f t="shared" si="423"/>
        <v>0</v>
      </c>
      <c r="S232" s="34"/>
      <c r="U232" s="34"/>
      <c r="V232" s="66">
        <f t="shared" si="424"/>
        <v>0</v>
      </c>
      <c r="W232" s="34"/>
      <c r="Y232" s="34"/>
      <c r="Z232" s="66">
        <f t="shared" si="425"/>
        <v>0</v>
      </c>
      <c r="AA232" s="34"/>
      <c r="AC232" s="34"/>
      <c r="AD232" s="66">
        <f t="shared" si="426"/>
        <v>0</v>
      </c>
      <c r="AE232" s="34"/>
      <c r="AG232" s="34"/>
      <c r="AH232" s="66">
        <f t="shared" si="427"/>
        <v>0</v>
      </c>
      <c r="AI232" s="34"/>
      <c r="AK232" s="34"/>
      <c r="AL232" s="66">
        <f t="shared" si="428"/>
        <v>0</v>
      </c>
      <c r="AM232" s="34"/>
      <c r="AO232" s="34"/>
      <c r="AP232" s="66">
        <f t="shared" si="429"/>
        <v>0</v>
      </c>
      <c r="AQ232" s="34"/>
      <c r="AS232" s="34"/>
      <c r="AT232" s="66">
        <f t="shared" si="430"/>
        <v>0</v>
      </c>
      <c r="AU232" s="34"/>
      <c r="AW232" s="34"/>
      <c r="AX232" s="66">
        <f t="shared" si="431"/>
        <v>0</v>
      </c>
      <c r="AY232" s="34"/>
      <c r="BA232" s="34"/>
      <c r="BB232" s="66">
        <f t="shared" si="432"/>
        <v>0</v>
      </c>
      <c r="BC232" s="34"/>
      <c r="BE232" s="67">
        <f t="shared" si="433"/>
        <v>0</v>
      </c>
      <c r="BF232" s="68">
        <f t="shared" si="434"/>
        <v>0</v>
      </c>
      <c r="BG232" s="67">
        <f t="shared" si="435"/>
        <v>0</v>
      </c>
    </row>
    <row r="233" spans="1:59" ht="21" hidden="1" customHeight="1" x14ac:dyDescent="0.3">
      <c r="A233" s="11"/>
      <c r="B233" s="181"/>
      <c r="C233" s="34"/>
      <c r="D233" s="34"/>
      <c r="E233" s="34"/>
      <c r="F233" s="34"/>
      <c r="G233" s="64" t="str">
        <f>IFERROR(+VLOOKUP(F233,Datos!$P:$Q,2,0),"")</f>
        <v/>
      </c>
      <c r="H233" s="35"/>
      <c r="I233" s="34"/>
      <c r="J233" s="66">
        <f t="shared" si="421"/>
        <v>0</v>
      </c>
      <c r="K233" s="34"/>
      <c r="M233" s="34"/>
      <c r="N233" s="66">
        <f t="shared" si="422"/>
        <v>0</v>
      </c>
      <c r="O233" s="34"/>
      <c r="Q233" s="34"/>
      <c r="R233" s="66">
        <f t="shared" si="423"/>
        <v>0</v>
      </c>
      <c r="S233" s="34"/>
      <c r="U233" s="34"/>
      <c r="V233" s="66">
        <f t="shared" si="424"/>
        <v>0</v>
      </c>
      <c r="W233" s="34"/>
      <c r="Y233" s="34"/>
      <c r="Z233" s="66">
        <f t="shared" si="425"/>
        <v>0</v>
      </c>
      <c r="AA233" s="34"/>
      <c r="AC233" s="34"/>
      <c r="AD233" s="66">
        <f t="shared" si="426"/>
        <v>0</v>
      </c>
      <c r="AE233" s="34"/>
      <c r="AG233" s="34"/>
      <c r="AH233" s="66">
        <f t="shared" si="427"/>
        <v>0</v>
      </c>
      <c r="AI233" s="34"/>
      <c r="AK233" s="34"/>
      <c r="AL233" s="66">
        <f t="shared" si="428"/>
        <v>0</v>
      </c>
      <c r="AM233" s="34"/>
      <c r="AO233" s="34"/>
      <c r="AP233" s="66">
        <f t="shared" si="429"/>
        <v>0</v>
      </c>
      <c r="AQ233" s="34"/>
      <c r="AS233" s="34"/>
      <c r="AT233" s="66">
        <f t="shared" si="430"/>
        <v>0</v>
      </c>
      <c r="AU233" s="34"/>
      <c r="AW233" s="34"/>
      <c r="AX233" s="66">
        <f t="shared" si="431"/>
        <v>0</v>
      </c>
      <c r="AY233" s="34"/>
      <c r="BA233" s="34"/>
      <c r="BB233" s="66">
        <f t="shared" si="432"/>
        <v>0</v>
      </c>
      <c r="BC233" s="34"/>
      <c r="BE233" s="67">
        <f t="shared" si="433"/>
        <v>0</v>
      </c>
      <c r="BF233" s="68">
        <f t="shared" si="434"/>
        <v>0</v>
      </c>
      <c r="BG233" s="67">
        <f t="shared" si="435"/>
        <v>0</v>
      </c>
    </row>
    <row r="234" spans="1:59" ht="21" hidden="1" customHeight="1" x14ac:dyDescent="0.3">
      <c r="A234" s="11"/>
      <c r="B234" s="181"/>
      <c r="C234" s="34"/>
      <c r="D234" s="34"/>
      <c r="E234" s="34"/>
      <c r="F234" s="34"/>
      <c r="G234" s="64" t="str">
        <f>IFERROR(+VLOOKUP(F234,Datos!$P:$Q,2,0),"")</f>
        <v/>
      </c>
      <c r="H234" s="35"/>
      <c r="I234" s="34"/>
      <c r="J234" s="66">
        <f>IFERROR(+K234/I234,0)</f>
        <v>0</v>
      </c>
      <c r="K234" s="34"/>
      <c r="M234" s="34"/>
      <c r="N234" s="66">
        <f>IFERROR(+O234/M234,0)</f>
        <v>0</v>
      </c>
      <c r="O234" s="34"/>
      <c r="Q234" s="34"/>
      <c r="R234" s="66">
        <f>IFERROR(+S234/Q234,0)</f>
        <v>0</v>
      </c>
      <c r="S234" s="34"/>
      <c r="U234" s="34"/>
      <c r="V234" s="66">
        <f>IFERROR(+W234/U234,0)</f>
        <v>0</v>
      </c>
      <c r="W234" s="34"/>
      <c r="Y234" s="34"/>
      <c r="Z234" s="66">
        <f>IFERROR(+AA234/Y234,0)</f>
        <v>0</v>
      </c>
      <c r="AA234" s="34"/>
      <c r="AC234" s="34"/>
      <c r="AD234" s="66">
        <f>IFERROR(+AE234/AC234,0)</f>
        <v>0</v>
      </c>
      <c r="AE234" s="34"/>
      <c r="AG234" s="34"/>
      <c r="AH234" s="66">
        <f>IFERROR(+AI234/AG234,0)</f>
        <v>0</v>
      </c>
      <c r="AI234" s="34"/>
      <c r="AK234" s="34"/>
      <c r="AL234" s="66">
        <f>IFERROR(+AM234/AK234,0)</f>
        <v>0</v>
      </c>
      <c r="AM234" s="34"/>
      <c r="AO234" s="34"/>
      <c r="AP234" s="66">
        <f>IFERROR(+AQ234/AO234,0)</f>
        <v>0</v>
      </c>
      <c r="AQ234" s="34"/>
      <c r="AS234" s="34"/>
      <c r="AT234" s="66">
        <f>IFERROR(+AU234/AS234,0)</f>
        <v>0</v>
      </c>
      <c r="AU234" s="34"/>
      <c r="AW234" s="34"/>
      <c r="AX234" s="66">
        <f>IFERROR(+AY234/AW234,0)</f>
        <v>0</v>
      </c>
      <c r="AY234" s="34"/>
      <c r="BA234" s="34"/>
      <c r="BB234" s="66">
        <f>IFERROR(+BC234/BA234,0)</f>
        <v>0</v>
      </c>
      <c r="BC234" s="34"/>
      <c r="BE234" s="67">
        <f>+I234+M234+Q234++U234+Y234+AC234+AG234+AK234+AO234+AS234+AW234+BA234</f>
        <v>0</v>
      </c>
      <c r="BF234" s="68">
        <f>IFERROR(+BG234/BE234,0)</f>
        <v>0</v>
      </c>
      <c r="BG234" s="67">
        <f>+K234+O234+S234+W234+AA234+AE234+AI234+AM234+AQ234+AU234+AY234+BC234</f>
        <v>0</v>
      </c>
    </row>
    <row r="235" spans="1:59" ht="21" hidden="1" customHeight="1" x14ac:dyDescent="0.3">
      <c r="A235" s="11"/>
      <c r="B235" s="314" t="s">
        <v>227</v>
      </c>
      <c r="C235" s="315"/>
      <c r="D235" s="315"/>
      <c r="E235" s="315"/>
      <c r="F235" s="315"/>
      <c r="G235" s="316"/>
      <c r="H235" s="35"/>
      <c r="I235" s="67">
        <f>SUM(I228:I234)</f>
        <v>0</v>
      </c>
      <c r="J235" s="68">
        <f t="shared" ref="J235" si="436">IFERROR(+K235/I235,0)</f>
        <v>0</v>
      </c>
      <c r="K235" s="67">
        <f>SUM(K228:K234)</f>
        <v>0</v>
      </c>
      <c r="M235" s="67">
        <f>SUM(M228:M234)</f>
        <v>0</v>
      </c>
      <c r="N235" s="68">
        <f t="shared" ref="N235" si="437">IFERROR(+O235/M235,0)</f>
        <v>0</v>
      </c>
      <c r="O235" s="67">
        <f>SUM(O228:O234)</f>
        <v>0</v>
      </c>
      <c r="Q235" s="67">
        <f>SUM(Q228:Q234)</f>
        <v>0</v>
      </c>
      <c r="R235" s="68">
        <f t="shared" ref="R235" si="438">IFERROR(+S235/Q235,0)</f>
        <v>0</v>
      </c>
      <c r="S235" s="67">
        <f>SUM(S228:S234)</f>
        <v>0</v>
      </c>
      <c r="U235" s="67">
        <f>SUM(U228:U234)</f>
        <v>0</v>
      </c>
      <c r="V235" s="68">
        <f t="shared" ref="V235" si="439">IFERROR(+W235/U235,0)</f>
        <v>0</v>
      </c>
      <c r="W235" s="67">
        <f>SUM(W228:W234)</f>
        <v>0</v>
      </c>
      <c r="Y235" s="67">
        <f>SUM(Y228:Y234)</f>
        <v>0</v>
      </c>
      <c r="Z235" s="68">
        <f t="shared" ref="Z235" si="440">IFERROR(+AA235/Y235,0)</f>
        <v>0</v>
      </c>
      <c r="AA235" s="67">
        <f>SUM(AA228:AA234)</f>
        <v>0</v>
      </c>
      <c r="AC235" s="67">
        <f>SUM(AC228:AC234)</f>
        <v>0</v>
      </c>
      <c r="AD235" s="68">
        <f t="shared" ref="AD235" si="441">IFERROR(+AE235/AC235,0)</f>
        <v>0</v>
      </c>
      <c r="AE235" s="67">
        <f>SUM(AE228:AE234)</f>
        <v>0</v>
      </c>
      <c r="AG235" s="67">
        <f>SUM(AG228:AG234)</f>
        <v>0</v>
      </c>
      <c r="AH235" s="68">
        <f t="shared" ref="AH235" si="442">IFERROR(+AI235/AG235,0)</f>
        <v>0</v>
      </c>
      <c r="AI235" s="67">
        <f>SUM(AI228:AI234)</f>
        <v>0</v>
      </c>
      <c r="AK235" s="67">
        <f>SUM(AK228:AK234)</f>
        <v>0</v>
      </c>
      <c r="AL235" s="68">
        <f t="shared" ref="AL235" si="443">IFERROR(+AM235/AK235,0)</f>
        <v>0</v>
      </c>
      <c r="AM235" s="67">
        <f>SUM(AM228:AM234)</f>
        <v>0</v>
      </c>
      <c r="AO235" s="67">
        <f>SUM(AO228:AO234)</f>
        <v>0</v>
      </c>
      <c r="AP235" s="68">
        <f t="shared" ref="AP235" si="444">IFERROR(+AQ235/AO235,0)</f>
        <v>0</v>
      </c>
      <c r="AQ235" s="67">
        <f>SUM(AQ228:AQ234)</f>
        <v>0</v>
      </c>
      <c r="AS235" s="67">
        <f>SUM(AS228:AS234)</f>
        <v>0</v>
      </c>
      <c r="AT235" s="68">
        <f t="shared" ref="AT235" si="445">IFERROR(+AU235/AS235,0)</f>
        <v>0</v>
      </c>
      <c r="AU235" s="67">
        <f>SUM(AU228:AU234)</f>
        <v>0</v>
      </c>
      <c r="AW235" s="67">
        <f>SUM(AW228:AW234)</f>
        <v>0</v>
      </c>
      <c r="AX235" s="68">
        <f t="shared" ref="AX235" si="446">IFERROR(+AY235/AW235,0)</f>
        <v>0</v>
      </c>
      <c r="AY235" s="67">
        <f>SUM(AY228:AY234)</f>
        <v>0</v>
      </c>
      <c r="BA235" s="67">
        <f>SUM(BA228:BA234)</f>
        <v>0</v>
      </c>
      <c r="BB235" s="68">
        <f t="shared" ref="BB235" si="447">IFERROR(+BC235/BA235,0)</f>
        <v>0</v>
      </c>
      <c r="BC235" s="67">
        <f>SUM(BC228:BC234)</f>
        <v>0</v>
      </c>
      <c r="BE235" s="67">
        <f>SUM(BE228:BE234)</f>
        <v>0</v>
      </c>
      <c r="BF235" s="68">
        <f t="shared" ref="BF235" si="448">IFERROR(+BG235/BE235,0)</f>
        <v>0</v>
      </c>
      <c r="BG235" s="67">
        <f>SUM(BG228:BG234)</f>
        <v>0</v>
      </c>
    </row>
    <row r="236" spans="1:59" hidden="1" x14ac:dyDescent="0.3"/>
    <row r="237" spans="1:59" ht="36" hidden="1" customHeight="1" x14ac:dyDescent="0.3">
      <c r="A237" s="11"/>
      <c r="B237" s="318" t="s">
        <v>740</v>
      </c>
      <c r="C237" s="318"/>
      <c r="D237" s="318"/>
      <c r="E237" s="318"/>
      <c r="F237" s="318"/>
      <c r="G237" s="318"/>
      <c r="H237" s="318"/>
      <c r="I237" s="318"/>
      <c r="J237" s="318"/>
    </row>
    <row r="238" spans="1:59" hidden="1" x14ac:dyDescent="0.3"/>
    <row r="239" spans="1:59" ht="21" hidden="1" customHeight="1" x14ac:dyDescent="0.3">
      <c r="A239" s="11"/>
      <c r="B239" s="312" t="s">
        <v>894</v>
      </c>
      <c r="C239" s="312" t="s">
        <v>895</v>
      </c>
      <c r="D239" s="281" t="s">
        <v>235</v>
      </c>
      <c r="E239" s="302" t="s">
        <v>232</v>
      </c>
      <c r="F239" s="302" t="s">
        <v>233</v>
      </c>
      <c r="G239" s="299" t="s">
        <v>234</v>
      </c>
      <c r="H239" s="36"/>
      <c r="I239" s="301" t="str">
        <f>+"Enero "&amp;$I$6&amp;""</f>
        <v>Enero 2025</v>
      </c>
      <c r="J239" s="301"/>
      <c r="K239" s="301"/>
      <c r="M239" s="301" t="str">
        <f>+"Febrero "&amp;$I$6&amp;""</f>
        <v>Febrero 2025</v>
      </c>
      <c r="N239" s="301"/>
      <c r="O239" s="301"/>
      <c r="Q239" s="301" t="str">
        <f>+"Marzo "&amp;$I$6&amp;""</f>
        <v>Marzo 2025</v>
      </c>
      <c r="R239" s="301"/>
      <c r="S239" s="301"/>
      <c r="U239" s="301" t="str">
        <f>+"Abril "&amp;$I$6&amp;""</f>
        <v>Abril 2025</v>
      </c>
      <c r="V239" s="301"/>
      <c r="W239" s="301"/>
      <c r="Y239" s="301" t="str">
        <f>+"Mayo "&amp;$I$6&amp;""</f>
        <v>Mayo 2025</v>
      </c>
      <c r="Z239" s="301"/>
      <c r="AA239" s="301"/>
      <c r="AC239" s="301" t="str">
        <f>+"Junio "&amp;$I$6&amp;""</f>
        <v>Junio 2025</v>
      </c>
      <c r="AD239" s="301"/>
      <c r="AE239" s="301"/>
      <c r="AG239" s="301" t="str">
        <f>+"Julio "&amp;$I$6&amp;""</f>
        <v>Julio 2025</v>
      </c>
      <c r="AH239" s="301"/>
      <c r="AI239" s="301"/>
      <c r="AK239" s="301" t="str">
        <f>+"Agosto "&amp;$I$6&amp;""</f>
        <v>Agosto 2025</v>
      </c>
      <c r="AL239" s="301"/>
      <c r="AM239" s="301"/>
      <c r="AO239" s="301" t="str">
        <f>+"Septiembre "&amp;$I$6&amp;""</f>
        <v>Septiembre 2025</v>
      </c>
      <c r="AP239" s="301"/>
      <c r="AQ239" s="301"/>
      <c r="AS239" s="301" t="str">
        <f>+"Octubre "&amp;$I$6&amp;""</f>
        <v>Octubre 2025</v>
      </c>
      <c r="AT239" s="301"/>
      <c r="AU239" s="301"/>
      <c r="AW239" s="301" t="str">
        <f>+"Noviembre "&amp;$I$6&amp;""</f>
        <v>Noviembre 2025</v>
      </c>
      <c r="AX239" s="301"/>
      <c r="AY239" s="301"/>
      <c r="BA239" s="301" t="str">
        <f>+"Diciembre "&amp;$I$6&amp;""</f>
        <v>Diciembre 2025</v>
      </c>
      <c r="BB239" s="301"/>
      <c r="BC239" s="301"/>
      <c r="BE239" s="301" t="str">
        <f>+"Acumulado "&amp;$I$6&amp;""</f>
        <v>Acumulado 2025</v>
      </c>
      <c r="BF239" s="301"/>
      <c r="BG239" s="301"/>
    </row>
    <row r="240" spans="1:59" ht="21" hidden="1" customHeight="1" x14ac:dyDescent="0.3">
      <c r="A240" s="11"/>
      <c r="B240" s="312"/>
      <c r="C240" s="312"/>
      <c r="D240" s="282"/>
      <c r="E240" s="303"/>
      <c r="F240" s="303"/>
      <c r="G240" s="317"/>
      <c r="H240" s="36"/>
      <c r="I240" s="223" t="s">
        <v>60</v>
      </c>
      <c r="J240" s="299" t="s">
        <v>61</v>
      </c>
      <c r="K240" s="223" t="s">
        <v>62</v>
      </c>
      <c r="L240" s="20"/>
      <c r="M240" s="223" t="s">
        <v>60</v>
      </c>
      <c r="N240" s="299" t="s">
        <v>61</v>
      </c>
      <c r="O240" s="223" t="s">
        <v>62</v>
      </c>
      <c r="P240" s="20"/>
      <c r="Q240" s="223" t="s">
        <v>60</v>
      </c>
      <c r="R240" s="299" t="s">
        <v>61</v>
      </c>
      <c r="S240" s="223" t="s">
        <v>62</v>
      </c>
      <c r="T240" s="20"/>
      <c r="U240" s="223" t="s">
        <v>60</v>
      </c>
      <c r="V240" s="299" t="s">
        <v>61</v>
      </c>
      <c r="W240" s="223" t="s">
        <v>62</v>
      </c>
      <c r="X240" s="20"/>
      <c r="Y240" s="223" t="s">
        <v>60</v>
      </c>
      <c r="Z240" s="299" t="s">
        <v>61</v>
      </c>
      <c r="AA240" s="223" t="s">
        <v>62</v>
      </c>
      <c r="AB240" s="20"/>
      <c r="AC240" s="223" t="s">
        <v>60</v>
      </c>
      <c r="AD240" s="299" t="s">
        <v>61</v>
      </c>
      <c r="AE240" s="223" t="s">
        <v>62</v>
      </c>
      <c r="AF240" s="20"/>
      <c r="AG240" s="223" t="s">
        <v>60</v>
      </c>
      <c r="AH240" s="299" t="s">
        <v>61</v>
      </c>
      <c r="AI240" s="223" t="s">
        <v>62</v>
      </c>
      <c r="AJ240" s="20"/>
      <c r="AK240" s="223" t="s">
        <v>60</v>
      </c>
      <c r="AL240" s="299" t="s">
        <v>61</v>
      </c>
      <c r="AM240" s="223" t="s">
        <v>62</v>
      </c>
      <c r="AN240" s="20"/>
      <c r="AO240" s="223" t="s">
        <v>60</v>
      </c>
      <c r="AP240" s="299" t="s">
        <v>61</v>
      </c>
      <c r="AQ240" s="223" t="s">
        <v>62</v>
      </c>
      <c r="AR240" s="20"/>
      <c r="AS240" s="223" t="s">
        <v>60</v>
      </c>
      <c r="AT240" s="299" t="s">
        <v>61</v>
      </c>
      <c r="AU240" s="223" t="s">
        <v>62</v>
      </c>
      <c r="AV240" s="20"/>
      <c r="AW240" s="223" t="s">
        <v>60</v>
      </c>
      <c r="AX240" s="299" t="s">
        <v>61</v>
      </c>
      <c r="AY240" s="223" t="s">
        <v>62</v>
      </c>
      <c r="AZ240" s="20"/>
      <c r="BA240" s="223" t="s">
        <v>60</v>
      </c>
      <c r="BB240" s="299" t="s">
        <v>61</v>
      </c>
      <c r="BC240" s="223" t="s">
        <v>62</v>
      </c>
      <c r="BD240" s="20"/>
      <c r="BE240" s="223" t="s">
        <v>60</v>
      </c>
      <c r="BF240" s="299" t="s">
        <v>61</v>
      </c>
      <c r="BG240" s="223" t="s">
        <v>62</v>
      </c>
    </row>
    <row r="241" spans="1:59" ht="21" hidden="1" customHeight="1" x14ac:dyDescent="0.3">
      <c r="A241" s="11"/>
      <c r="B241" s="312"/>
      <c r="C241" s="312"/>
      <c r="D241" s="283"/>
      <c r="E241" s="304"/>
      <c r="F241" s="304"/>
      <c r="G241" s="300"/>
      <c r="H241" s="36"/>
      <c r="I241" s="224" t="s">
        <v>1002</v>
      </c>
      <c r="J241" s="300"/>
      <c r="K241" s="224" t="s">
        <v>1003</v>
      </c>
      <c r="L241" s="20"/>
      <c r="M241" s="224" t="s">
        <v>1002</v>
      </c>
      <c r="N241" s="300"/>
      <c r="O241" s="224" t="s">
        <v>1003</v>
      </c>
      <c r="P241" s="20"/>
      <c r="Q241" s="224" t="s">
        <v>1002</v>
      </c>
      <c r="R241" s="300"/>
      <c r="S241" s="224" t="s">
        <v>1003</v>
      </c>
      <c r="T241" s="20"/>
      <c r="U241" s="224" t="s">
        <v>1002</v>
      </c>
      <c r="V241" s="300"/>
      <c r="W241" s="224" t="s">
        <v>1003</v>
      </c>
      <c r="X241" s="20"/>
      <c r="Y241" s="224" t="s">
        <v>1002</v>
      </c>
      <c r="Z241" s="300"/>
      <c r="AA241" s="224" t="s">
        <v>1003</v>
      </c>
      <c r="AB241" s="20"/>
      <c r="AC241" s="224" t="s">
        <v>1002</v>
      </c>
      <c r="AD241" s="300"/>
      <c r="AE241" s="224" t="s">
        <v>1003</v>
      </c>
      <c r="AF241" s="20"/>
      <c r="AG241" s="224" t="s">
        <v>1002</v>
      </c>
      <c r="AH241" s="300"/>
      <c r="AI241" s="224" t="s">
        <v>1003</v>
      </c>
      <c r="AJ241" s="20"/>
      <c r="AK241" s="224" t="s">
        <v>1002</v>
      </c>
      <c r="AL241" s="300"/>
      <c r="AM241" s="224" t="s">
        <v>1003</v>
      </c>
      <c r="AN241" s="20"/>
      <c r="AO241" s="224" t="s">
        <v>1002</v>
      </c>
      <c r="AP241" s="300"/>
      <c r="AQ241" s="224" t="s">
        <v>1003</v>
      </c>
      <c r="AR241" s="20"/>
      <c r="AS241" s="224" t="s">
        <v>1002</v>
      </c>
      <c r="AT241" s="300"/>
      <c r="AU241" s="224" t="s">
        <v>1003</v>
      </c>
      <c r="AV241" s="20"/>
      <c r="AW241" s="224" t="s">
        <v>1002</v>
      </c>
      <c r="AX241" s="300"/>
      <c r="AY241" s="224" t="s">
        <v>1003</v>
      </c>
      <c r="AZ241" s="20"/>
      <c r="BA241" s="224" t="s">
        <v>1002</v>
      </c>
      <c r="BB241" s="300"/>
      <c r="BC241" s="224" t="s">
        <v>1003</v>
      </c>
      <c r="BD241" s="20"/>
      <c r="BE241" s="224" t="s">
        <v>1002</v>
      </c>
      <c r="BF241" s="300"/>
      <c r="BG241" s="224" t="s">
        <v>1003</v>
      </c>
    </row>
    <row r="242" spans="1:59" ht="21" hidden="1" customHeight="1" x14ac:dyDescent="0.3">
      <c r="A242" s="11"/>
      <c r="B242" s="181"/>
      <c r="C242" s="34"/>
      <c r="D242" s="34"/>
      <c r="E242" s="34"/>
      <c r="F242" s="34"/>
      <c r="G242" s="64" t="str">
        <f>IFERROR(+VLOOKUP(F242,Datos!$P:$Q,2,0),"")</f>
        <v/>
      </c>
      <c r="H242" s="35"/>
      <c r="I242" s="34"/>
      <c r="J242" s="66">
        <f>IFERROR(+K242/I242,0)</f>
        <v>0</v>
      </c>
      <c r="K242" s="34"/>
      <c r="M242" s="34"/>
      <c r="N242" s="66">
        <f>IFERROR(+O242/M242,0)</f>
        <v>0</v>
      </c>
      <c r="O242" s="34"/>
      <c r="Q242" s="34"/>
      <c r="R242" s="66">
        <f>IFERROR(+S242/Q242,0)</f>
        <v>0</v>
      </c>
      <c r="S242" s="34"/>
      <c r="U242" s="34"/>
      <c r="V242" s="66">
        <f>IFERROR(+W242/U242,0)</f>
        <v>0</v>
      </c>
      <c r="W242" s="34"/>
      <c r="Y242" s="34"/>
      <c r="Z242" s="66">
        <f>IFERROR(+AA242/Y242,0)</f>
        <v>0</v>
      </c>
      <c r="AA242" s="34"/>
      <c r="AC242" s="34"/>
      <c r="AD242" s="66">
        <f>IFERROR(+AE242/AC242,0)</f>
        <v>0</v>
      </c>
      <c r="AE242" s="34"/>
      <c r="AG242" s="34"/>
      <c r="AH242" s="66">
        <f>IFERROR(+AI242/AG242,0)</f>
        <v>0</v>
      </c>
      <c r="AI242" s="34"/>
      <c r="AK242" s="34"/>
      <c r="AL242" s="66">
        <f>IFERROR(+AM242/AK242,0)</f>
        <v>0</v>
      </c>
      <c r="AM242" s="34"/>
      <c r="AO242" s="34"/>
      <c r="AP242" s="66">
        <f>IFERROR(+AQ242/AO242,0)</f>
        <v>0</v>
      </c>
      <c r="AQ242" s="34"/>
      <c r="AS242" s="34"/>
      <c r="AT242" s="66">
        <f>IFERROR(+AU242/AS242,0)</f>
        <v>0</v>
      </c>
      <c r="AU242" s="34"/>
      <c r="AW242" s="34"/>
      <c r="AX242" s="66">
        <f>IFERROR(+AY242/AW242,0)</f>
        <v>0</v>
      </c>
      <c r="AY242" s="34"/>
      <c r="BA242" s="34"/>
      <c r="BB242" s="66">
        <f>IFERROR(+BC242/BA242,0)</f>
        <v>0</v>
      </c>
      <c r="BC242" s="34"/>
      <c r="BE242" s="67">
        <f>+I242+M242+Q242++U242+Y242+AC242+AG242+AK242+AO242+AS242+AW242+BA242</f>
        <v>0</v>
      </c>
      <c r="BF242" s="68">
        <f>IFERROR(+BG242/BE242,0)</f>
        <v>0</v>
      </c>
      <c r="BG242" s="67">
        <f>+K242+O242+S242+W242+AA242+AE242+AI242+AM242+AQ242+AU242+AY242+BC242</f>
        <v>0</v>
      </c>
    </row>
    <row r="243" spans="1:59" ht="21" hidden="1" customHeight="1" x14ac:dyDescent="0.3">
      <c r="A243" s="11"/>
      <c r="B243" s="181"/>
      <c r="C243" s="34"/>
      <c r="D243" s="34"/>
      <c r="E243" s="34"/>
      <c r="F243" s="34"/>
      <c r="G243" s="64" t="str">
        <f>IFERROR(+VLOOKUP(F243,Datos!$P:$Q,2,0),"")</f>
        <v/>
      </c>
      <c r="H243" s="35"/>
      <c r="I243" s="34"/>
      <c r="J243" s="66">
        <f t="shared" ref="J243:J248" si="449">IFERROR(+K243/I243,0)</f>
        <v>0</v>
      </c>
      <c r="K243" s="34"/>
      <c r="M243" s="34"/>
      <c r="N243" s="66">
        <f t="shared" ref="N243:N248" si="450">IFERROR(+O243/M243,0)</f>
        <v>0</v>
      </c>
      <c r="O243" s="34"/>
      <c r="Q243" s="34"/>
      <c r="R243" s="66">
        <f t="shared" ref="R243:R248" si="451">IFERROR(+S243/Q243,0)</f>
        <v>0</v>
      </c>
      <c r="S243" s="34"/>
      <c r="U243" s="34"/>
      <c r="V243" s="66">
        <f t="shared" ref="V243:V248" si="452">IFERROR(+W243/U243,0)</f>
        <v>0</v>
      </c>
      <c r="W243" s="34"/>
      <c r="Y243" s="34"/>
      <c r="Z243" s="66">
        <f t="shared" ref="Z243:Z248" si="453">IFERROR(+AA243/Y243,0)</f>
        <v>0</v>
      </c>
      <c r="AA243" s="34"/>
      <c r="AC243" s="34"/>
      <c r="AD243" s="66">
        <f t="shared" ref="AD243:AD248" si="454">IFERROR(+AE243/AC243,0)</f>
        <v>0</v>
      </c>
      <c r="AE243" s="34"/>
      <c r="AG243" s="34"/>
      <c r="AH243" s="66">
        <f t="shared" ref="AH243:AH248" si="455">IFERROR(+AI243/AG243,0)</f>
        <v>0</v>
      </c>
      <c r="AI243" s="34"/>
      <c r="AK243" s="34"/>
      <c r="AL243" s="66">
        <f t="shared" ref="AL243:AL248" si="456">IFERROR(+AM243/AK243,0)</f>
        <v>0</v>
      </c>
      <c r="AM243" s="34"/>
      <c r="AO243" s="34"/>
      <c r="AP243" s="66">
        <f t="shared" ref="AP243:AP248" si="457">IFERROR(+AQ243/AO243,0)</f>
        <v>0</v>
      </c>
      <c r="AQ243" s="34"/>
      <c r="AS243" s="34"/>
      <c r="AT243" s="66">
        <f t="shared" ref="AT243:AT248" si="458">IFERROR(+AU243/AS243,0)</f>
        <v>0</v>
      </c>
      <c r="AU243" s="34"/>
      <c r="AW243" s="34"/>
      <c r="AX243" s="66">
        <f t="shared" ref="AX243:AX248" si="459">IFERROR(+AY243/AW243,0)</f>
        <v>0</v>
      </c>
      <c r="AY243" s="34"/>
      <c r="BA243" s="34"/>
      <c r="BB243" s="66">
        <f t="shared" ref="BB243:BB248" si="460">IFERROR(+BC243/BA243,0)</f>
        <v>0</v>
      </c>
      <c r="BC243" s="34"/>
      <c r="BE243" s="67">
        <f t="shared" ref="BE243:BE247" si="461">+I243+M243+Q243++U243+Y243+AC243+AG243+AK243+AO243+AS243+AW243+BA243</f>
        <v>0</v>
      </c>
      <c r="BF243" s="68">
        <f t="shared" ref="BF243:BF247" si="462">IFERROR(+BG243/BE243,0)</f>
        <v>0</v>
      </c>
      <c r="BG243" s="67">
        <f t="shared" ref="BG243:BG247" si="463">+K243+O243+S243+W243+AA243+AE243+AI243+AM243+AQ243+AU243+AY243+BC243</f>
        <v>0</v>
      </c>
    </row>
    <row r="244" spans="1:59" ht="21" hidden="1" customHeight="1" x14ac:dyDescent="0.3">
      <c r="A244" s="11"/>
      <c r="B244" s="181"/>
      <c r="C244" s="34"/>
      <c r="D244" s="34"/>
      <c r="E244" s="34"/>
      <c r="F244" s="34"/>
      <c r="G244" s="64" t="str">
        <f>IFERROR(+VLOOKUP(F244,Datos!$P:$Q,2,0),"")</f>
        <v/>
      </c>
      <c r="H244" s="35"/>
      <c r="I244" s="34"/>
      <c r="J244" s="66">
        <f t="shared" si="449"/>
        <v>0</v>
      </c>
      <c r="K244" s="34"/>
      <c r="M244" s="34"/>
      <c r="N244" s="66">
        <f t="shared" si="450"/>
        <v>0</v>
      </c>
      <c r="O244" s="34"/>
      <c r="Q244" s="34"/>
      <c r="R244" s="66">
        <f t="shared" si="451"/>
        <v>0</v>
      </c>
      <c r="S244" s="34"/>
      <c r="U244" s="34"/>
      <c r="V244" s="66">
        <f t="shared" si="452"/>
        <v>0</v>
      </c>
      <c r="W244" s="34"/>
      <c r="Y244" s="34"/>
      <c r="Z244" s="66">
        <f t="shared" si="453"/>
        <v>0</v>
      </c>
      <c r="AA244" s="34"/>
      <c r="AC244" s="34"/>
      <c r="AD244" s="66">
        <f t="shared" si="454"/>
        <v>0</v>
      </c>
      <c r="AE244" s="34"/>
      <c r="AG244" s="34"/>
      <c r="AH244" s="66">
        <f t="shared" si="455"/>
        <v>0</v>
      </c>
      <c r="AI244" s="34"/>
      <c r="AK244" s="34"/>
      <c r="AL244" s="66">
        <f t="shared" si="456"/>
        <v>0</v>
      </c>
      <c r="AM244" s="34"/>
      <c r="AO244" s="34"/>
      <c r="AP244" s="66">
        <f t="shared" si="457"/>
        <v>0</v>
      </c>
      <c r="AQ244" s="34"/>
      <c r="AS244" s="34"/>
      <c r="AT244" s="66">
        <f t="shared" si="458"/>
        <v>0</v>
      </c>
      <c r="AU244" s="34"/>
      <c r="AW244" s="34"/>
      <c r="AX244" s="66">
        <f t="shared" si="459"/>
        <v>0</v>
      </c>
      <c r="AY244" s="34"/>
      <c r="BA244" s="34"/>
      <c r="BB244" s="66">
        <f t="shared" si="460"/>
        <v>0</v>
      </c>
      <c r="BC244" s="34"/>
      <c r="BE244" s="67">
        <f t="shared" si="461"/>
        <v>0</v>
      </c>
      <c r="BF244" s="68">
        <f t="shared" si="462"/>
        <v>0</v>
      </c>
      <c r="BG244" s="67">
        <f t="shared" si="463"/>
        <v>0</v>
      </c>
    </row>
    <row r="245" spans="1:59" ht="21" hidden="1" customHeight="1" x14ac:dyDescent="0.3">
      <c r="A245" s="11"/>
      <c r="B245" s="181"/>
      <c r="C245" s="34"/>
      <c r="D245" s="34"/>
      <c r="E245" s="34"/>
      <c r="F245" s="34"/>
      <c r="G245" s="64" t="str">
        <f>IFERROR(+VLOOKUP(F245,Datos!$P:$Q,2,0),"")</f>
        <v/>
      </c>
      <c r="H245" s="35"/>
      <c r="I245" s="34"/>
      <c r="J245" s="66">
        <f t="shared" si="449"/>
        <v>0</v>
      </c>
      <c r="K245" s="34"/>
      <c r="M245" s="34"/>
      <c r="N245" s="66">
        <f t="shared" si="450"/>
        <v>0</v>
      </c>
      <c r="O245" s="34"/>
      <c r="Q245" s="34"/>
      <c r="R245" s="66">
        <f t="shared" si="451"/>
        <v>0</v>
      </c>
      <c r="S245" s="34"/>
      <c r="U245" s="34"/>
      <c r="V245" s="66">
        <f t="shared" si="452"/>
        <v>0</v>
      </c>
      <c r="W245" s="34"/>
      <c r="Y245" s="34"/>
      <c r="Z245" s="66">
        <f t="shared" si="453"/>
        <v>0</v>
      </c>
      <c r="AA245" s="34"/>
      <c r="AC245" s="34"/>
      <c r="AD245" s="66">
        <f t="shared" si="454"/>
        <v>0</v>
      </c>
      <c r="AE245" s="34"/>
      <c r="AG245" s="34"/>
      <c r="AH245" s="66">
        <f t="shared" si="455"/>
        <v>0</v>
      </c>
      <c r="AI245" s="34"/>
      <c r="AK245" s="34"/>
      <c r="AL245" s="66">
        <f t="shared" si="456"/>
        <v>0</v>
      </c>
      <c r="AM245" s="34"/>
      <c r="AO245" s="34"/>
      <c r="AP245" s="66">
        <f t="shared" si="457"/>
        <v>0</v>
      </c>
      <c r="AQ245" s="34"/>
      <c r="AS245" s="34"/>
      <c r="AT245" s="66">
        <f t="shared" si="458"/>
        <v>0</v>
      </c>
      <c r="AU245" s="34"/>
      <c r="AW245" s="34"/>
      <c r="AX245" s="66">
        <f t="shared" si="459"/>
        <v>0</v>
      </c>
      <c r="AY245" s="34"/>
      <c r="BA245" s="34"/>
      <c r="BB245" s="66">
        <f t="shared" si="460"/>
        <v>0</v>
      </c>
      <c r="BC245" s="34"/>
      <c r="BE245" s="67">
        <f t="shared" si="461"/>
        <v>0</v>
      </c>
      <c r="BF245" s="68">
        <f t="shared" si="462"/>
        <v>0</v>
      </c>
      <c r="BG245" s="67">
        <f t="shared" si="463"/>
        <v>0</v>
      </c>
    </row>
    <row r="246" spans="1:59" ht="21" hidden="1" customHeight="1" x14ac:dyDescent="0.3">
      <c r="A246" s="11"/>
      <c r="B246" s="181"/>
      <c r="C246" s="34"/>
      <c r="D246" s="34"/>
      <c r="E246" s="34"/>
      <c r="F246" s="34"/>
      <c r="G246" s="64" t="str">
        <f>IFERROR(+VLOOKUP(F246,Datos!$P:$Q,2,0),"")</f>
        <v/>
      </c>
      <c r="H246" s="35"/>
      <c r="I246" s="34"/>
      <c r="J246" s="66">
        <f t="shared" si="449"/>
        <v>0</v>
      </c>
      <c r="K246" s="34"/>
      <c r="M246" s="34"/>
      <c r="N246" s="66">
        <f t="shared" si="450"/>
        <v>0</v>
      </c>
      <c r="O246" s="34"/>
      <c r="Q246" s="34"/>
      <c r="R246" s="66">
        <f t="shared" si="451"/>
        <v>0</v>
      </c>
      <c r="S246" s="34"/>
      <c r="U246" s="34"/>
      <c r="V246" s="66">
        <f t="shared" si="452"/>
        <v>0</v>
      </c>
      <c r="W246" s="34"/>
      <c r="Y246" s="34"/>
      <c r="Z246" s="66">
        <f t="shared" si="453"/>
        <v>0</v>
      </c>
      <c r="AA246" s="34"/>
      <c r="AC246" s="34"/>
      <c r="AD246" s="66">
        <f t="shared" si="454"/>
        <v>0</v>
      </c>
      <c r="AE246" s="34"/>
      <c r="AG246" s="34"/>
      <c r="AH246" s="66">
        <f t="shared" si="455"/>
        <v>0</v>
      </c>
      <c r="AI246" s="34"/>
      <c r="AK246" s="34"/>
      <c r="AL246" s="66">
        <f t="shared" si="456"/>
        <v>0</v>
      </c>
      <c r="AM246" s="34"/>
      <c r="AO246" s="34"/>
      <c r="AP246" s="66">
        <f t="shared" si="457"/>
        <v>0</v>
      </c>
      <c r="AQ246" s="34"/>
      <c r="AS246" s="34"/>
      <c r="AT246" s="66">
        <f t="shared" si="458"/>
        <v>0</v>
      </c>
      <c r="AU246" s="34"/>
      <c r="AW246" s="34"/>
      <c r="AX246" s="66">
        <f t="shared" si="459"/>
        <v>0</v>
      </c>
      <c r="AY246" s="34"/>
      <c r="BA246" s="34"/>
      <c r="BB246" s="66">
        <f t="shared" si="460"/>
        <v>0</v>
      </c>
      <c r="BC246" s="34"/>
      <c r="BE246" s="67">
        <f t="shared" si="461"/>
        <v>0</v>
      </c>
      <c r="BF246" s="68">
        <f t="shared" si="462"/>
        <v>0</v>
      </c>
      <c r="BG246" s="67">
        <f t="shared" si="463"/>
        <v>0</v>
      </c>
    </row>
    <row r="247" spans="1:59" ht="21" hidden="1" customHeight="1" x14ac:dyDescent="0.3">
      <c r="A247" s="11"/>
      <c r="B247" s="181"/>
      <c r="C247" s="34"/>
      <c r="D247" s="34"/>
      <c r="E247" s="34"/>
      <c r="F247" s="34"/>
      <c r="G247" s="64" t="str">
        <f>IFERROR(+VLOOKUP(F247,Datos!$P:$Q,2,0),"")</f>
        <v/>
      </c>
      <c r="H247" s="35"/>
      <c r="I247" s="34"/>
      <c r="J247" s="66">
        <f>IFERROR(+K247/I247,0)</f>
        <v>0</v>
      </c>
      <c r="K247" s="34"/>
      <c r="M247" s="34"/>
      <c r="N247" s="66">
        <f>IFERROR(+O247/M247,0)</f>
        <v>0</v>
      </c>
      <c r="O247" s="34"/>
      <c r="Q247" s="34"/>
      <c r="R247" s="66">
        <f>IFERROR(+S247/Q247,0)</f>
        <v>0</v>
      </c>
      <c r="S247" s="34"/>
      <c r="U247" s="34"/>
      <c r="V247" s="66">
        <f>IFERROR(+W247/U247,0)</f>
        <v>0</v>
      </c>
      <c r="W247" s="34"/>
      <c r="Y247" s="34"/>
      <c r="Z247" s="66">
        <f>IFERROR(+AA247/Y247,0)</f>
        <v>0</v>
      </c>
      <c r="AA247" s="34"/>
      <c r="AC247" s="34"/>
      <c r="AD247" s="66">
        <f>IFERROR(+AE247/AC247,0)</f>
        <v>0</v>
      </c>
      <c r="AE247" s="34"/>
      <c r="AG247" s="34"/>
      <c r="AH247" s="66">
        <f>IFERROR(+AI247/AG247,0)</f>
        <v>0</v>
      </c>
      <c r="AI247" s="34"/>
      <c r="AK247" s="34"/>
      <c r="AL247" s="66">
        <f>IFERROR(+AM247/AK247,0)</f>
        <v>0</v>
      </c>
      <c r="AM247" s="34"/>
      <c r="AO247" s="34"/>
      <c r="AP247" s="66">
        <f>IFERROR(+AQ247/AO247,0)</f>
        <v>0</v>
      </c>
      <c r="AQ247" s="34"/>
      <c r="AS247" s="34"/>
      <c r="AT247" s="66">
        <f>IFERROR(+AU247/AS247,0)</f>
        <v>0</v>
      </c>
      <c r="AU247" s="34"/>
      <c r="AW247" s="34"/>
      <c r="AX247" s="66">
        <f>IFERROR(+AY247/AW247,0)</f>
        <v>0</v>
      </c>
      <c r="AY247" s="34"/>
      <c r="BA247" s="34"/>
      <c r="BB247" s="66">
        <f>IFERROR(+BC247/BA247,0)</f>
        <v>0</v>
      </c>
      <c r="BC247" s="34"/>
      <c r="BE247" s="67">
        <f t="shared" si="461"/>
        <v>0</v>
      </c>
      <c r="BF247" s="68">
        <f t="shared" si="462"/>
        <v>0</v>
      </c>
      <c r="BG247" s="67">
        <f t="shared" si="463"/>
        <v>0</v>
      </c>
    </row>
    <row r="248" spans="1:59" ht="21" hidden="1" customHeight="1" x14ac:dyDescent="0.3">
      <c r="A248" s="11"/>
      <c r="B248" s="181"/>
      <c r="C248" s="34"/>
      <c r="D248" s="34"/>
      <c r="E248" s="34"/>
      <c r="F248" s="34"/>
      <c r="G248" s="64" t="str">
        <f>IFERROR(+VLOOKUP(F248,Datos!$P:$Q,2,0),"")</f>
        <v/>
      </c>
      <c r="H248" s="35"/>
      <c r="I248" s="34"/>
      <c r="J248" s="66">
        <f t="shared" si="449"/>
        <v>0</v>
      </c>
      <c r="K248" s="34"/>
      <c r="M248" s="34"/>
      <c r="N248" s="66">
        <f t="shared" si="450"/>
        <v>0</v>
      </c>
      <c r="O248" s="34"/>
      <c r="Q248" s="34"/>
      <c r="R248" s="66">
        <f t="shared" si="451"/>
        <v>0</v>
      </c>
      <c r="S248" s="34"/>
      <c r="U248" s="34"/>
      <c r="V248" s="66">
        <f t="shared" si="452"/>
        <v>0</v>
      </c>
      <c r="W248" s="34"/>
      <c r="Y248" s="34"/>
      <c r="Z248" s="66">
        <f t="shared" si="453"/>
        <v>0</v>
      </c>
      <c r="AA248" s="34"/>
      <c r="AC248" s="34"/>
      <c r="AD248" s="66">
        <f t="shared" si="454"/>
        <v>0</v>
      </c>
      <c r="AE248" s="34"/>
      <c r="AG248" s="34"/>
      <c r="AH248" s="66">
        <f t="shared" si="455"/>
        <v>0</v>
      </c>
      <c r="AI248" s="34"/>
      <c r="AK248" s="34"/>
      <c r="AL248" s="66">
        <f t="shared" si="456"/>
        <v>0</v>
      </c>
      <c r="AM248" s="34"/>
      <c r="AO248" s="34"/>
      <c r="AP248" s="66">
        <f t="shared" si="457"/>
        <v>0</v>
      </c>
      <c r="AQ248" s="34"/>
      <c r="AS248" s="34"/>
      <c r="AT248" s="66">
        <f t="shared" si="458"/>
        <v>0</v>
      </c>
      <c r="AU248" s="34"/>
      <c r="AW248" s="34"/>
      <c r="AX248" s="66">
        <f t="shared" si="459"/>
        <v>0</v>
      </c>
      <c r="AY248" s="34"/>
      <c r="BA248" s="34"/>
      <c r="BB248" s="66">
        <f t="shared" si="460"/>
        <v>0</v>
      </c>
      <c r="BC248" s="34"/>
      <c r="BE248" s="67">
        <f>+I248+M248+Q248++U248+Y248+AC248+AG248+AK248+AO248+AS248+AW248+BA248</f>
        <v>0</v>
      </c>
      <c r="BF248" s="68">
        <f>IFERROR(+BG248/BE248,0)</f>
        <v>0</v>
      </c>
      <c r="BG248" s="67">
        <f>+K248+O248+S248+W248+AA248+AE248+AI248+AM248+AQ248+AU248+AY248+BC248</f>
        <v>0</v>
      </c>
    </row>
    <row r="249" spans="1:59" ht="21" hidden="1" customHeight="1" x14ac:dyDescent="0.3">
      <c r="A249" s="11"/>
      <c r="B249" s="314" t="s">
        <v>227</v>
      </c>
      <c r="C249" s="315"/>
      <c r="D249" s="315"/>
      <c r="E249" s="315"/>
      <c r="F249" s="315"/>
      <c r="G249" s="316"/>
      <c r="H249" s="35"/>
      <c r="I249" s="67">
        <f>SUM(I242:I248)</f>
        <v>0</v>
      </c>
      <c r="J249" s="68">
        <f t="shared" ref="J249" si="464">IFERROR(+K249/I249,0)</f>
        <v>0</v>
      </c>
      <c r="K249" s="67">
        <f>SUM(K242:K248)</f>
        <v>0</v>
      </c>
      <c r="M249" s="67">
        <f>SUM(M242:M248)</f>
        <v>0</v>
      </c>
      <c r="N249" s="68">
        <f t="shared" ref="N249" si="465">IFERROR(+O249/M249,0)</f>
        <v>0</v>
      </c>
      <c r="O249" s="67">
        <f>SUM(O242:O248)</f>
        <v>0</v>
      </c>
      <c r="Q249" s="67">
        <f>SUM(Q242:Q248)</f>
        <v>0</v>
      </c>
      <c r="R249" s="68">
        <f t="shared" ref="R249" si="466">IFERROR(+S249/Q249,0)</f>
        <v>0</v>
      </c>
      <c r="S249" s="67">
        <f>SUM(S242:S248)</f>
        <v>0</v>
      </c>
      <c r="U249" s="67">
        <f>SUM(U242:U248)</f>
        <v>0</v>
      </c>
      <c r="V249" s="68">
        <f t="shared" ref="V249" si="467">IFERROR(+W249/U249,0)</f>
        <v>0</v>
      </c>
      <c r="W249" s="67">
        <f>SUM(W242:W248)</f>
        <v>0</v>
      </c>
      <c r="Y249" s="67">
        <f>SUM(Y242:Y248)</f>
        <v>0</v>
      </c>
      <c r="Z249" s="68">
        <f t="shared" ref="Z249" si="468">IFERROR(+AA249/Y249,0)</f>
        <v>0</v>
      </c>
      <c r="AA249" s="67">
        <f>SUM(AA242:AA248)</f>
        <v>0</v>
      </c>
      <c r="AC249" s="67">
        <f>SUM(AC242:AC248)</f>
        <v>0</v>
      </c>
      <c r="AD249" s="68">
        <f t="shared" ref="AD249" si="469">IFERROR(+AE249/AC249,0)</f>
        <v>0</v>
      </c>
      <c r="AE249" s="67">
        <f>SUM(AE242:AE248)</f>
        <v>0</v>
      </c>
      <c r="AG249" s="67">
        <f>SUM(AG242:AG248)</f>
        <v>0</v>
      </c>
      <c r="AH249" s="68">
        <f t="shared" ref="AH249" si="470">IFERROR(+AI249/AG249,0)</f>
        <v>0</v>
      </c>
      <c r="AI249" s="67">
        <f>SUM(AI242:AI248)</f>
        <v>0</v>
      </c>
      <c r="AK249" s="67">
        <f>SUM(AK242:AK248)</f>
        <v>0</v>
      </c>
      <c r="AL249" s="68">
        <f t="shared" ref="AL249" si="471">IFERROR(+AM249/AK249,0)</f>
        <v>0</v>
      </c>
      <c r="AM249" s="67">
        <f>SUM(AM242:AM248)</f>
        <v>0</v>
      </c>
      <c r="AO249" s="67">
        <f>SUM(AO242:AO248)</f>
        <v>0</v>
      </c>
      <c r="AP249" s="68">
        <f t="shared" ref="AP249" si="472">IFERROR(+AQ249/AO249,0)</f>
        <v>0</v>
      </c>
      <c r="AQ249" s="67">
        <f>SUM(AQ242:AQ248)</f>
        <v>0</v>
      </c>
      <c r="AS249" s="67">
        <f>SUM(AS242:AS248)</f>
        <v>0</v>
      </c>
      <c r="AT249" s="68">
        <f t="shared" ref="AT249" si="473">IFERROR(+AU249/AS249,0)</f>
        <v>0</v>
      </c>
      <c r="AU249" s="67">
        <f>SUM(AU242:AU248)</f>
        <v>0</v>
      </c>
      <c r="AW249" s="67">
        <f>SUM(AW242:AW248)</f>
        <v>0</v>
      </c>
      <c r="AX249" s="68">
        <f t="shared" ref="AX249" si="474">IFERROR(+AY249/AW249,0)</f>
        <v>0</v>
      </c>
      <c r="AY249" s="67">
        <f>SUM(AY242:AY248)</f>
        <v>0</v>
      </c>
      <c r="BA249" s="67">
        <f>SUM(BA242:BA248)</f>
        <v>0</v>
      </c>
      <c r="BB249" s="68">
        <f t="shared" ref="BB249" si="475">IFERROR(+BC249/BA249,0)</f>
        <v>0</v>
      </c>
      <c r="BC249" s="67">
        <f>SUM(BC242:BC248)</f>
        <v>0</v>
      </c>
      <c r="BE249" s="67">
        <f>SUM(BE242:BE248)</f>
        <v>0</v>
      </c>
      <c r="BF249" s="68">
        <f t="shared" ref="BF249" si="476">IFERROR(+BG249/BE249,0)</f>
        <v>0</v>
      </c>
      <c r="BG249" s="67">
        <f>SUM(BG242:BG248)</f>
        <v>0</v>
      </c>
    </row>
    <row r="250" spans="1:59" hidden="1" x14ac:dyDescent="0.3"/>
    <row r="251" spans="1:59" ht="36" hidden="1" customHeight="1" x14ac:dyDescent="0.3">
      <c r="A251" s="11"/>
      <c r="B251" s="318" t="s">
        <v>741</v>
      </c>
      <c r="C251" s="318"/>
      <c r="D251" s="318"/>
      <c r="E251" s="318"/>
      <c r="F251" s="318"/>
      <c r="G251" s="318"/>
      <c r="H251" s="318"/>
      <c r="I251" s="318"/>
      <c r="J251" s="318"/>
    </row>
    <row r="252" spans="1:59" hidden="1" x14ac:dyDescent="0.3"/>
    <row r="253" spans="1:59" ht="21" hidden="1" customHeight="1" x14ac:dyDescent="0.3">
      <c r="A253" s="11"/>
      <c r="B253" s="312" t="s">
        <v>894</v>
      </c>
      <c r="C253" s="312" t="s">
        <v>895</v>
      </c>
      <c r="D253" s="281" t="s">
        <v>235</v>
      </c>
      <c r="E253" s="302" t="s">
        <v>232</v>
      </c>
      <c r="F253" s="302" t="s">
        <v>233</v>
      </c>
      <c r="G253" s="299" t="s">
        <v>234</v>
      </c>
      <c r="H253" s="36"/>
      <c r="I253" s="301" t="str">
        <f>+"Enero "&amp;$I$6&amp;""</f>
        <v>Enero 2025</v>
      </c>
      <c r="J253" s="301"/>
      <c r="K253" s="301"/>
      <c r="M253" s="301" t="str">
        <f>+"Febrero "&amp;$I$6&amp;""</f>
        <v>Febrero 2025</v>
      </c>
      <c r="N253" s="301"/>
      <c r="O253" s="301"/>
      <c r="Q253" s="301" t="str">
        <f>+"Marzo "&amp;$I$6&amp;""</f>
        <v>Marzo 2025</v>
      </c>
      <c r="R253" s="301"/>
      <c r="S253" s="301"/>
      <c r="U253" s="301" t="str">
        <f>+"Abril "&amp;$I$6&amp;""</f>
        <v>Abril 2025</v>
      </c>
      <c r="V253" s="301"/>
      <c r="W253" s="301"/>
      <c r="Y253" s="301" t="str">
        <f>+"Mayo "&amp;$I$6&amp;""</f>
        <v>Mayo 2025</v>
      </c>
      <c r="Z253" s="301"/>
      <c r="AA253" s="301"/>
      <c r="AC253" s="301" t="str">
        <f>+"Junio "&amp;$I$6&amp;""</f>
        <v>Junio 2025</v>
      </c>
      <c r="AD253" s="301"/>
      <c r="AE253" s="301"/>
      <c r="AG253" s="301" t="str">
        <f>+"Julio "&amp;$I$6&amp;""</f>
        <v>Julio 2025</v>
      </c>
      <c r="AH253" s="301"/>
      <c r="AI253" s="301"/>
      <c r="AK253" s="301" t="str">
        <f>+"Agosto "&amp;$I$6&amp;""</f>
        <v>Agosto 2025</v>
      </c>
      <c r="AL253" s="301"/>
      <c r="AM253" s="301"/>
      <c r="AO253" s="301" t="str">
        <f>+"Septiembre "&amp;$I$6&amp;""</f>
        <v>Septiembre 2025</v>
      </c>
      <c r="AP253" s="301"/>
      <c r="AQ253" s="301"/>
      <c r="AS253" s="301" t="str">
        <f>+"Octubre "&amp;$I$6&amp;""</f>
        <v>Octubre 2025</v>
      </c>
      <c r="AT253" s="301"/>
      <c r="AU253" s="301"/>
      <c r="AW253" s="301" t="str">
        <f>+"Noviembre "&amp;$I$6&amp;""</f>
        <v>Noviembre 2025</v>
      </c>
      <c r="AX253" s="301"/>
      <c r="AY253" s="301"/>
      <c r="BA253" s="301" t="str">
        <f>+"Diciembre "&amp;$I$6&amp;""</f>
        <v>Diciembre 2025</v>
      </c>
      <c r="BB253" s="301"/>
      <c r="BC253" s="301"/>
      <c r="BE253" s="301" t="str">
        <f>+"Acumulado "&amp;$I$6&amp;""</f>
        <v>Acumulado 2025</v>
      </c>
      <c r="BF253" s="301"/>
      <c r="BG253" s="301"/>
    </row>
    <row r="254" spans="1:59" ht="21" hidden="1" customHeight="1" x14ac:dyDescent="0.3">
      <c r="A254" s="11"/>
      <c r="B254" s="312"/>
      <c r="C254" s="312"/>
      <c r="D254" s="282"/>
      <c r="E254" s="303"/>
      <c r="F254" s="303"/>
      <c r="G254" s="317"/>
      <c r="H254" s="36"/>
      <c r="I254" s="223" t="s">
        <v>60</v>
      </c>
      <c r="J254" s="299" t="s">
        <v>61</v>
      </c>
      <c r="K254" s="223" t="s">
        <v>62</v>
      </c>
      <c r="L254" s="20"/>
      <c r="M254" s="223" t="s">
        <v>60</v>
      </c>
      <c r="N254" s="299" t="s">
        <v>61</v>
      </c>
      <c r="O254" s="223" t="s">
        <v>62</v>
      </c>
      <c r="P254" s="20"/>
      <c r="Q254" s="223" t="s">
        <v>60</v>
      </c>
      <c r="R254" s="299" t="s">
        <v>61</v>
      </c>
      <c r="S254" s="223" t="s">
        <v>62</v>
      </c>
      <c r="T254" s="20"/>
      <c r="U254" s="223" t="s">
        <v>60</v>
      </c>
      <c r="V254" s="299" t="s">
        <v>61</v>
      </c>
      <c r="W254" s="223" t="s">
        <v>62</v>
      </c>
      <c r="X254" s="20"/>
      <c r="Y254" s="223" t="s">
        <v>60</v>
      </c>
      <c r="Z254" s="299" t="s">
        <v>61</v>
      </c>
      <c r="AA254" s="223" t="s">
        <v>62</v>
      </c>
      <c r="AB254" s="20"/>
      <c r="AC254" s="223" t="s">
        <v>60</v>
      </c>
      <c r="AD254" s="299" t="s">
        <v>61</v>
      </c>
      <c r="AE254" s="223" t="s">
        <v>62</v>
      </c>
      <c r="AF254" s="20"/>
      <c r="AG254" s="223" t="s">
        <v>60</v>
      </c>
      <c r="AH254" s="299" t="s">
        <v>61</v>
      </c>
      <c r="AI254" s="223" t="s">
        <v>62</v>
      </c>
      <c r="AJ254" s="20"/>
      <c r="AK254" s="223" t="s">
        <v>60</v>
      </c>
      <c r="AL254" s="299" t="s">
        <v>61</v>
      </c>
      <c r="AM254" s="223" t="s">
        <v>62</v>
      </c>
      <c r="AN254" s="20"/>
      <c r="AO254" s="223" t="s">
        <v>60</v>
      </c>
      <c r="AP254" s="299" t="s">
        <v>61</v>
      </c>
      <c r="AQ254" s="223" t="s">
        <v>62</v>
      </c>
      <c r="AR254" s="20"/>
      <c r="AS254" s="223" t="s">
        <v>60</v>
      </c>
      <c r="AT254" s="299" t="s">
        <v>61</v>
      </c>
      <c r="AU254" s="223" t="s">
        <v>62</v>
      </c>
      <c r="AV254" s="20"/>
      <c r="AW254" s="223" t="s">
        <v>60</v>
      </c>
      <c r="AX254" s="299" t="s">
        <v>61</v>
      </c>
      <c r="AY254" s="223" t="s">
        <v>62</v>
      </c>
      <c r="AZ254" s="20"/>
      <c r="BA254" s="223" t="s">
        <v>60</v>
      </c>
      <c r="BB254" s="299" t="s">
        <v>61</v>
      </c>
      <c r="BC254" s="223" t="s">
        <v>62</v>
      </c>
      <c r="BD254" s="20"/>
      <c r="BE254" s="223" t="s">
        <v>60</v>
      </c>
      <c r="BF254" s="299" t="s">
        <v>61</v>
      </c>
      <c r="BG254" s="223" t="s">
        <v>62</v>
      </c>
    </row>
    <row r="255" spans="1:59" ht="21" hidden="1" customHeight="1" x14ac:dyDescent="0.3">
      <c r="A255" s="11"/>
      <c r="B255" s="312"/>
      <c r="C255" s="312"/>
      <c r="D255" s="283"/>
      <c r="E255" s="304"/>
      <c r="F255" s="304"/>
      <c r="G255" s="300"/>
      <c r="H255" s="36"/>
      <c r="I255" s="224" t="s">
        <v>1004</v>
      </c>
      <c r="J255" s="300"/>
      <c r="K255" s="224" t="s">
        <v>1005</v>
      </c>
      <c r="L255" s="20"/>
      <c r="M255" s="224" t="s">
        <v>1004</v>
      </c>
      <c r="N255" s="300"/>
      <c r="O255" s="224" t="s">
        <v>1005</v>
      </c>
      <c r="P255" s="20"/>
      <c r="Q255" s="224" t="s">
        <v>1004</v>
      </c>
      <c r="R255" s="300"/>
      <c r="S255" s="224" t="s">
        <v>1005</v>
      </c>
      <c r="T255" s="20"/>
      <c r="U255" s="224" t="s">
        <v>1004</v>
      </c>
      <c r="V255" s="300"/>
      <c r="W255" s="224" t="s">
        <v>1005</v>
      </c>
      <c r="X255" s="20"/>
      <c r="Y255" s="224" t="s">
        <v>1004</v>
      </c>
      <c r="Z255" s="300"/>
      <c r="AA255" s="224" t="s">
        <v>1005</v>
      </c>
      <c r="AB255" s="20"/>
      <c r="AC255" s="224" t="s">
        <v>1004</v>
      </c>
      <c r="AD255" s="300"/>
      <c r="AE255" s="224" t="s">
        <v>1005</v>
      </c>
      <c r="AF255" s="20"/>
      <c r="AG255" s="224" t="s">
        <v>1004</v>
      </c>
      <c r="AH255" s="300"/>
      <c r="AI255" s="224" t="s">
        <v>1005</v>
      </c>
      <c r="AJ255" s="20"/>
      <c r="AK255" s="224" t="s">
        <v>1004</v>
      </c>
      <c r="AL255" s="300"/>
      <c r="AM255" s="224" t="s">
        <v>1005</v>
      </c>
      <c r="AN255" s="20"/>
      <c r="AO255" s="224" t="s">
        <v>1004</v>
      </c>
      <c r="AP255" s="300"/>
      <c r="AQ255" s="224" t="s">
        <v>1005</v>
      </c>
      <c r="AR255" s="20"/>
      <c r="AS255" s="224" t="s">
        <v>1004</v>
      </c>
      <c r="AT255" s="300"/>
      <c r="AU255" s="224" t="s">
        <v>1005</v>
      </c>
      <c r="AV255" s="20"/>
      <c r="AW255" s="224" t="s">
        <v>1004</v>
      </c>
      <c r="AX255" s="300"/>
      <c r="AY255" s="224" t="s">
        <v>1005</v>
      </c>
      <c r="AZ255" s="20"/>
      <c r="BA255" s="224" t="s">
        <v>1004</v>
      </c>
      <c r="BB255" s="300"/>
      <c r="BC255" s="224" t="s">
        <v>1005</v>
      </c>
      <c r="BD255" s="20"/>
      <c r="BE255" s="224" t="s">
        <v>1004</v>
      </c>
      <c r="BF255" s="300"/>
      <c r="BG255" s="224" t="s">
        <v>1005</v>
      </c>
    </row>
    <row r="256" spans="1:59" ht="21" hidden="1" customHeight="1" x14ac:dyDescent="0.3">
      <c r="A256" s="11"/>
      <c r="B256" s="181"/>
      <c r="C256" s="34"/>
      <c r="D256" s="34"/>
      <c r="E256" s="34"/>
      <c r="F256" s="34"/>
      <c r="G256" s="64" t="str">
        <f>IFERROR(+VLOOKUP(F256,Datos!$P:$Q,2,0),"")</f>
        <v/>
      </c>
      <c r="H256" s="35"/>
      <c r="I256" s="34"/>
      <c r="J256" s="66">
        <f>IFERROR(+K256/I256,0)</f>
        <v>0</v>
      </c>
      <c r="K256" s="34"/>
      <c r="M256" s="34"/>
      <c r="N256" s="66">
        <f>IFERROR(+O256/M256,0)</f>
        <v>0</v>
      </c>
      <c r="O256" s="34"/>
      <c r="Q256" s="34"/>
      <c r="R256" s="66">
        <f>IFERROR(+S256/Q256,0)</f>
        <v>0</v>
      </c>
      <c r="S256" s="34"/>
      <c r="U256" s="34"/>
      <c r="V256" s="66">
        <f>IFERROR(+W256/U256,0)</f>
        <v>0</v>
      </c>
      <c r="W256" s="34"/>
      <c r="Y256" s="34"/>
      <c r="Z256" s="66">
        <f>IFERROR(+AA256/Y256,0)</f>
        <v>0</v>
      </c>
      <c r="AA256" s="34"/>
      <c r="AC256" s="34"/>
      <c r="AD256" s="66">
        <f>IFERROR(+AE256/AC256,0)</f>
        <v>0</v>
      </c>
      <c r="AE256" s="34"/>
      <c r="AG256" s="34"/>
      <c r="AH256" s="66">
        <f>IFERROR(+AI256/AG256,0)</f>
        <v>0</v>
      </c>
      <c r="AI256" s="34"/>
      <c r="AK256" s="34"/>
      <c r="AL256" s="66">
        <f>IFERROR(+AM256/AK256,0)</f>
        <v>0</v>
      </c>
      <c r="AM256" s="34"/>
      <c r="AO256" s="34"/>
      <c r="AP256" s="66">
        <f>IFERROR(+AQ256/AO256,0)</f>
        <v>0</v>
      </c>
      <c r="AQ256" s="34"/>
      <c r="AS256" s="34"/>
      <c r="AT256" s="66">
        <f>IFERROR(+AU256/AS256,0)</f>
        <v>0</v>
      </c>
      <c r="AU256" s="34"/>
      <c r="AW256" s="34"/>
      <c r="AX256" s="66">
        <f>IFERROR(+AY256/AW256,0)</f>
        <v>0</v>
      </c>
      <c r="AY256" s="34"/>
      <c r="BA256" s="34"/>
      <c r="BB256" s="66">
        <f>IFERROR(+BC256/BA256,0)</f>
        <v>0</v>
      </c>
      <c r="BC256" s="34"/>
      <c r="BE256" s="67">
        <f>+I256+M256+Q256++U256+Y256+AC256+AG256+AK256+AO256+AS256+AW256+BA256</f>
        <v>0</v>
      </c>
      <c r="BF256" s="68">
        <f>IFERROR(+BG256/BE256,0)</f>
        <v>0</v>
      </c>
      <c r="BG256" s="67">
        <f>+K256+O256+S256+W256+AA256+AE256+AI256+AM256+AQ256+AU256+AY256+BC256</f>
        <v>0</v>
      </c>
    </row>
    <row r="257" spans="1:59" ht="21" hidden="1" customHeight="1" x14ac:dyDescent="0.3">
      <c r="A257" s="11"/>
      <c r="B257" s="181"/>
      <c r="C257" s="34"/>
      <c r="D257" s="34"/>
      <c r="E257" s="34"/>
      <c r="F257" s="34"/>
      <c r="G257" s="64" t="str">
        <f>IFERROR(+VLOOKUP(F257,Datos!$P:$Q,2,0),"")</f>
        <v/>
      </c>
      <c r="H257" s="35"/>
      <c r="I257" s="34"/>
      <c r="J257" s="66">
        <f t="shared" ref="J257:J262" si="477">IFERROR(+K257/I257,0)</f>
        <v>0</v>
      </c>
      <c r="K257" s="34"/>
      <c r="M257" s="34"/>
      <c r="N257" s="66">
        <f t="shared" ref="N257:N262" si="478">IFERROR(+O257/M257,0)</f>
        <v>0</v>
      </c>
      <c r="O257" s="34"/>
      <c r="Q257" s="34"/>
      <c r="R257" s="66">
        <f t="shared" ref="R257:R262" si="479">IFERROR(+S257/Q257,0)</f>
        <v>0</v>
      </c>
      <c r="S257" s="34"/>
      <c r="U257" s="34"/>
      <c r="V257" s="66">
        <f t="shared" ref="V257:V262" si="480">IFERROR(+W257/U257,0)</f>
        <v>0</v>
      </c>
      <c r="W257" s="34"/>
      <c r="Y257" s="34"/>
      <c r="Z257" s="66">
        <f t="shared" ref="Z257:Z262" si="481">IFERROR(+AA257/Y257,0)</f>
        <v>0</v>
      </c>
      <c r="AA257" s="34"/>
      <c r="AC257" s="34"/>
      <c r="AD257" s="66">
        <f t="shared" ref="AD257:AD262" si="482">IFERROR(+AE257/AC257,0)</f>
        <v>0</v>
      </c>
      <c r="AE257" s="34"/>
      <c r="AG257" s="34"/>
      <c r="AH257" s="66">
        <f t="shared" ref="AH257:AH262" si="483">IFERROR(+AI257/AG257,0)</f>
        <v>0</v>
      </c>
      <c r="AI257" s="34"/>
      <c r="AK257" s="34"/>
      <c r="AL257" s="66">
        <f t="shared" ref="AL257:AL262" si="484">IFERROR(+AM257/AK257,0)</f>
        <v>0</v>
      </c>
      <c r="AM257" s="34"/>
      <c r="AO257" s="34"/>
      <c r="AP257" s="66">
        <f t="shared" ref="AP257:AP262" si="485">IFERROR(+AQ257/AO257,0)</f>
        <v>0</v>
      </c>
      <c r="AQ257" s="34"/>
      <c r="AS257" s="34"/>
      <c r="AT257" s="66">
        <f t="shared" ref="AT257:AT262" si="486">IFERROR(+AU257/AS257,0)</f>
        <v>0</v>
      </c>
      <c r="AU257" s="34"/>
      <c r="AW257" s="34"/>
      <c r="AX257" s="66">
        <f t="shared" ref="AX257:AX262" si="487">IFERROR(+AY257/AW257,0)</f>
        <v>0</v>
      </c>
      <c r="AY257" s="34"/>
      <c r="BA257" s="34"/>
      <c r="BB257" s="66">
        <f t="shared" ref="BB257:BB262" si="488">IFERROR(+BC257/BA257,0)</f>
        <v>0</v>
      </c>
      <c r="BC257" s="34"/>
      <c r="BE257" s="67">
        <f t="shared" ref="BE257:BE261" si="489">+I257+M257+Q257++U257+Y257+AC257+AG257+AK257+AO257+AS257+AW257+BA257</f>
        <v>0</v>
      </c>
      <c r="BF257" s="68">
        <f t="shared" ref="BF257:BF261" si="490">IFERROR(+BG257/BE257,0)</f>
        <v>0</v>
      </c>
      <c r="BG257" s="67">
        <f t="shared" ref="BG257:BG261" si="491">+K257+O257+S257+W257+AA257+AE257+AI257+AM257+AQ257+AU257+AY257+BC257</f>
        <v>0</v>
      </c>
    </row>
    <row r="258" spans="1:59" ht="21" hidden="1" customHeight="1" x14ac:dyDescent="0.3">
      <c r="A258" s="11"/>
      <c r="B258" s="181"/>
      <c r="C258" s="34"/>
      <c r="D258" s="34"/>
      <c r="E258" s="34"/>
      <c r="F258" s="34"/>
      <c r="G258" s="64" t="str">
        <f>IFERROR(+VLOOKUP(F258,Datos!$P:$Q,2,0),"")</f>
        <v/>
      </c>
      <c r="H258" s="35"/>
      <c r="I258" s="34"/>
      <c r="J258" s="66">
        <f t="shared" si="477"/>
        <v>0</v>
      </c>
      <c r="K258" s="34"/>
      <c r="M258" s="34"/>
      <c r="N258" s="66">
        <f t="shared" si="478"/>
        <v>0</v>
      </c>
      <c r="O258" s="34"/>
      <c r="Q258" s="34"/>
      <c r="R258" s="66">
        <f t="shared" si="479"/>
        <v>0</v>
      </c>
      <c r="S258" s="34"/>
      <c r="U258" s="34"/>
      <c r="V258" s="66">
        <f t="shared" si="480"/>
        <v>0</v>
      </c>
      <c r="W258" s="34"/>
      <c r="Y258" s="34"/>
      <c r="Z258" s="66">
        <f t="shared" si="481"/>
        <v>0</v>
      </c>
      <c r="AA258" s="34"/>
      <c r="AC258" s="34"/>
      <c r="AD258" s="66">
        <f t="shared" si="482"/>
        <v>0</v>
      </c>
      <c r="AE258" s="34"/>
      <c r="AG258" s="34"/>
      <c r="AH258" s="66">
        <f t="shared" si="483"/>
        <v>0</v>
      </c>
      <c r="AI258" s="34"/>
      <c r="AK258" s="34"/>
      <c r="AL258" s="66">
        <f t="shared" si="484"/>
        <v>0</v>
      </c>
      <c r="AM258" s="34"/>
      <c r="AO258" s="34"/>
      <c r="AP258" s="66">
        <f t="shared" si="485"/>
        <v>0</v>
      </c>
      <c r="AQ258" s="34"/>
      <c r="AS258" s="34"/>
      <c r="AT258" s="66">
        <f t="shared" si="486"/>
        <v>0</v>
      </c>
      <c r="AU258" s="34"/>
      <c r="AW258" s="34"/>
      <c r="AX258" s="66">
        <f t="shared" si="487"/>
        <v>0</v>
      </c>
      <c r="AY258" s="34"/>
      <c r="BA258" s="34"/>
      <c r="BB258" s="66">
        <f t="shared" si="488"/>
        <v>0</v>
      </c>
      <c r="BC258" s="34"/>
      <c r="BE258" s="67">
        <f t="shared" si="489"/>
        <v>0</v>
      </c>
      <c r="BF258" s="68">
        <f t="shared" si="490"/>
        <v>0</v>
      </c>
      <c r="BG258" s="67">
        <f t="shared" si="491"/>
        <v>0</v>
      </c>
    </row>
    <row r="259" spans="1:59" ht="21" hidden="1" customHeight="1" x14ac:dyDescent="0.3">
      <c r="A259" s="11"/>
      <c r="B259" s="181"/>
      <c r="C259" s="34"/>
      <c r="D259" s="34"/>
      <c r="E259" s="34"/>
      <c r="F259" s="34"/>
      <c r="G259" s="64" t="str">
        <f>IFERROR(+VLOOKUP(F259,Datos!$P:$Q,2,0),"")</f>
        <v/>
      </c>
      <c r="H259" s="35"/>
      <c r="I259" s="34"/>
      <c r="J259" s="66">
        <f t="shared" si="477"/>
        <v>0</v>
      </c>
      <c r="K259" s="34"/>
      <c r="M259" s="34"/>
      <c r="N259" s="66">
        <f t="shared" si="478"/>
        <v>0</v>
      </c>
      <c r="O259" s="34"/>
      <c r="Q259" s="34"/>
      <c r="R259" s="66">
        <f t="shared" si="479"/>
        <v>0</v>
      </c>
      <c r="S259" s="34"/>
      <c r="U259" s="34"/>
      <c r="V259" s="66">
        <f t="shared" si="480"/>
        <v>0</v>
      </c>
      <c r="W259" s="34"/>
      <c r="Y259" s="34"/>
      <c r="Z259" s="66">
        <f t="shared" si="481"/>
        <v>0</v>
      </c>
      <c r="AA259" s="34"/>
      <c r="AC259" s="34"/>
      <c r="AD259" s="66">
        <f t="shared" si="482"/>
        <v>0</v>
      </c>
      <c r="AE259" s="34"/>
      <c r="AG259" s="34"/>
      <c r="AH259" s="66">
        <f t="shared" si="483"/>
        <v>0</v>
      </c>
      <c r="AI259" s="34"/>
      <c r="AK259" s="34"/>
      <c r="AL259" s="66">
        <f t="shared" si="484"/>
        <v>0</v>
      </c>
      <c r="AM259" s="34"/>
      <c r="AO259" s="34"/>
      <c r="AP259" s="66">
        <f t="shared" si="485"/>
        <v>0</v>
      </c>
      <c r="AQ259" s="34"/>
      <c r="AS259" s="34"/>
      <c r="AT259" s="66">
        <f t="shared" si="486"/>
        <v>0</v>
      </c>
      <c r="AU259" s="34"/>
      <c r="AW259" s="34"/>
      <c r="AX259" s="66">
        <f t="shared" si="487"/>
        <v>0</v>
      </c>
      <c r="AY259" s="34"/>
      <c r="BA259" s="34"/>
      <c r="BB259" s="66">
        <f t="shared" si="488"/>
        <v>0</v>
      </c>
      <c r="BC259" s="34"/>
      <c r="BE259" s="67">
        <f t="shared" si="489"/>
        <v>0</v>
      </c>
      <c r="BF259" s="68">
        <f t="shared" si="490"/>
        <v>0</v>
      </c>
      <c r="BG259" s="67">
        <f t="shared" si="491"/>
        <v>0</v>
      </c>
    </row>
    <row r="260" spans="1:59" ht="21" hidden="1" customHeight="1" x14ac:dyDescent="0.3">
      <c r="A260" s="11"/>
      <c r="B260" s="181"/>
      <c r="C260" s="34"/>
      <c r="D260" s="34"/>
      <c r="E260" s="34"/>
      <c r="F260" s="34"/>
      <c r="G260" s="64" t="str">
        <f>IFERROR(+VLOOKUP(F260,Datos!$P:$Q,2,0),"")</f>
        <v/>
      </c>
      <c r="H260" s="35"/>
      <c r="I260" s="34"/>
      <c r="J260" s="66">
        <f t="shared" si="477"/>
        <v>0</v>
      </c>
      <c r="K260" s="34"/>
      <c r="M260" s="34"/>
      <c r="N260" s="66">
        <f t="shared" si="478"/>
        <v>0</v>
      </c>
      <c r="O260" s="34"/>
      <c r="Q260" s="34"/>
      <c r="R260" s="66">
        <f t="shared" si="479"/>
        <v>0</v>
      </c>
      <c r="S260" s="34"/>
      <c r="U260" s="34"/>
      <c r="V260" s="66">
        <f t="shared" si="480"/>
        <v>0</v>
      </c>
      <c r="W260" s="34"/>
      <c r="Y260" s="34"/>
      <c r="Z260" s="66">
        <f t="shared" si="481"/>
        <v>0</v>
      </c>
      <c r="AA260" s="34"/>
      <c r="AC260" s="34"/>
      <c r="AD260" s="66">
        <f t="shared" si="482"/>
        <v>0</v>
      </c>
      <c r="AE260" s="34"/>
      <c r="AG260" s="34"/>
      <c r="AH260" s="66">
        <f t="shared" si="483"/>
        <v>0</v>
      </c>
      <c r="AI260" s="34"/>
      <c r="AK260" s="34"/>
      <c r="AL260" s="66">
        <f t="shared" si="484"/>
        <v>0</v>
      </c>
      <c r="AM260" s="34"/>
      <c r="AO260" s="34"/>
      <c r="AP260" s="66">
        <f t="shared" si="485"/>
        <v>0</v>
      </c>
      <c r="AQ260" s="34"/>
      <c r="AS260" s="34"/>
      <c r="AT260" s="66">
        <f t="shared" si="486"/>
        <v>0</v>
      </c>
      <c r="AU260" s="34"/>
      <c r="AW260" s="34"/>
      <c r="AX260" s="66">
        <f t="shared" si="487"/>
        <v>0</v>
      </c>
      <c r="AY260" s="34"/>
      <c r="BA260" s="34"/>
      <c r="BB260" s="66">
        <f t="shared" si="488"/>
        <v>0</v>
      </c>
      <c r="BC260" s="34"/>
      <c r="BE260" s="67">
        <f t="shared" si="489"/>
        <v>0</v>
      </c>
      <c r="BF260" s="68">
        <f t="shared" si="490"/>
        <v>0</v>
      </c>
      <c r="BG260" s="67">
        <f t="shared" si="491"/>
        <v>0</v>
      </c>
    </row>
    <row r="261" spans="1:59" ht="21" hidden="1" customHeight="1" x14ac:dyDescent="0.3">
      <c r="A261" s="11"/>
      <c r="B261" s="181"/>
      <c r="C261" s="34"/>
      <c r="D261" s="34"/>
      <c r="E261" s="34"/>
      <c r="F261" s="34"/>
      <c r="G261" s="64" t="str">
        <f>IFERROR(+VLOOKUP(F261,Datos!$P:$Q,2,0),"")</f>
        <v/>
      </c>
      <c r="H261" s="35"/>
      <c r="I261" s="34"/>
      <c r="J261" s="66">
        <f>IFERROR(+K261/I261,0)</f>
        <v>0</v>
      </c>
      <c r="K261" s="34"/>
      <c r="M261" s="34"/>
      <c r="N261" s="66">
        <f>IFERROR(+O261/M261,0)</f>
        <v>0</v>
      </c>
      <c r="O261" s="34"/>
      <c r="Q261" s="34"/>
      <c r="R261" s="66">
        <f>IFERROR(+S261/Q261,0)</f>
        <v>0</v>
      </c>
      <c r="S261" s="34"/>
      <c r="U261" s="34"/>
      <c r="V261" s="66">
        <f>IFERROR(+W261/U261,0)</f>
        <v>0</v>
      </c>
      <c r="W261" s="34"/>
      <c r="Y261" s="34"/>
      <c r="Z261" s="66">
        <f>IFERROR(+AA261/Y261,0)</f>
        <v>0</v>
      </c>
      <c r="AA261" s="34"/>
      <c r="AC261" s="34"/>
      <c r="AD261" s="66">
        <f>IFERROR(+AE261/AC261,0)</f>
        <v>0</v>
      </c>
      <c r="AE261" s="34"/>
      <c r="AG261" s="34"/>
      <c r="AH261" s="66">
        <f>IFERROR(+AI261/AG261,0)</f>
        <v>0</v>
      </c>
      <c r="AI261" s="34"/>
      <c r="AK261" s="34"/>
      <c r="AL261" s="66">
        <f>IFERROR(+AM261/AK261,0)</f>
        <v>0</v>
      </c>
      <c r="AM261" s="34"/>
      <c r="AO261" s="34"/>
      <c r="AP261" s="66">
        <f>IFERROR(+AQ261/AO261,0)</f>
        <v>0</v>
      </c>
      <c r="AQ261" s="34"/>
      <c r="AS261" s="34"/>
      <c r="AT261" s="66">
        <f>IFERROR(+AU261/AS261,0)</f>
        <v>0</v>
      </c>
      <c r="AU261" s="34"/>
      <c r="AW261" s="34"/>
      <c r="AX261" s="66">
        <f>IFERROR(+AY261/AW261,0)</f>
        <v>0</v>
      </c>
      <c r="AY261" s="34"/>
      <c r="BA261" s="34"/>
      <c r="BB261" s="66">
        <f>IFERROR(+BC261/BA261,0)</f>
        <v>0</v>
      </c>
      <c r="BC261" s="34"/>
      <c r="BE261" s="67">
        <f t="shared" si="489"/>
        <v>0</v>
      </c>
      <c r="BF261" s="68">
        <f t="shared" si="490"/>
        <v>0</v>
      </c>
      <c r="BG261" s="67">
        <f t="shared" si="491"/>
        <v>0</v>
      </c>
    </row>
    <row r="262" spans="1:59" ht="21" hidden="1" customHeight="1" x14ac:dyDescent="0.3">
      <c r="A262" s="11"/>
      <c r="B262" s="181"/>
      <c r="C262" s="34"/>
      <c r="D262" s="34"/>
      <c r="E262" s="34"/>
      <c r="F262" s="34"/>
      <c r="G262" s="64" t="str">
        <f>IFERROR(+VLOOKUP(F262,Datos!$P:$Q,2,0),"")</f>
        <v/>
      </c>
      <c r="H262" s="35"/>
      <c r="I262" s="34"/>
      <c r="J262" s="66">
        <f t="shared" si="477"/>
        <v>0</v>
      </c>
      <c r="K262" s="34"/>
      <c r="M262" s="34"/>
      <c r="N262" s="66">
        <f t="shared" si="478"/>
        <v>0</v>
      </c>
      <c r="O262" s="34"/>
      <c r="Q262" s="34"/>
      <c r="R262" s="66">
        <f t="shared" si="479"/>
        <v>0</v>
      </c>
      <c r="S262" s="34"/>
      <c r="U262" s="34"/>
      <c r="V262" s="66">
        <f t="shared" si="480"/>
        <v>0</v>
      </c>
      <c r="W262" s="34"/>
      <c r="Y262" s="34"/>
      <c r="Z262" s="66">
        <f t="shared" si="481"/>
        <v>0</v>
      </c>
      <c r="AA262" s="34"/>
      <c r="AC262" s="34"/>
      <c r="AD262" s="66">
        <f t="shared" si="482"/>
        <v>0</v>
      </c>
      <c r="AE262" s="34"/>
      <c r="AG262" s="34"/>
      <c r="AH262" s="66">
        <f t="shared" si="483"/>
        <v>0</v>
      </c>
      <c r="AI262" s="34"/>
      <c r="AK262" s="34"/>
      <c r="AL262" s="66">
        <f t="shared" si="484"/>
        <v>0</v>
      </c>
      <c r="AM262" s="34"/>
      <c r="AO262" s="34"/>
      <c r="AP262" s="66">
        <f t="shared" si="485"/>
        <v>0</v>
      </c>
      <c r="AQ262" s="34"/>
      <c r="AS262" s="34"/>
      <c r="AT262" s="66">
        <f t="shared" si="486"/>
        <v>0</v>
      </c>
      <c r="AU262" s="34"/>
      <c r="AW262" s="34"/>
      <c r="AX262" s="66">
        <f t="shared" si="487"/>
        <v>0</v>
      </c>
      <c r="AY262" s="34"/>
      <c r="BA262" s="34"/>
      <c r="BB262" s="66">
        <f t="shared" si="488"/>
        <v>0</v>
      </c>
      <c r="BC262" s="34"/>
      <c r="BE262" s="67">
        <f>+I262+M262+Q262++U262+Y262+AC262+AG262+AK262+AO262+AS262+AW262+BA262</f>
        <v>0</v>
      </c>
      <c r="BF262" s="68">
        <f>IFERROR(+BG262/BE262,0)</f>
        <v>0</v>
      </c>
      <c r="BG262" s="67">
        <f>+K262+O262+S262+W262+AA262+AE262+AI262+AM262+AQ262+AU262+AY262+BC262</f>
        <v>0</v>
      </c>
    </row>
    <row r="263" spans="1:59" ht="21" hidden="1" customHeight="1" x14ac:dyDescent="0.3">
      <c r="A263" s="11"/>
      <c r="B263" s="314" t="s">
        <v>227</v>
      </c>
      <c r="C263" s="315"/>
      <c r="D263" s="315"/>
      <c r="E263" s="315"/>
      <c r="F263" s="315"/>
      <c r="G263" s="316"/>
      <c r="H263" s="35"/>
      <c r="I263" s="67">
        <f>SUM(I256:I262)</f>
        <v>0</v>
      </c>
      <c r="J263" s="68">
        <f t="shared" ref="J263" si="492">IFERROR(+K263/I263,0)</f>
        <v>0</v>
      </c>
      <c r="K263" s="67">
        <f>SUM(K256:K262)</f>
        <v>0</v>
      </c>
      <c r="M263" s="67">
        <f>SUM(M256:M262)</f>
        <v>0</v>
      </c>
      <c r="N263" s="68">
        <f t="shared" ref="N263" si="493">IFERROR(+O263/M263,0)</f>
        <v>0</v>
      </c>
      <c r="O263" s="67">
        <f>SUM(O256:O262)</f>
        <v>0</v>
      </c>
      <c r="Q263" s="67">
        <f>SUM(Q256:Q262)</f>
        <v>0</v>
      </c>
      <c r="R263" s="68">
        <f t="shared" ref="R263" si="494">IFERROR(+S263/Q263,0)</f>
        <v>0</v>
      </c>
      <c r="S263" s="67">
        <f>SUM(S256:S262)</f>
        <v>0</v>
      </c>
      <c r="U263" s="67">
        <f>SUM(U256:U262)</f>
        <v>0</v>
      </c>
      <c r="V263" s="68">
        <f t="shared" ref="V263" si="495">IFERROR(+W263/U263,0)</f>
        <v>0</v>
      </c>
      <c r="W263" s="67">
        <f>SUM(W256:W262)</f>
        <v>0</v>
      </c>
      <c r="Y263" s="67">
        <f>SUM(Y256:Y262)</f>
        <v>0</v>
      </c>
      <c r="Z263" s="68">
        <f t="shared" ref="Z263" si="496">IFERROR(+AA263/Y263,0)</f>
        <v>0</v>
      </c>
      <c r="AA263" s="67">
        <f>SUM(AA256:AA262)</f>
        <v>0</v>
      </c>
      <c r="AC263" s="67">
        <f>SUM(AC256:AC262)</f>
        <v>0</v>
      </c>
      <c r="AD263" s="68">
        <f t="shared" ref="AD263" si="497">IFERROR(+AE263/AC263,0)</f>
        <v>0</v>
      </c>
      <c r="AE263" s="67">
        <f>SUM(AE256:AE262)</f>
        <v>0</v>
      </c>
      <c r="AG263" s="67">
        <f>SUM(AG256:AG262)</f>
        <v>0</v>
      </c>
      <c r="AH263" s="68">
        <f t="shared" ref="AH263" si="498">IFERROR(+AI263/AG263,0)</f>
        <v>0</v>
      </c>
      <c r="AI263" s="67">
        <f>SUM(AI256:AI262)</f>
        <v>0</v>
      </c>
      <c r="AK263" s="67">
        <f>SUM(AK256:AK262)</f>
        <v>0</v>
      </c>
      <c r="AL263" s="68">
        <f t="shared" ref="AL263" si="499">IFERROR(+AM263/AK263,0)</f>
        <v>0</v>
      </c>
      <c r="AM263" s="67">
        <f>SUM(AM256:AM262)</f>
        <v>0</v>
      </c>
      <c r="AO263" s="67">
        <f>SUM(AO256:AO262)</f>
        <v>0</v>
      </c>
      <c r="AP263" s="68">
        <f t="shared" ref="AP263" si="500">IFERROR(+AQ263/AO263,0)</f>
        <v>0</v>
      </c>
      <c r="AQ263" s="67">
        <f>SUM(AQ256:AQ262)</f>
        <v>0</v>
      </c>
      <c r="AS263" s="67">
        <f>SUM(AS256:AS262)</f>
        <v>0</v>
      </c>
      <c r="AT263" s="68">
        <f t="shared" ref="AT263" si="501">IFERROR(+AU263/AS263,0)</f>
        <v>0</v>
      </c>
      <c r="AU263" s="67">
        <f>SUM(AU256:AU262)</f>
        <v>0</v>
      </c>
      <c r="AW263" s="67">
        <f>SUM(AW256:AW262)</f>
        <v>0</v>
      </c>
      <c r="AX263" s="68">
        <f t="shared" ref="AX263" si="502">IFERROR(+AY263/AW263,0)</f>
        <v>0</v>
      </c>
      <c r="AY263" s="67">
        <f>SUM(AY256:AY262)</f>
        <v>0</v>
      </c>
      <c r="BA263" s="67">
        <f>SUM(BA256:BA262)</f>
        <v>0</v>
      </c>
      <c r="BB263" s="68">
        <f t="shared" ref="BB263" si="503">IFERROR(+BC263/BA263,0)</f>
        <v>0</v>
      </c>
      <c r="BC263" s="67">
        <f>SUM(BC256:BC262)</f>
        <v>0</v>
      </c>
      <c r="BE263" s="67">
        <f>SUM(BE256:BE262)</f>
        <v>0</v>
      </c>
      <c r="BF263" s="68">
        <f t="shared" ref="BF263" si="504">IFERROR(+BG263/BE263,0)</f>
        <v>0</v>
      </c>
      <c r="BG263" s="67">
        <f>SUM(BG256:BG262)</f>
        <v>0</v>
      </c>
    </row>
    <row r="264" spans="1:59" hidden="1" x14ac:dyDescent="0.3"/>
    <row r="265" spans="1:59" ht="36" hidden="1" customHeight="1" x14ac:dyDescent="0.3">
      <c r="A265" s="11"/>
      <c r="B265" s="318" t="s">
        <v>742</v>
      </c>
      <c r="C265" s="318"/>
      <c r="D265" s="318"/>
      <c r="E265" s="318"/>
      <c r="F265" s="318"/>
      <c r="G265" s="318"/>
      <c r="H265" s="318"/>
      <c r="I265" s="318"/>
      <c r="J265" s="318"/>
    </row>
    <row r="266" spans="1:59" hidden="1" x14ac:dyDescent="0.3"/>
    <row r="267" spans="1:59" ht="21" hidden="1" customHeight="1" x14ac:dyDescent="0.3">
      <c r="A267" s="11"/>
      <c r="B267" s="302" t="s">
        <v>894</v>
      </c>
      <c r="C267" s="302" t="s">
        <v>895</v>
      </c>
      <c r="D267" s="281" t="s">
        <v>235</v>
      </c>
      <c r="E267" s="302" t="s">
        <v>232</v>
      </c>
      <c r="F267" s="312" t="s">
        <v>233</v>
      </c>
      <c r="G267" s="313" t="s">
        <v>234</v>
      </c>
      <c r="H267" s="36"/>
      <c r="I267" s="301" t="str">
        <f>+"Enero "&amp;$I$6&amp;""</f>
        <v>Enero 2025</v>
      </c>
      <c r="J267" s="301"/>
      <c r="K267" s="301"/>
      <c r="M267" s="301" t="str">
        <f>+"Febrero "&amp;$I$6&amp;""</f>
        <v>Febrero 2025</v>
      </c>
      <c r="N267" s="301"/>
      <c r="O267" s="301"/>
      <c r="Q267" s="301" t="str">
        <f>+"Marzo "&amp;$I$6&amp;""</f>
        <v>Marzo 2025</v>
      </c>
      <c r="R267" s="301"/>
      <c r="S267" s="301"/>
      <c r="U267" s="301" t="str">
        <f>+"Abril "&amp;$I$6&amp;""</f>
        <v>Abril 2025</v>
      </c>
      <c r="V267" s="301"/>
      <c r="W267" s="301"/>
      <c r="Y267" s="301" t="str">
        <f>+"Mayo "&amp;$I$6&amp;""</f>
        <v>Mayo 2025</v>
      </c>
      <c r="Z267" s="301"/>
      <c r="AA267" s="301"/>
      <c r="AC267" s="301" t="str">
        <f>+"Junio "&amp;$I$6&amp;""</f>
        <v>Junio 2025</v>
      </c>
      <c r="AD267" s="301"/>
      <c r="AE267" s="301"/>
      <c r="AG267" s="301" t="str">
        <f>+"Julio "&amp;$I$6&amp;""</f>
        <v>Julio 2025</v>
      </c>
      <c r="AH267" s="301"/>
      <c r="AI267" s="301"/>
      <c r="AK267" s="301" t="str">
        <f>+"Agosto "&amp;$I$6&amp;""</f>
        <v>Agosto 2025</v>
      </c>
      <c r="AL267" s="301"/>
      <c r="AM267" s="301"/>
      <c r="AO267" s="301" t="str">
        <f>+"Septiembre "&amp;$I$6&amp;""</f>
        <v>Septiembre 2025</v>
      </c>
      <c r="AP267" s="301"/>
      <c r="AQ267" s="301"/>
      <c r="AS267" s="301" t="str">
        <f>+"Octubre "&amp;$I$6&amp;""</f>
        <v>Octubre 2025</v>
      </c>
      <c r="AT267" s="301"/>
      <c r="AU267" s="301"/>
      <c r="AW267" s="301" t="str">
        <f>+"Noviembre "&amp;$I$6&amp;""</f>
        <v>Noviembre 2025</v>
      </c>
      <c r="AX267" s="301"/>
      <c r="AY267" s="301"/>
      <c r="BA267" s="301" t="str">
        <f>+"Diciembre "&amp;$I$6&amp;""</f>
        <v>Diciembre 2025</v>
      </c>
      <c r="BB267" s="301"/>
      <c r="BC267" s="301"/>
      <c r="BE267" s="301" t="str">
        <f>+"Acumulado "&amp;$I$6&amp;""</f>
        <v>Acumulado 2025</v>
      </c>
      <c r="BF267" s="301"/>
      <c r="BG267" s="301"/>
    </row>
    <row r="268" spans="1:59" ht="21" hidden="1" customHeight="1" x14ac:dyDescent="0.3">
      <c r="A268" s="11"/>
      <c r="B268" s="304"/>
      <c r="C268" s="304"/>
      <c r="D268" s="283"/>
      <c r="E268" s="304"/>
      <c r="F268" s="312"/>
      <c r="G268" s="312"/>
      <c r="H268" s="36"/>
      <c r="I268" s="225" t="s">
        <v>1006</v>
      </c>
      <c r="J268" s="65" t="s">
        <v>61</v>
      </c>
      <c r="K268" s="65" t="s">
        <v>62</v>
      </c>
      <c r="M268" s="225" t="s">
        <v>1006</v>
      </c>
      <c r="N268" s="65" t="s">
        <v>61</v>
      </c>
      <c r="O268" s="65" t="s">
        <v>62</v>
      </c>
      <c r="Q268" s="225" t="s">
        <v>1006</v>
      </c>
      <c r="R268" s="65" t="s">
        <v>61</v>
      </c>
      <c r="S268" s="65" t="s">
        <v>62</v>
      </c>
      <c r="U268" s="225" t="s">
        <v>1006</v>
      </c>
      <c r="V268" s="65" t="s">
        <v>61</v>
      </c>
      <c r="W268" s="65" t="s">
        <v>62</v>
      </c>
      <c r="Y268" s="225" t="s">
        <v>1006</v>
      </c>
      <c r="Z268" s="65" t="s">
        <v>61</v>
      </c>
      <c r="AA268" s="65" t="s">
        <v>62</v>
      </c>
      <c r="AC268" s="225" t="s">
        <v>1006</v>
      </c>
      <c r="AD268" s="65" t="s">
        <v>61</v>
      </c>
      <c r="AE268" s="65" t="s">
        <v>62</v>
      </c>
      <c r="AG268" s="225" t="s">
        <v>1006</v>
      </c>
      <c r="AH268" s="65" t="s">
        <v>61</v>
      </c>
      <c r="AI268" s="65" t="s">
        <v>62</v>
      </c>
      <c r="AK268" s="225" t="s">
        <v>1006</v>
      </c>
      <c r="AL268" s="65" t="s">
        <v>61</v>
      </c>
      <c r="AM268" s="65" t="s">
        <v>62</v>
      </c>
      <c r="AO268" s="225" t="s">
        <v>1006</v>
      </c>
      <c r="AP268" s="65" t="s">
        <v>61</v>
      </c>
      <c r="AQ268" s="65" t="s">
        <v>62</v>
      </c>
      <c r="AS268" s="225" t="s">
        <v>1006</v>
      </c>
      <c r="AT268" s="65" t="s">
        <v>61</v>
      </c>
      <c r="AU268" s="65" t="s">
        <v>62</v>
      </c>
      <c r="AW268" s="225" t="s">
        <v>1006</v>
      </c>
      <c r="AX268" s="65" t="s">
        <v>61</v>
      </c>
      <c r="AY268" s="65" t="s">
        <v>62</v>
      </c>
      <c r="BA268" s="225" t="s">
        <v>1006</v>
      </c>
      <c r="BB268" s="65" t="s">
        <v>61</v>
      </c>
      <c r="BC268" s="65" t="s">
        <v>62</v>
      </c>
      <c r="BE268" s="225" t="s">
        <v>1006</v>
      </c>
      <c r="BF268" s="65" t="s">
        <v>61</v>
      </c>
      <c r="BG268" s="65" t="s">
        <v>62</v>
      </c>
    </row>
    <row r="269" spans="1:59" ht="21" hidden="1" customHeight="1" x14ac:dyDescent="0.3">
      <c r="A269" s="11"/>
      <c r="B269" s="181"/>
      <c r="C269" s="34"/>
      <c r="D269" s="69"/>
      <c r="E269" s="69"/>
      <c r="F269" s="34"/>
      <c r="G269" s="64" t="str">
        <f>IFERROR(+VLOOKUP(F269,Datos!$Y:$Z,2,0),"")</f>
        <v/>
      </c>
      <c r="H269" s="35"/>
      <c r="I269" s="34"/>
      <c r="J269" s="66">
        <f>IFERROR(+K269/I269,0)</f>
        <v>0</v>
      </c>
      <c r="K269" s="123"/>
      <c r="M269" s="34"/>
      <c r="N269" s="66">
        <f>IFERROR(+O269/M269,0)</f>
        <v>0</v>
      </c>
      <c r="O269" s="123"/>
      <c r="Q269" s="34"/>
      <c r="R269" s="66">
        <f>IFERROR(+S269/Q269,0)</f>
        <v>0</v>
      </c>
      <c r="S269" s="123"/>
      <c r="U269" s="34"/>
      <c r="V269" s="66">
        <f>IFERROR(+W269/U269,0)</f>
        <v>0</v>
      </c>
      <c r="W269" s="123"/>
      <c r="Y269" s="34"/>
      <c r="Z269" s="66">
        <f>IFERROR(+AA269/Y269,0)</f>
        <v>0</v>
      </c>
      <c r="AA269" s="123"/>
      <c r="AC269" s="34"/>
      <c r="AD269" s="66">
        <f>IFERROR(+AE269/AC269,0)</f>
        <v>0</v>
      </c>
      <c r="AE269" s="123"/>
      <c r="AG269" s="34"/>
      <c r="AH269" s="66">
        <f>IFERROR(+AI269/AG269,0)</f>
        <v>0</v>
      </c>
      <c r="AI269" s="123"/>
      <c r="AK269" s="34"/>
      <c r="AL269" s="66">
        <f>IFERROR(+AM269/AK269,0)</f>
        <v>0</v>
      </c>
      <c r="AM269" s="123"/>
      <c r="AO269" s="34"/>
      <c r="AP269" s="66">
        <f>IFERROR(+AQ269/AO269,0)</f>
        <v>0</v>
      </c>
      <c r="AQ269" s="123"/>
      <c r="AS269" s="34"/>
      <c r="AT269" s="66">
        <f>IFERROR(+AU269/AS269,0)</f>
        <v>0</v>
      </c>
      <c r="AU269" s="123"/>
      <c r="AW269" s="34"/>
      <c r="AX269" s="66">
        <f>IFERROR(+AY269/AW269,0)</f>
        <v>0</v>
      </c>
      <c r="AY269" s="123"/>
      <c r="BA269" s="34"/>
      <c r="BB269" s="66">
        <f>IFERROR(+BC269/BA269,0)</f>
        <v>0</v>
      </c>
      <c r="BC269" s="123"/>
      <c r="BE269" s="67">
        <f>+I269+M269+Q269++U269+Y269+AC269+AG269+AK269+AO269+AS269+AW269+BA269</f>
        <v>0</v>
      </c>
      <c r="BF269" s="68">
        <f>IFERROR(+BG269/BE269,0)</f>
        <v>0</v>
      </c>
      <c r="BG269" s="67">
        <f>+K269+O269+S269+W269+AA269+AE269+AI269+AM269+AQ269+AU269+AY269+BC269</f>
        <v>0</v>
      </c>
    </row>
    <row r="270" spans="1:59" ht="21" hidden="1" customHeight="1" x14ac:dyDescent="0.3">
      <c r="A270" s="11"/>
      <c r="B270" s="181"/>
      <c r="C270" s="34"/>
      <c r="D270" s="34"/>
      <c r="E270" s="34"/>
      <c r="F270" s="34"/>
      <c r="G270" s="64" t="str">
        <f>IFERROR(+VLOOKUP(F270,Datos!$Y:$Z,2,0),"")</f>
        <v/>
      </c>
      <c r="H270" s="35"/>
      <c r="I270" s="34"/>
      <c r="J270" s="66">
        <f t="shared" ref="J270:J274" si="505">IFERROR(+K270/I270,0)</f>
        <v>0</v>
      </c>
      <c r="K270" s="123"/>
      <c r="M270" s="34"/>
      <c r="N270" s="66">
        <f t="shared" ref="N270:N274" si="506">IFERROR(+O270/M270,0)</f>
        <v>0</v>
      </c>
      <c r="O270" s="123"/>
      <c r="Q270" s="34"/>
      <c r="R270" s="66">
        <f t="shared" ref="R270:R274" si="507">IFERROR(+S270/Q270,0)</f>
        <v>0</v>
      </c>
      <c r="S270" s="123"/>
      <c r="U270" s="34"/>
      <c r="V270" s="66">
        <f t="shared" ref="V270:V274" si="508">IFERROR(+W270/U270,0)</f>
        <v>0</v>
      </c>
      <c r="W270" s="123"/>
      <c r="Y270" s="34"/>
      <c r="Z270" s="66">
        <f t="shared" ref="Z270:Z274" si="509">IFERROR(+AA270/Y270,0)</f>
        <v>0</v>
      </c>
      <c r="AA270" s="123"/>
      <c r="AC270" s="34"/>
      <c r="AD270" s="66">
        <f t="shared" ref="AD270:AD274" si="510">IFERROR(+AE270/AC270,0)</f>
        <v>0</v>
      </c>
      <c r="AE270" s="123"/>
      <c r="AG270" s="34"/>
      <c r="AH270" s="66">
        <f t="shared" ref="AH270:AH274" si="511">IFERROR(+AI270/AG270,0)</f>
        <v>0</v>
      </c>
      <c r="AI270" s="123"/>
      <c r="AK270" s="34"/>
      <c r="AL270" s="66">
        <f t="shared" ref="AL270:AL274" si="512">IFERROR(+AM270/AK270,0)</f>
        <v>0</v>
      </c>
      <c r="AM270" s="123"/>
      <c r="AO270" s="34"/>
      <c r="AP270" s="66">
        <f t="shared" ref="AP270:AP274" si="513">IFERROR(+AQ270/AO270,0)</f>
        <v>0</v>
      </c>
      <c r="AQ270" s="123"/>
      <c r="AS270" s="34"/>
      <c r="AT270" s="66">
        <f t="shared" ref="AT270:AT274" si="514">IFERROR(+AU270/AS270,0)</f>
        <v>0</v>
      </c>
      <c r="AU270" s="123"/>
      <c r="AW270" s="34"/>
      <c r="AX270" s="66">
        <f t="shared" ref="AX270:AX274" si="515">IFERROR(+AY270/AW270,0)</f>
        <v>0</v>
      </c>
      <c r="AY270" s="123"/>
      <c r="BA270" s="34"/>
      <c r="BB270" s="66">
        <f t="shared" ref="BB270:BB274" si="516">IFERROR(+BC270/BA270,0)</f>
        <v>0</v>
      </c>
      <c r="BC270" s="123"/>
      <c r="BE270" s="67">
        <f t="shared" ref="BE270:BE274" si="517">+I270+M270+Q270++U270+Y270+AC270+AG270+AK270+AO270+AS270+AW270+BA270</f>
        <v>0</v>
      </c>
      <c r="BF270" s="68">
        <f t="shared" ref="BF270:BF274" si="518">IFERROR(+BG270/BE270,0)</f>
        <v>0</v>
      </c>
      <c r="BG270" s="67">
        <f t="shared" ref="BG270:BG274" si="519">+K270+O270+S270+W270+AA270+AE270+AI270+AM270+AQ270+AU270+AY270+BC270</f>
        <v>0</v>
      </c>
    </row>
    <row r="271" spans="1:59" ht="21" hidden="1" customHeight="1" x14ac:dyDescent="0.3">
      <c r="A271" s="11"/>
      <c r="B271" s="181"/>
      <c r="C271" s="34"/>
      <c r="D271" s="34"/>
      <c r="E271" s="34"/>
      <c r="F271" s="34"/>
      <c r="G271" s="64" t="str">
        <f>IFERROR(+VLOOKUP(F271,Datos!$Y:$Z,2,0),"")</f>
        <v/>
      </c>
      <c r="H271" s="35"/>
      <c r="I271" s="34"/>
      <c r="J271" s="66">
        <f t="shared" si="505"/>
        <v>0</v>
      </c>
      <c r="K271" s="123"/>
      <c r="M271" s="34"/>
      <c r="N271" s="66">
        <f t="shared" si="506"/>
        <v>0</v>
      </c>
      <c r="O271" s="123"/>
      <c r="Q271" s="34"/>
      <c r="R271" s="66">
        <f t="shared" si="507"/>
        <v>0</v>
      </c>
      <c r="S271" s="123"/>
      <c r="U271" s="34"/>
      <c r="V271" s="66">
        <f t="shared" si="508"/>
        <v>0</v>
      </c>
      <c r="W271" s="123"/>
      <c r="Y271" s="34"/>
      <c r="Z271" s="66">
        <f t="shared" si="509"/>
        <v>0</v>
      </c>
      <c r="AA271" s="123"/>
      <c r="AC271" s="34"/>
      <c r="AD271" s="66">
        <f t="shared" si="510"/>
        <v>0</v>
      </c>
      <c r="AE271" s="123"/>
      <c r="AG271" s="34"/>
      <c r="AH271" s="66">
        <f t="shared" si="511"/>
        <v>0</v>
      </c>
      <c r="AI271" s="123"/>
      <c r="AK271" s="34"/>
      <c r="AL271" s="66">
        <f t="shared" si="512"/>
        <v>0</v>
      </c>
      <c r="AM271" s="123"/>
      <c r="AO271" s="34"/>
      <c r="AP271" s="66">
        <f t="shared" si="513"/>
        <v>0</v>
      </c>
      <c r="AQ271" s="123"/>
      <c r="AS271" s="34"/>
      <c r="AT271" s="66">
        <f t="shared" si="514"/>
        <v>0</v>
      </c>
      <c r="AU271" s="123"/>
      <c r="AW271" s="34"/>
      <c r="AX271" s="66">
        <f t="shared" si="515"/>
        <v>0</v>
      </c>
      <c r="AY271" s="123"/>
      <c r="BA271" s="34"/>
      <c r="BB271" s="66">
        <f t="shared" si="516"/>
        <v>0</v>
      </c>
      <c r="BC271" s="123"/>
      <c r="BE271" s="67">
        <f t="shared" si="517"/>
        <v>0</v>
      </c>
      <c r="BF271" s="68">
        <f t="shared" si="518"/>
        <v>0</v>
      </c>
      <c r="BG271" s="67">
        <f t="shared" si="519"/>
        <v>0</v>
      </c>
    </row>
    <row r="272" spans="1:59" ht="21" hidden="1" customHeight="1" x14ac:dyDescent="0.3">
      <c r="A272" s="11"/>
      <c r="B272" s="181"/>
      <c r="C272" s="34"/>
      <c r="D272" s="34"/>
      <c r="E272" s="34"/>
      <c r="F272" s="34"/>
      <c r="G272" s="64" t="str">
        <f>IFERROR(+VLOOKUP(F272,Datos!$Y:$Z,2,0),"")</f>
        <v/>
      </c>
      <c r="H272" s="35"/>
      <c r="I272" s="34"/>
      <c r="J272" s="66">
        <f t="shared" si="505"/>
        <v>0</v>
      </c>
      <c r="K272" s="123"/>
      <c r="M272" s="34"/>
      <c r="N272" s="66">
        <f t="shared" si="506"/>
        <v>0</v>
      </c>
      <c r="O272" s="123"/>
      <c r="Q272" s="34"/>
      <c r="R272" s="66">
        <f t="shared" si="507"/>
        <v>0</v>
      </c>
      <c r="S272" s="123"/>
      <c r="U272" s="34"/>
      <c r="V272" s="66">
        <f t="shared" si="508"/>
        <v>0</v>
      </c>
      <c r="W272" s="123"/>
      <c r="Y272" s="34"/>
      <c r="Z272" s="66">
        <f t="shared" si="509"/>
        <v>0</v>
      </c>
      <c r="AA272" s="123"/>
      <c r="AC272" s="34"/>
      <c r="AD272" s="66">
        <f t="shared" si="510"/>
        <v>0</v>
      </c>
      <c r="AE272" s="123"/>
      <c r="AG272" s="34"/>
      <c r="AH272" s="66">
        <f t="shared" si="511"/>
        <v>0</v>
      </c>
      <c r="AI272" s="123"/>
      <c r="AK272" s="34"/>
      <c r="AL272" s="66">
        <f t="shared" si="512"/>
        <v>0</v>
      </c>
      <c r="AM272" s="123"/>
      <c r="AO272" s="34"/>
      <c r="AP272" s="66">
        <f t="shared" si="513"/>
        <v>0</v>
      </c>
      <c r="AQ272" s="123"/>
      <c r="AS272" s="34"/>
      <c r="AT272" s="66">
        <f t="shared" si="514"/>
        <v>0</v>
      </c>
      <c r="AU272" s="123"/>
      <c r="AW272" s="34"/>
      <c r="AX272" s="66">
        <f t="shared" si="515"/>
        <v>0</v>
      </c>
      <c r="AY272" s="123"/>
      <c r="BA272" s="34"/>
      <c r="BB272" s="66">
        <f t="shared" si="516"/>
        <v>0</v>
      </c>
      <c r="BC272" s="123"/>
      <c r="BE272" s="67">
        <f t="shared" si="517"/>
        <v>0</v>
      </c>
      <c r="BF272" s="68">
        <f t="shared" si="518"/>
        <v>0</v>
      </c>
      <c r="BG272" s="67">
        <f t="shared" si="519"/>
        <v>0</v>
      </c>
    </row>
    <row r="273" spans="1:59" ht="21" hidden="1" customHeight="1" x14ac:dyDescent="0.3">
      <c r="A273" s="11"/>
      <c r="B273" s="181"/>
      <c r="C273" s="34"/>
      <c r="D273" s="34"/>
      <c r="E273" s="34"/>
      <c r="F273" s="34"/>
      <c r="G273" s="64" t="str">
        <f>IFERROR(+VLOOKUP(F273,Datos!$Y:$Z,2,0),"")</f>
        <v/>
      </c>
      <c r="H273" s="35"/>
      <c r="I273" s="34"/>
      <c r="J273" s="66">
        <f t="shared" si="505"/>
        <v>0</v>
      </c>
      <c r="K273" s="123"/>
      <c r="M273" s="34"/>
      <c r="N273" s="66">
        <f t="shared" si="506"/>
        <v>0</v>
      </c>
      <c r="O273" s="123"/>
      <c r="Q273" s="34"/>
      <c r="R273" s="66">
        <f t="shared" si="507"/>
        <v>0</v>
      </c>
      <c r="S273" s="123"/>
      <c r="U273" s="34"/>
      <c r="V273" s="66">
        <f t="shared" si="508"/>
        <v>0</v>
      </c>
      <c r="W273" s="123"/>
      <c r="Y273" s="34"/>
      <c r="Z273" s="66">
        <f t="shared" si="509"/>
        <v>0</v>
      </c>
      <c r="AA273" s="123"/>
      <c r="AC273" s="34"/>
      <c r="AD273" s="66">
        <f t="shared" si="510"/>
        <v>0</v>
      </c>
      <c r="AE273" s="123"/>
      <c r="AG273" s="34"/>
      <c r="AH273" s="66">
        <f t="shared" si="511"/>
        <v>0</v>
      </c>
      <c r="AI273" s="123"/>
      <c r="AK273" s="34"/>
      <c r="AL273" s="66">
        <f t="shared" si="512"/>
        <v>0</v>
      </c>
      <c r="AM273" s="123"/>
      <c r="AO273" s="34"/>
      <c r="AP273" s="66">
        <f t="shared" si="513"/>
        <v>0</v>
      </c>
      <c r="AQ273" s="123"/>
      <c r="AS273" s="34"/>
      <c r="AT273" s="66">
        <f t="shared" si="514"/>
        <v>0</v>
      </c>
      <c r="AU273" s="123"/>
      <c r="AW273" s="34"/>
      <c r="AX273" s="66">
        <f t="shared" si="515"/>
        <v>0</v>
      </c>
      <c r="AY273" s="123"/>
      <c r="BA273" s="34"/>
      <c r="BB273" s="66">
        <f t="shared" si="516"/>
        <v>0</v>
      </c>
      <c r="BC273" s="123"/>
      <c r="BE273" s="67">
        <f t="shared" si="517"/>
        <v>0</v>
      </c>
      <c r="BF273" s="68">
        <f t="shared" si="518"/>
        <v>0</v>
      </c>
      <c r="BG273" s="67">
        <f t="shared" si="519"/>
        <v>0</v>
      </c>
    </row>
    <row r="274" spans="1:59" ht="21" hidden="1" customHeight="1" x14ac:dyDescent="0.3">
      <c r="A274" s="11"/>
      <c r="B274" s="181"/>
      <c r="C274" s="34"/>
      <c r="D274" s="34"/>
      <c r="E274" s="34"/>
      <c r="F274" s="34"/>
      <c r="G274" s="64" t="str">
        <f>IFERROR(+VLOOKUP(F274,Datos!$Y:$Z,2,0),"")</f>
        <v/>
      </c>
      <c r="H274" s="35"/>
      <c r="I274" s="34"/>
      <c r="J274" s="66">
        <f t="shared" si="505"/>
        <v>0</v>
      </c>
      <c r="K274" s="123"/>
      <c r="M274" s="34"/>
      <c r="N274" s="66">
        <f t="shared" si="506"/>
        <v>0</v>
      </c>
      <c r="O274" s="123"/>
      <c r="Q274" s="34"/>
      <c r="R274" s="66">
        <f t="shared" si="507"/>
        <v>0</v>
      </c>
      <c r="S274" s="123"/>
      <c r="U274" s="34"/>
      <c r="V274" s="66">
        <f t="shared" si="508"/>
        <v>0</v>
      </c>
      <c r="W274" s="123"/>
      <c r="Y274" s="34"/>
      <c r="Z274" s="66">
        <f t="shared" si="509"/>
        <v>0</v>
      </c>
      <c r="AA274" s="123"/>
      <c r="AC274" s="34"/>
      <c r="AD274" s="66">
        <f t="shared" si="510"/>
        <v>0</v>
      </c>
      <c r="AE274" s="123"/>
      <c r="AG274" s="34"/>
      <c r="AH274" s="66">
        <f t="shared" si="511"/>
        <v>0</v>
      </c>
      <c r="AI274" s="123"/>
      <c r="AK274" s="34"/>
      <c r="AL274" s="66">
        <f t="shared" si="512"/>
        <v>0</v>
      </c>
      <c r="AM274" s="123"/>
      <c r="AO274" s="34"/>
      <c r="AP274" s="66">
        <f t="shared" si="513"/>
        <v>0</v>
      </c>
      <c r="AQ274" s="123"/>
      <c r="AS274" s="34"/>
      <c r="AT274" s="66">
        <f t="shared" si="514"/>
        <v>0</v>
      </c>
      <c r="AU274" s="123"/>
      <c r="AW274" s="34"/>
      <c r="AX274" s="66">
        <f t="shared" si="515"/>
        <v>0</v>
      </c>
      <c r="AY274" s="123"/>
      <c r="BA274" s="34"/>
      <c r="BB274" s="66">
        <f t="shared" si="516"/>
        <v>0</v>
      </c>
      <c r="BC274" s="123"/>
      <c r="BE274" s="67">
        <f t="shared" si="517"/>
        <v>0</v>
      </c>
      <c r="BF274" s="68">
        <f t="shared" si="518"/>
        <v>0</v>
      </c>
      <c r="BG274" s="67">
        <f t="shared" si="519"/>
        <v>0</v>
      </c>
    </row>
    <row r="275" spans="1:59" ht="21" hidden="1" customHeight="1" x14ac:dyDescent="0.3">
      <c r="A275" s="11"/>
      <c r="B275" s="181"/>
      <c r="C275" s="34"/>
      <c r="D275" s="34"/>
      <c r="E275" s="34"/>
      <c r="F275" s="34"/>
      <c r="G275" s="64" t="str">
        <f>IFERROR(+VLOOKUP(F275,Datos!$Y:$Z,2,0),"")</f>
        <v/>
      </c>
      <c r="H275" s="35"/>
      <c r="I275" s="34"/>
      <c r="J275" s="66">
        <f>IFERROR(+K275/I275,0)</f>
        <v>0</v>
      </c>
      <c r="K275" s="123"/>
      <c r="M275" s="34"/>
      <c r="N275" s="66">
        <f>IFERROR(+O275/M275,0)</f>
        <v>0</v>
      </c>
      <c r="O275" s="123"/>
      <c r="Q275" s="34"/>
      <c r="R275" s="66">
        <f>IFERROR(+S275/Q275,0)</f>
        <v>0</v>
      </c>
      <c r="S275" s="123"/>
      <c r="U275" s="34"/>
      <c r="V275" s="66">
        <f>IFERROR(+W275/U275,0)</f>
        <v>0</v>
      </c>
      <c r="W275" s="123"/>
      <c r="Y275" s="34"/>
      <c r="Z275" s="66">
        <f>IFERROR(+AA275/Y275,0)</f>
        <v>0</v>
      </c>
      <c r="AA275" s="123"/>
      <c r="AC275" s="34"/>
      <c r="AD275" s="66">
        <f>IFERROR(+AE275/AC275,0)</f>
        <v>0</v>
      </c>
      <c r="AE275" s="123"/>
      <c r="AG275" s="34"/>
      <c r="AH275" s="66">
        <f>IFERROR(+AI275/AG275,0)</f>
        <v>0</v>
      </c>
      <c r="AI275" s="123"/>
      <c r="AK275" s="34"/>
      <c r="AL275" s="66">
        <f>IFERROR(+AM275/AK275,0)</f>
        <v>0</v>
      </c>
      <c r="AM275" s="123"/>
      <c r="AO275" s="34"/>
      <c r="AP275" s="66">
        <f>IFERROR(+AQ275/AO275,0)</f>
        <v>0</v>
      </c>
      <c r="AQ275" s="123"/>
      <c r="AS275" s="34"/>
      <c r="AT275" s="66">
        <f>IFERROR(+AU275/AS275,0)</f>
        <v>0</v>
      </c>
      <c r="AU275" s="123"/>
      <c r="AW275" s="34"/>
      <c r="AX275" s="66">
        <f>IFERROR(+AY275/AW275,0)</f>
        <v>0</v>
      </c>
      <c r="AY275" s="123"/>
      <c r="BA275" s="34"/>
      <c r="BB275" s="66">
        <f>IFERROR(+BC275/BA275,0)</f>
        <v>0</v>
      </c>
      <c r="BC275" s="123"/>
      <c r="BE275" s="67">
        <f>+I275+M275+Q275++U275+Y275+AC275+AG275+AK275+AO275+AS275+AW275+BA275</f>
        <v>0</v>
      </c>
      <c r="BF275" s="68">
        <f>IFERROR(+BG275/BE275,0)</f>
        <v>0</v>
      </c>
      <c r="BG275" s="67">
        <f>+K275+O275+S275+W275+AA275+AE275+AI275+AM275+AQ275+AU275+AY275+BC275</f>
        <v>0</v>
      </c>
    </row>
    <row r="276" spans="1:59" ht="21" hidden="1" customHeight="1" x14ac:dyDescent="0.3">
      <c r="A276" s="11"/>
      <c r="B276" s="314" t="s">
        <v>227</v>
      </c>
      <c r="C276" s="315"/>
      <c r="D276" s="315"/>
      <c r="E276" s="315"/>
      <c r="F276" s="315"/>
      <c r="G276" s="316"/>
      <c r="H276" s="35"/>
      <c r="I276" s="67">
        <f>SUM(I269:I275)</f>
        <v>0</v>
      </c>
      <c r="J276" s="68">
        <f t="shared" ref="J276" si="520">IFERROR(+K276/I276,0)</f>
        <v>0</v>
      </c>
      <c r="K276" s="67">
        <f>SUM(K269:K275)</f>
        <v>0</v>
      </c>
      <c r="M276" s="67">
        <f>SUM(M269:M275)</f>
        <v>0</v>
      </c>
      <c r="N276" s="68">
        <f t="shared" ref="N276" si="521">IFERROR(+O276/M276,0)</f>
        <v>0</v>
      </c>
      <c r="O276" s="67">
        <f>SUM(O269:O275)</f>
        <v>0</v>
      </c>
      <c r="Q276" s="67">
        <f>SUM(Q269:Q275)</f>
        <v>0</v>
      </c>
      <c r="R276" s="68">
        <f t="shared" ref="R276" si="522">IFERROR(+S276/Q276,0)</f>
        <v>0</v>
      </c>
      <c r="S276" s="67">
        <f>SUM(S269:S275)</f>
        <v>0</v>
      </c>
      <c r="U276" s="67">
        <f>SUM(U269:U275)</f>
        <v>0</v>
      </c>
      <c r="V276" s="68">
        <f t="shared" ref="V276" si="523">IFERROR(+W276/U276,0)</f>
        <v>0</v>
      </c>
      <c r="W276" s="67">
        <f>SUM(W269:W275)</f>
        <v>0</v>
      </c>
      <c r="Y276" s="67">
        <f>SUM(Y269:Y275)</f>
        <v>0</v>
      </c>
      <c r="Z276" s="68">
        <f t="shared" ref="Z276" si="524">IFERROR(+AA276/Y276,0)</f>
        <v>0</v>
      </c>
      <c r="AA276" s="67">
        <f>SUM(AA269:AA275)</f>
        <v>0</v>
      </c>
      <c r="AC276" s="67">
        <f>SUM(AC269:AC275)</f>
        <v>0</v>
      </c>
      <c r="AD276" s="68">
        <f t="shared" ref="AD276" si="525">IFERROR(+AE276/AC276,0)</f>
        <v>0</v>
      </c>
      <c r="AE276" s="67">
        <f>SUM(AE269:AE275)</f>
        <v>0</v>
      </c>
      <c r="AG276" s="67">
        <f>SUM(AG269:AG275)</f>
        <v>0</v>
      </c>
      <c r="AH276" s="68">
        <f t="shared" ref="AH276" si="526">IFERROR(+AI276/AG276,0)</f>
        <v>0</v>
      </c>
      <c r="AI276" s="67">
        <f>SUM(AI269:AI275)</f>
        <v>0</v>
      </c>
      <c r="AK276" s="67">
        <f>SUM(AK269:AK275)</f>
        <v>0</v>
      </c>
      <c r="AL276" s="68">
        <f t="shared" ref="AL276" si="527">IFERROR(+AM276/AK276,0)</f>
        <v>0</v>
      </c>
      <c r="AM276" s="67">
        <f>SUM(AM269:AM275)</f>
        <v>0</v>
      </c>
      <c r="AO276" s="67">
        <f>SUM(AO269:AO275)</f>
        <v>0</v>
      </c>
      <c r="AP276" s="68">
        <f t="shared" ref="AP276" si="528">IFERROR(+AQ276/AO276,0)</f>
        <v>0</v>
      </c>
      <c r="AQ276" s="67">
        <f>SUM(AQ269:AQ275)</f>
        <v>0</v>
      </c>
      <c r="AS276" s="67">
        <f>SUM(AS269:AS275)</f>
        <v>0</v>
      </c>
      <c r="AT276" s="68">
        <f t="shared" ref="AT276" si="529">IFERROR(+AU276/AS276,0)</f>
        <v>0</v>
      </c>
      <c r="AU276" s="67">
        <f>SUM(AU269:AU275)</f>
        <v>0</v>
      </c>
      <c r="AW276" s="67">
        <f>SUM(AW269:AW275)</f>
        <v>0</v>
      </c>
      <c r="AX276" s="68">
        <f t="shared" ref="AX276" si="530">IFERROR(+AY276/AW276,0)</f>
        <v>0</v>
      </c>
      <c r="AY276" s="67">
        <f>SUM(AY269:AY275)</f>
        <v>0</v>
      </c>
      <c r="BA276" s="67">
        <f>SUM(BA269:BA275)</f>
        <v>0</v>
      </c>
      <c r="BB276" s="68">
        <f t="shared" ref="BB276" si="531">IFERROR(+BC276/BA276,0)</f>
        <v>0</v>
      </c>
      <c r="BC276" s="67">
        <f>SUM(BC269:BC275)</f>
        <v>0</v>
      </c>
      <c r="BE276" s="67">
        <f>SUM(BE269:BE275)</f>
        <v>0</v>
      </c>
      <c r="BF276" s="68">
        <f t="shared" ref="BF276" si="532">IFERROR(+BG276/BE276,0)</f>
        <v>0</v>
      </c>
      <c r="BG276" s="67">
        <f>SUM(BG269:BG275)</f>
        <v>0</v>
      </c>
    </row>
    <row r="277" spans="1:59" hidden="1" x14ac:dyDescent="0.3"/>
    <row r="278" spans="1:59" ht="36" hidden="1" customHeight="1" x14ac:dyDescent="0.3">
      <c r="A278" s="11"/>
      <c r="B278" s="318" t="s">
        <v>743</v>
      </c>
      <c r="C278" s="318"/>
      <c r="D278" s="318"/>
      <c r="E278" s="318"/>
      <c r="F278" s="318"/>
      <c r="G278" s="318"/>
      <c r="H278" s="318"/>
      <c r="I278" s="318"/>
      <c r="J278" s="318"/>
    </row>
    <row r="279" spans="1:59" hidden="1" x14ac:dyDescent="0.3"/>
    <row r="280" spans="1:59" ht="21" hidden="1" customHeight="1" x14ac:dyDescent="0.3">
      <c r="A280" s="11"/>
      <c r="B280" s="302" t="s">
        <v>894</v>
      </c>
      <c r="C280" s="302" t="s">
        <v>895</v>
      </c>
      <c r="D280" s="281" t="s">
        <v>235</v>
      </c>
      <c r="E280" s="302" t="s">
        <v>232</v>
      </c>
      <c r="F280" s="312" t="s">
        <v>233</v>
      </c>
      <c r="G280" s="313" t="s">
        <v>234</v>
      </c>
      <c r="H280" s="36"/>
      <c r="I280" s="301" t="str">
        <f>+"Enero "&amp;$I$6&amp;""</f>
        <v>Enero 2025</v>
      </c>
      <c r="J280" s="301"/>
      <c r="K280" s="301"/>
      <c r="M280" s="301" t="str">
        <f>+"Febrero "&amp;$I$6&amp;""</f>
        <v>Febrero 2025</v>
      </c>
      <c r="N280" s="301"/>
      <c r="O280" s="301"/>
      <c r="Q280" s="301" t="str">
        <f>+"Marzo "&amp;$I$6&amp;""</f>
        <v>Marzo 2025</v>
      </c>
      <c r="R280" s="301"/>
      <c r="S280" s="301"/>
      <c r="U280" s="301" t="str">
        <f>+"Abril "&amp;$I$6&amp;""</f>
        <v>Abril 2025</v>
      </c>
      <c r="V280" s="301"/>
      <c r="W280" s="301"/>
      <c r="Y280" s="301" t="str">
        <f>+"Mayo "&amp;$I$6&amp;""</f>
        <v>Mayo 2025</v>
      </c>
      <c r="Z280" s="301"/>
      <c r="AA280" s="301"/>
      <c r="AC280" s="301" t="str">
        <f>+"Junio "&amp;$I$6&amp;""</f>
        <v>Junio 2025</v>
      </c>
      <c r="AD280" s="301"/>
      <c r="AE280" s="301"/>
      <c r="AG280" s="301" t="str">
        <f>+"Julio "&amp;$I$6&amp;""</f>
        <v>Julio 2025</v>
      </c>
      <c r="AH280" s="301"/>
      <c r="AI280" s="301"/>
      <c r="AK280" s="301" t="str">
        <f>+"Agosto "&amp;$I$6&amp;""</f>
        <v>Agosto 2025</v>
      </c>
      <c r="AL280" s="301"/>
      <c r="AM280" s="301"/>
      <c r="AO280" s="301" t="str">
        <f>+"Septiembre "&amp;$I$6&amp;""</f>
        <v>Septiembre 2025</v>
      </c>
      <c r="AP280" s="301"/>
      <c r="AQ280" s="301"/>
      <c r="AS280" s="301" t="str">
        <f>+"Octubre "&amp;$I$6&amp;""</f>
        <v>Octubre 2025</v>
      </c>
      <c r="AT280" s="301"/>
      <c r="AU280" s="301"/>
      <c r="AW280" s="301" t="str">
        <f>+"Noviembre "&amp;$I$6&amp;""</f>
        <v>Noviembre 2025</v>
      </c>
      <c r="AX280" s="301"/>
      <c r="AY280" s="301"/>
      <c r="BA280" s="301" t="str">
        <f>+"Diciembre "&amp;$I$6&amp;""</f>
        <v>Diciembre 2025</v>
      </c>
      <c r="BB280" s="301"/>
      <c r="BC280" s="301"/>
      <c r="BE280" s="301" t="str">
        <f>+"Acumulado "&amp;$I$6&amp;""</f>
        <v>Acumulado 2025</v>
      </c>
      <c r="BF280" s="301"/>
      <c r="BG280" s="301"/>
    </row>
    <row r="281" spans="1:59" ht="21" hidden="1" customHeight="1" x14ac:dyDescent="0.3">
      <c r="A281" s="11"/>
      <c r="B281" s="304"/>
      <c r="C281" s="304"/>
      <c r="D281" s="283"/>
      <c r="E281" s="304"/>
      <c r="F281" s="312"/>
      <c r="G281" s="312"/>
      <c r="H281" s="36"/>
      <c r="I281" s="225" t="s">
        <v>1007</v>
      </c>
      <c r="J281" s="65" t="s">
        <v>61</v>
      </c>
      <c r="K281" s="65" t="s">
        <v>62</v>
      </c>
      <c r="M281" s="225" t="s">
        <v>1007</v>
      </c>
      <c r="N281" s="65" t="s">
        <v>61</v>
      </c>
      <c r="O281" s="65" t="s">
        <v>62</v>
      </c>
      <c r="Q281" s="225" t="s">
        <v>1007</v>
      </c>
      <c r="R281" s="65" t="s">
        <v>61</v>
      </c>
      <c r="S281" s="65" t="s">
        <v>62</v>
      </c>
      <c r="U281" s="225" t="s">
        <v>1007</v>
      </c>
      <c r="V281" s="65" t="s">
        <v>61</v>
      </c>
      <c r="W281" s="65" t="s">
        <v>62</v>
      </c>
      <c r="Y281" s="225" t="s">
        <v>1007</v>
      </c>
      <c r="Z281" s="65" t="s">
        <v>61</v>
      </c>
      <c r="AA281" s="65" t="s">
        <v>62</v>
      </c>
      <c r="AC281" s="225" t="s">
        <v>1007</v>
      </c>
      <c r="AD281" s="65" t="s">
        <v>61</v>
      </c>
      <c r="AE281" s="65" t="s">
        <v>62</v>
      </c>
      <c r="AG281" s="225" t="s">
        <v>1007</v>
      </c>
      <c r="AH281" s="65" t="s">
        <v>61</v>
      </c>
      <c r="AI281" s="65" t="s">
        <v>62</v>
      </c>
      <c r="AK281" s="225" t="s">
        <v>1007</v>
      </c>
      <c r="AL281" s="65" t="s">
        <v>61</v>
      </c>
      <c r="AM281" s="65" t="s">
        <v>62</v>
      </c>
      <c r="AO281" s="225" t="s">
        <v>1007</v>
      </c>
      <c r="AP281" s="65" t="s">
        <v>61</v>
      </c>
      <c r="AQ281" s="65" t="s">
        <v>62</v>
      </c>
      <c r="AS281" s="225" t="s">
        <v>1007</v>
      </c>
      <c r="AT281" s="65" t="s">
        <v>61</v>
      </c>
      <c r="AU281" s="65" t="s">
        <v>62</v>
      </c>
      <c r="AW281" s="225" t="s">
        <v>1007</v>
      </c>
      <c r="AX281" s="65" t="s">
        <v>61</v>
      </c>
      <c r="AY281" s="65" t="s">
        <v>62</v>
      </c>
      <c r="BA281" s="225" t="s">
        <v>1007</v>
      </c>
      <c r="BB281" s="65" t="s">
        <v>61</v>
      </c>
      <c r="BC281" s="65" t="s">
        <v>62</v>
      </c>
      <c r="BE281" s="225" t="s">
        <v>1007</v>
      </c>
      <c r="BF281" s="65" t="s">
        <v>61</v>
      </c>
      <c r="BG281" s="65" t="s">
        <v>62</v>
      </c>
    </row>
    <row r="282" spans="1:59" ht="21" hidden="1" customHeight="1" x14ac:dyDescent="0.3">
      <c r="A282" s="11"/>
      <c r="B282" s="181"/>
      <c r="C282" s="34"/>
      <c r="D282" s="34"/>
      <c r="E282" s="34"/>
      <c r="F282" s="34"/>
      <c r="G282" s="64" t="str">
        <f>IFERROR(+VLOOKUP(F282,Datos!$P:$Q,2,0),"")</f>
        <v/>
      </c>
      <c r="H282" s="35"/>
      <c r="I282" s="34"/>
      <c r="J282" s="66">
        <f>IFERROR(+K282/I282,0)</f>
        <v>0</v>
      </c>
      <c r="K282" s="123"/>
      <c r="M282" s="34"/>
      <c r="N282" s="66">
        <f>IFERROR(+O282/M282,0)</f>
        <v>0</v>
      </c>
      <c r="O282" s="123"/>
      <c r="Q282" s="34"/>
      <c r="R282" s="66">
        <f>IFERROR(+S282/Q282,0)</f>
        <v>0</v>
      </c>
      <c r="S282" s="123"/>
      <c r="U282" s="34"/>
      <c r="V282" s="66">
        <f>IFERROR(+W282/U282,0)</f>
        <v>0</v>
      </c>
      <c r="W282" s="123"/>
      <c r="Y282" s="34"/>
      <c r="Z282" s="66">
        <f>IFERROR(+AA282/Y282,0)</f>
        <v>0</v>
      </c>
      <c r="AA282" s="123"/>
      <c r="AC282" s="34"/>
      <c r="AD282" s="66">
        <f>IFERROR(+AE282/AC282,0)</f>
        <v>0</v>
      </c>
      <c r="AE282" s="123"/>
      <c r="AG282" s="34"/>
      <c r="AH282" s="66">
        <f>IFERROR(+AI282/AG282,0)</f>
        <v>0</v>
      </c>
      <c r="AI282" s="123"/>
      <c r="AK282" s="34"/>
      <c r="AL282" s="66">
        <f>IFERROR(+AM282/AK282,0)</f>
        <v>0</v>
      </c>
      <c r="AM282" s="123"/>
      <c r="AO282" s="34"/>
      <c r="AP282" s="66">
        <f>IFERROR(+AQ282/AO282,0)</f>
        <v>0</v>
      </c>
      <c r="AQ282" s="123"/>
      <c r="AS282" s="34"/>
      <c r="AT282" s="66">
        <f>IFERROR(+AU282/AS282,0)</f>
        <v>0</v>
      </c>
      <c r="AU282" s="123"/>
      <c r="AW282" s="34"/>
      <c r="AX282" s="66">
        <f>IFERROR(+AY282/AW282,0)</f>
        <v>0</v>
      </c>
      <c r="AY282" s="123"/>
      <c r="BA282" s="34"/>
      <c r="BB282" s="66">
        <f>IFERROR(+BC282/BA282,0)</f>
        <v>0</v>
      </c>
      <c r="BC282" s="123"/>
      <c r="BE282" s="67">
        <f>+I282+M282+Q282++U282+Y282+AC282+AG282+AK282+AO282+AS282+AW282+BA282</f>
        <v>0</v>
      </c>
      <c r="BF282" s="68">
        <f>IFERROR(+BG282/BE282,0)</f>
        <v>0</v>
      </c>
      <c r="BG282" s="67">
        <f>+K282+O282+S282+W282+AA282+AE282+AI282+AM282+AQ282+AU282+AY282+BC282</f>
        <v>0</v>
      </c>
    </row>
    <row r="283" spans="1:59" ht="21" hidden="1" customHeight="1" x14ac:dyDescent="0.3">
      <c r="A283" s="11"/>
      <c r="B283" s="181"/>
      <c r="C283" s="34"/>
      <c r="D283" s="34"/>
      <c r="E283" s="34"/>
      <c r="F283" s="34"/>
      <c r="G283" s="64" t="str">
        <f>IFERROR(+VLOOKUP(F283,Datos!$P:$Q,2,0),"")</f>
        <v/>
      </c>
      <c r="H283" s="35"/>
      <c r="I283" s="34"/>
      <c r="J283" s="66">
        <f t="shared" ref="J283:J287" si="533">IFERROR(+K283/I283,0)</f>
        <v>0</v>
      </c>
      <c r="K283" s="123"/>
      <c r="M283" s="34"/>
      <c r="N283" s="66">
        <f t="shared" ref="N283:N287" si="534">IFERROR(+O283/M283,0)</f>
        <v>0</v>
      </c>
      <c r="O283" s="123"/>
      <c r="Q283" s="34"/>
      <c r="R283" s="66">
        <f t="shared" ref="R283:R287" si="535">IFERROR(+S283/Q283,0)</f>
        <v>0</v>
      </c>
      <c r="S283" s="123"/>
      <c r="U283" s="34"/>
      <c r="V283" s="66">
        <f t="shared" ref="V283:V287" si="536">IFERROR(+W283/U283,0)</f>
        <v>0</v>
      </c>
      <c r="W283" s="123"/>
      <c r="Y283" s="34"/>
      <c r="Z283" s="66">
        <f t="shared" ref="Z283:Z287" si="537">IFERROR(+AA283/Y283,0)</f>
        <v>0</v>
      </c>
      <c r="AA283" s="123"/>
      <c r="AC283" s="34"/>
      <c r="AD283" s="66">
        <f t="shared" ref="AD283:AD287" si="538">IFERROR(+AE283/AC283,0)</f>
        <v>0</v>
      </c>
      <c r="AE283" s="123"/>
      <c r="AG283" s="34"/>
      <c r="AH283" s="66">
        <f t="shared" ref="AH283:AH287" si="539">IFERROR(+AI283/AG283,0)</f>
        <v>0</v>
      </c>
      <c r="AI283" s="123"/>
      <c r="AK283" s="34"/>
      <c r="AL283" s="66">
        <f t="shared" ref="AL283:AL287" si="540">IFERROR(+AM283/AK283,0)</f>
        <v>0</v>
      </c>
      <c r="AM283" s="123"/>
      <c r="AO283" s="34"/>
      <c r="AP283" s="66">
        <f t="shared" ref="AP283:AP287" si="541">IFERROR(+AQ283/AO283,0)</f>
        <v>0</v>
      </c>
      <c r="AQ283" s="123"/>
      <c r="AS283" s="34"/>
      <c r="AT283" s="66">
        <f t="shared" ref="AT283:AT287" si="542">IFERROR(+AU283/AS283,0)</f>
        <v>0</v>
      </c>
      <c r="AU283" s="123"/>
      <c r="AW283" s="34"/>
      <c r="AX283" s="66">
        <f t="shared" ref="AX283:AX287" si="543">IFERROR(+AY283/AW283,0)</f>
        <v>0</v>
      </c>
      <c r="AY283" s="123"/>
      <c r="BA283" s="34"/>
      <c r="BB283" s="66">
        <f t="shared" ref="BB283:BB287" si="544">IFERROR(+BC283/BA283,0)</f>
        <v>0</v>
      </c>
      <c r="BC283" s="123"/>
      <c r="BE283" s="67">
        <f t="shared" ref="BE283:BE287" si="545">+I283+M283+Q283++U283+Y283+AC283+AG283+AK283+AO283+AS283+AW283+BA283</f>
        <v>0</v>
      </c>
      <c r="BF283" s="68">
        <f t="shared" ref="BF283:BF287" si="546">IFERROR(+BG283/BE283,0)</f>
        <v>0</v>
      </c>
      <c r="BG283" s="67">
        <f t="shared" ref="BG283:BG287" si="547">+K283+O283+S283+W283+AA283+AE283+AI283+AM283+AQ283+AU283+AY283+BC283</f>
        <v>0</v>
      </c>
    </row>
    <row r="284" spans="1:59" ht="21" hidden="1" customHeight="1" x14ac:dyDescent="0.3">
      <c r="A284" s="11"/>
      <c r="B284" s="181"/>
      <c r="C284" s="34"/>
      <c r="D284" s="34"/>
      <c r="E284" s="34"/>
      <c r="F284" s="34"/>
      <c r="G284" s="64" t="str">
        <f>IFERROR(+VLOOKUP(F284,Datos!$P:$Q,2,0),"")</f>
        <v/>
      </c>
      <c r="H284" s="35"/>
      <c r="I284" s="34"/>
      <c r="J284" s="66">
        <f t="shared" si="533"/>
        <v>0</v>
      </c>
      <c r="K284" s="123"/>
      <c r="M284" s="34"/>
      <c r="N284" s="66">
        <f t="shared" si="534"/>
        <v>0</v>
      </c>
      <c r="O284" s="123"/>
      <c r="Q284" s="34"/>
      <c r="R284" s="66">
        <f t="shared" si="535"/>
        <v>0</v>
      </c>
      <c r="S284" s="123"/>
      <c r="U284" s="34"/>
      <c r="V284" s="66">
        <f t="shared" si="536"/>
        <v>0</v>
      </c>
      <c r="W284" s="123"/>
      <c r="Y284" s="34"/>
      <c r="Z284" s="66">
        <f t="shared" si="537"/>
        <v>0</v>
      </c>
      <c r="AA284" s="123"/>
      <c r="AC284" s="34"/>
      <c r="AD284" s="66">
        <f t="shared" si="538"/>
        <v>0</v>
      </c>
      <c r="AE284" s="123"/>
      <c r="AG284" s="34"/>
      <c r="AH284" s="66">
        <f t="shared" si="539"/>
        <v>0</v>
      </c>
      <c r="AI284" s="123"/>
      <c r="AK284" s="34"/>
      <c r="AL284" s="66">
        <f t="shared" si="540"/>
        <v>0</v>
      </c>
      <c r="AM284" s="123"/>
      <c r="AO284" s="34"/>
      <c r="AP284" s="66">
        <f t="shared" si="541"/>
        <v>0</v>
      </c>
      <c r="AQ284" s="123"/>
      <c r="AS284" s="34"/>
      <c r="AT284" s="66">
        <f t="shared" si="542"/>
        <v>0</v>
      </c>
      <c r="AU284" s="123"/>
      <c r="AW284" s="34"/>
      <c r="AX284" s="66">
        <f t="shared" si="543"/>
        <v>0</v>
      </c>
      <c r="AY284" s="123"/>
      <c r="BA284" s="34"/>
      <c r="BB284" s="66">
        <f t="shared" si="544"/>
        <v>0</v>
      </c>
      <c r="BC284" s="123"/>
      <c r="BE284" s="67">
        <f t="shared" si="545"/>
        <v>0</v>
      </c>
      <c r="BF284" s="68">
        <f t="shared" si="546"/>
        <v>0</v>
      </c>
      <c r="BG284" s="67">
        <f t="shared" si="547"/>
        <v>0</v>
      </c>
    </row>
    <row r="285" spans="1:59" ht="21" hidden="1" customHeight="1" x14ac:dyDescent="0.3">
      <c r="A285" s="11"/>
      <c r="B285" s="181"/>
      <c r="C285" s="34"/>
      <c r="D285" s="34"/>
      <c r="E285" s="34"/>
      <c r="F285" s="34"/>
      <c r="G285" s="64" t="str">
        <f>IFERROR(+VLOOKUP(F285,Datos!$P:$Q,2,0),"")</f>
        <v/>
      </c>
      <c r="H285" s="35"/>
      <c r="I285" s="34"/>
      <c r="J285" s="66">
        <f t="shared" si="533"/>
        <v>0</v>
      </c>
      <c r="K285" s="123"/>
      <c r="M285" s="34"/>
      <c r="N285" s="66">
        <f t="shared" si="534"/>
        <v>0</v>
      </c>
      <c r="O285" s="123"/>
      <c r="Q285" s="34"/>
      <c r="R285" s="66">
        <f t="shared" si="535"/>
        <v>0</v>
      </c>
      <c r="S285" s="123"/>
      <c r="U285" s="34"/>
      <c r="V285" s="66">
        <f t="shared" si="536"/>
        <v>0</v>
      </c>
      <c r="W285" s="123"/>
      <c r="Y285" s="34"/>
      <c r="Z285" s="66">
        <f t="shared" si="537"/>
        <v>0</v>
      </c>
      <c r="AA285" s="123"/>
      <c r="AC285" s="34"/>
      <c r="AD285" s="66">
        <f t="shared" si="538"/>
        <v>0</v>
      </c>
      <c r="AE285" s="123"/>
      <c r="AG285" s="34"/>
      <c r="AH285" s="66">
        <f t="shared" si="539"/>
        <v>0</v>
      </c>
      <c r="AI285" s="123"/>
      <c r="AK285" s="34"/>
      <c r="AL285" s="66">
        <f t="shared" si="540"/>
        <v>0</v>
      </c>
      <c r="AM285" s="123"/>
      <c r="AO285" s="34"/>
      <c r="AP285" s="66">
        <f t="shared" si="541"/>
        <v>0</v>
      </c>
      <c r="AQ285" s="123"/>
      <c r="AS285" s="34"/>
      <c r="AT285" s="66">
        <f t="shared" si="542"/>
        <v>0</v>
      </c>
      <c r="AU285" s="123"/>
      <c r="AW285" s="34"/>
      <c r="AX285" s="66">
        <f t="shared" si="543"/>
        <v>0</v>
      </c>
      <c r="AY285" s="123"/>
      <c r="BA285" s="34"/>
      <c r="BB285" s="66">
        <f t="shared" si="544"/>
        <v>0</v>
      </c>
      <c r="BC285" s="123"/>
      <c r="BE285" s="67">
        <f t="shared" si="545"/>
        <v>0</v>
      </c>
      <c r="BF285" s="68">
        <f t="shared" si="546"/>
        <v>0</v>
      </c>
      <c r="BG285" s="67">
        <f t="shared" si="547"/>
        <v>0</v>
      </c>
    </row>
    <row r="286" spans="1:59" ht="21" hidden="1" customHeight="1" x14ac:dyDescent="0.3">
      <c r="A286" s="11"/>
      <c r="B286" s="181"/>
      <c r="C286" s="34"/>
      <c r="D286" s="34"/>
      <c r="E286" s="34"/>
      <c r="F286" s="34"/>
      <c r="G286" s="64" t="str">
        <f>IFERROR(+VLOOKUP(F286,Datos!$P:$Q,2,0),"")</f>
        <v/>
      </c>
      <c r="H286" s="35"/>
      <c r="I286" s="34"/>
      <c r="J286" s="66">
        <f t="shared" si="533"/>
        <v>0</v>
      </c>
      <c r="K286" s="123"/>
      <c r="M286" s="34"/>
      <c r="N286" s="66">
        <f t="shared" si="534"/>
        <v>0</v>
      </c>
      <c r="O286" s="123"/>
      <c r="Q286" s="34"/>
      <c r="R286" s="66">
        <f t="shared" si="535"/>
        <v>0</v>
      </c>
      <c r="S286" s="123"/>
      <c r="U286" s="34"/>
      <c r="V286" s="66">
        <f t="shared" si="536"/>
        <v>0</v>
      </c>
      <c r="W286" s="123"/>
      <c r="Y286" s="34"/>
      <c r="Z286" s="66">
        <f t="shared" si="537"/>
        <v>0</v>
      </c>
      <c r="AA286" s="123"/>
      <c r="AC286" s="34"/>
      <c r="AD286" s="66">
        <f t="shared" si="538"/>
        <v>0</v>
      </c>
      <c r="AE286" s="123"/>
      <c r="AG286" s="34"/>
      <c r="AH286" s="66">
        <f t="shared" si="539"/>
        <v>0</v>
      </c>
      <c r="AI286" s="123"/>
      <c r="AK286" s="34"/>
      <c r="AL286" s="66">
        <f t="shared" si="540"/>
        <v>0</v>
      </c>
      <c r="AM286" s="123"/>
      <c r="AO286" s="34"/>
      <c r="AP286" s="66">
        <f t="shared" si="541"/>
        <v>0</v>
      </c>
      <c r="AQ286" s="123"/>
      <c r="AS286" s="34"/>
      <c r="AT286" s="66">
        <f t="shared" si="542"/>
        <v>0</v>
      </c>
      <c r="AU286" s="123"/>
      <c r="AW286" s="34"/>
      <c r="AX286" s="66">
        <f t="shared" si="543"/>
        <v>0</v>
      </c>
      <c r="AY286" s="123"/>
      <c r="BA286" s="34"/>
      <c r="BB286" s="66">
        <f t="shared" si="544"/>
        <v>0</v>
      </c>
      <c r="BC286" s="123"/>
      <c r="BE286" s="67">
        <f t="shared" si="545"/>
        <v>0</v>
      </c>
      <c r="BF286" s="68">
        <f t="shared" si="546"/>
        <v>0</v>
      </c>
      <c r="BG286" s="67">
        <f t="shared" si="547"/>
        <v>0</v>
      </c>
    </row>
    <row r="287" spans="1:59" ht="21" hidden="1" customHeight="1" x14ac:dyDescent="0.3">
      <c r="A287" s="11"/>
      <c r="B287" s="181"/>
      <c r="C287" s="34"/>
      <c r="D287" s="34"/>
      <c r="E287" s="34"/>
      <c r="F287" s="34"/>
      <c r="G287" s="64" t="str">
        <f>IFERROR(+VLOOKUP(F287,Datos!$P:$Q,2,0),"")</f>
        <v/>
      </c>
      <c r="H287" s="35"/>
      <c r="I287" s="34"/>
      <c r="J287" s="66">
        <f t="shared" si="533"/>
        <v>0</v>
      </c>
      <c r="K287" s="123"/>
      <c r="M287" s="34"/>
      <c r="N287" s="66">
        <f t="shared" si="534"/>
        <v>0</v>
      </c>
      <c r="O287" s="123"/>
      <c r="Q287" s="34"/>
      <c r="R287" s="66">
        <f t="shared" si="535"/>
        <v>0</v>
      </c>
      <c r="S287" s="123"/>
      <c r="U287" s="34"/>
      <c r="V287" s="66">
        <f t="shared" si="536"/>
        <v>0</v>
      </c>
      <c r="W287" s="123"/>
      <c r="Y287" s="34"/>
      <c r="Z287" s="66">
        <f t="shared" si="537"/>
        <v>0</v>
      </c>
      <c r="AA287" s="123"/>
      <c r="AC287" s="34"/>
      <c r="AD287" s="66">
        <f t="shared" si="538"/>
        <v>0</v>
      </c>
      <c r="AE287" s="123"/>
      <c r="AG287" s="34"/>
      <c r="AH287" s="66">
        <f t="shared" si="539"/>
        <v>0</v>
      </c>
      <c r="AI287" s="123"/>
      <c r="AK287" s="34"/>
      <c r="AL287" s="66">
        <f t="shared" si="540"/>
        <v>0</v>
      </c>
      <c r="AM287" s="123"/>
      <c r="AO287" s="34"/>
      <c r="AP287" s="66">
        <f t="shared" si="541"/>
        <v>0</v>
      </c>
      <c r="AQ287" s="123"/>
      <c r="AS287" s="34"/>
      <c r="AT287" s="66">
        <f t="shared" si="542"/>
        <v>0</v>
      </c>
      <c r="AU287" s="123"/>
      <c r="AW287" s="34"/>
      <c r="AX287" s="66">
        <f t="shared" si="543"/>
        <v>0</v>
      </c>
      <c r="AY287" s="123"/>
      <c r="BA287" s="34"/>
      <c r="BB287" s="66">
        <f t="shared" si="544"/>
        <v>0</v>
      </c>
      <c r="BC287" s="123"/>
      <c r="BE287" s="67">
        <f t="shared" si="545"/>
        <v>0</v>
      </c>
      <c r="BF287" s="68">
        <f t="shared" si="546"/>
        <v>0</v>
      </c>
      <c r="BG287" s="67">
        <f t="shared" si="547"/>
        <v>0</v>
      </c>
    </row>
    <row r="288" spans="1:59" ht="21" hidden="1" customHeight="1" x14ac:dyDescent="0.3">
      <c r="A288" s="11"/>
      <c r="B288" s="181"/>
      <c r="C288" s="34"/>
      <c r="D288" s="34"/>
      <c r="E288" s="34"/>
      <c r="F288" s="34"/>
      <c r="G288" s="64" t="str">
        <f>IFERROR(+VLOOKUP(F288,Datos!$P:$Q,2,0),"")</f>
        <v/>
      </c>
      <c r="H288" s="35"/>
      <c r="I288" s="34"/>
      <c r="J288" s="66">
        <f>IFERROR(+K288/I288,0)</f>
        <v>0</v>
      </c>
      <c r="K288" s="123"/>
      <c r="M288" s="34"/>
      <c r="N288" s="66">
        <f>IFERROR(+O288/M288,0)</f>
        <v>0</v>
      </c>
      <c r="O288" s="123"/>
      <c r="Q288" s="34"/>
      <c r="R288" s="66">
        <f>IFERROR(+S288/Q288,0)</f>
        <v>0</v>
      </c>
      <c r="S288" s="123"/>
      <c r="U288" s="34"/>
      <c r="V288" s="66">
        <f>IFERROR(+W288/U288,0)</f>
        <v>0</v>
      </c>
      <c r="W288" s="123"/>
      <c r="Y288" s="34"/>
      <c r="Z288" s="66">
        <f>IFERROR(+AA288/Y288,0)</f>
        <v>0</v>
      </c>
      <c r="AA288" s="123"/>
      <c r="AC288" s="34"/>
      <c r="AD288" s="66">
        <f>IFERROR(+AE288/AC288,0)</f>
        <v>0</v>
      </c>
      <c r="AE288" s="123"/>
      <c r="AG288" s="34"/>
      <c r="AH288" s="66">
        <f>IFERROR(+AI288/AG288,0)</f>
        <v>0</v>
      </c>
      <c r="AI288" s="123"/>
      <c r="AK288" s="34"/>
      <c r="AL288" s="66">
        <f>IFERROR(+AM288/AK288,0)</f>
        <v>0</v>
      </c>
      <c r="AM288" s="123"/>
      <c r="AO288" s="34"/>
      <c r="AP288" s="66">
        <f>IFERROR(+AQ288/AO288,0)</f>
        <v>0</v>
      </c>
      <c r="AQ288" s="123"/>
      <c r="AS288" s="34"/>
      <c r="AT288" s="66">
        <f>IFERROR(+AU288/AS288,0)</f>
        <v>0</v>
      </c>
      <c r="AU288" s="123"/>
      <c r="AW288" s="34"/>
      <c r="AX288" s="66">
        <f>IFERROR(+AY288/AW288,0)</f>
        <v>0</v>
      </c>
      <c r="AY288" s="123"/>
      <c r="BA288" s="34"/>
      <c r="BB288" s="66">
        <f>IFERROR(+BC288/BA288,0)</f>
        <v>0</v>
      </c>
      <c r="BC288" s="123"/>
      <c r="BE288" s="67">
        <f>+I288+M288+Q288++U288+Y288+AC288+AG288+AK288+AO288+AS288+AW288+BA288</f>
        <v>0</v>
      </c>
      <c r="BF288" s="68">
        <f>IFERROR(+BG288/BE288,0)</f>
        <v>0</v>
      </c>
      <c r="BG288" s="67">
        <f>+K288+O288+S288+W288+AA288+AE288+AI288+AM288+AQ288+AU288+AY288+BC288</f>
        <v>0</v>
      </c>
    </row>
    <row r="289" spans="1:59" ht="21" hidden="1" customHeight="1" x14ac:dyDescent="0.3">
      <c r="A289" s="11"/>
      <c r="B289" s="314" t="s">
        <v>227</v>
      </c>
      <c r="C289" s="315"/>
      <c r="D289" s="315"/>
      <c r="E289" s="315"/>
      <c r="F289" s="315"/>
      <c r="G289" s="316"/>
      <c r="H289" s="35"/>
      <c r="I289" s="67">
        <f>SUM(I282:I288)</f>
        <v>0</v>
      </c>
      <c r="J289" s="68">
        <f t="shared" ref="J289" si="548">IFERROR(+K289/I289,0)</f>
        <v>0</v>
      </c>
      <c r="K289" s="67">
        <f>SUM(K282:K288)</f>
        <v>0</v>
      </c>
      <c r="M289" s="67">
        <f>SUM(M282:M288)</f>
        <v>0</v>
      </c>
      <c r="N289" s="68">
        <f t="shared" ref="N289" si="549">IFERROR(+O289/M289,0)</f>
        <v>0</v>
      </c>
      <c r="O289" s="67">
        <f>SUM(O282:O288)</f>
        <v>0</v>
      </c>
      <c r="Q289" s="67">
        <f>SUM(Q282:Q288)</f>
        <v>0</v>
      </c>
      <c r="R289" s="68">
        <f t="shared" ref="R289" si="550">IFERROR(+S289/Q289,0)</f>
        <v>0</v>
      </c>
      <c r="S289" s="67">
        <f>SUM(S282:S288)</f>
        <v>0</v>
      </c>
      <c r="U289" s="67">
        <f>SUM(U282:U288)</f>
        <v>0</v>
      </c>
      <c r="V289" s="68">
        <f t="shared" ref="V289" si="551">IFERROR(+W289/U289,0)</f>
        <v>0</v>
      </c>
      <c r="W289" s="67">
        <f>SUM(W282:W288)</f>
        <v>0</v>
      </c>
      <c r="Y289" s="67">
        <f>SUM(Y282:Y288)</f>
        <v>0</v>
      </c>
      <c r="Z289" s="68">
        <f t="shared" ref="Z289" si="552">IFERROR(+AA289/Y289,0)</f>
        <v>0</v>
      </c>
      <c r="AA289" s="67">
        <f>SUM(AA282:AA288)</f>
        <v>0</v>
      </c>
      <c r="AC289" s="67">
        <f>SUM(AC282:AC288)</f>
        <v>0</v>
      </c>
      <c r="AD289" s="68">
        <f t="shared" ref="AD289" si="553">IFERROR(+AE289/AC289,0)</f>
        <v>0</v>
      </c>
      <c r="AE289" s="67">
        <f>SUM(AE282:AE288)</f>
        <v>0</v>
      </c>
      <c r="AG289" s="67">
        <f>SUM(AG282:AG288)</f>
        <v>0</v>
      </c>
      <c r="AH289" s="68">
        <f t="shared" ref="AH289" si="554">IFERROR(+AI289/AG289,0)</f>
        <v>0</v>
      </c>
      <c r="AI289" s="67">
        <f>SUM(AI282:AI288)</f>
        <v>0</v>
      </c>
      <c r="AK289" s="67">
        <f>SUM(AK282:AK288)</f>
        <v>0</v>
      </c>
      <c r="AL289" s="68">
        <f t="shared" ref="AL289" si="555">IFERROR(+AM289/AK289,0)</f>
        <v>0</v>
      </c>
      <c r="AM289" s="67">
        <f>SUM(AM282:AM288)</f>
        <v>0</v>
      </c>
      <c r="AO289" s="67">
        <f>SUM(AO282:AO288)</f>
        <v>0</v>
      </c>
      <c r="AP289" s="68">
        <f t="shared" ref="AP289" si="556">IFERROR(+AQ289/AO289,0)</f>
        <v>0</v>
      </c>
      <c r="AQ289" s="67">
        <f>SUM(AQ282:AQ288)</f>
        <v>0</v>
      </c>
      <c r="AS289" s="67">
        <f>SUM(AS282:AS288)</f>
        <v>0</v>
      </c>
      <c r="AT289" s="68">
        <f t="shared" ref="AT289" si="557">IFERROR(+AU289/AS289,0)</f>
        <v>0</v>
      </c>
      <c r="AU289" s="67">
        <f>SUM(AU282:AU288)</f>
        <v>0</v>
      </c>
      <c r="AW289" s="67">
        <f>SUM(AW282:AW288)</f>
        <v>0</v>
      </c>
      <c r="AX289" s="68">
        <f t="shared" ref="AX289" si="558">IFERROR(+AY289/AW289,0)</f>
        <v>0</v>
      </c>
      <c r="AY289" s="67">
        <f>SUM(AY282:AY288)</f>
        <v>0</v>
      </c>
      <c r="BA289" s="67">
        <f>SUM(BA282:BA288)</f>
        <v>0</v>
      </c>
      <c r="BB289" s="68">
        <f t="shared" ref="BB289" si="559">IFERROR(+BC289/BA289,0)</f>
        <v>0</v>
      </c>
      <c r="BC289" s="67">
        <f>SUM(BC282:BC288)</f>
        <v>0</v>
      </c>
      <c r="BE289" s="67">
        <f>SUM(BE282:BE288)</f>
        <v>0</v>
      </c>
      <c r="BF289" s="68">
        <f t="shared" ref="BF289" si="560">IFERROR(+BG289/BE289,0)</f>
        <v>0</v>
      </c>
      <c r="BG289" s="67">
        <f>SUM(BG282:BG288)</f>
        <v>0</v>
      </c>
    </row>
    <row r="290" spans="1:59" hidden="1" x14ac:dyDescent="0.3"/>
    <row r="291" spans="1:59" ht="36" hidden="1" customHeight="1" x14ac:dyDescent="0.3">
      <c r="A291" s="11"/>
      <c r="B291" s="318" t="s">
        <v>744</v>
      </c>
      <c r="C291" s="318"/>
      <c r="D291" s="318"/>
      <c r="E291" s="318"/>
      <c r="F291" s="318"/>
      <c r="G291" s="318"/>
      <c r="H291" s="318"/>
      <c r="I291" s="318"/>
      <c r="J291" s="318"/>
    </row>
    <row r="292" spans="1:59" hidden="1" x14ac:dyDescent="0.3"/>
    <row r="293" spans="1:59" ht="21" hidden="1" customHeight="1" x14ac:dyDescent="0.3">
      <c r="A293" s="11"/>
      <c r="B293" s="312" t="s">
        <v>894</v>
      </c>
      <c r="C293" s="312" t="s">
        <v>895</v>
      </c>
      <c r="D293" s="281" t="s">
        <v>235</v>
      </c>
      <c r="E293" s="302" t="s">
        <v>232</v>
      </c>
      <c r="F293" s="302" t="s">
        <v>233</v>
      </c>
      <c r="G293" s="299" t="s">
        <v>234</v>
      </c>
      <c r="H293" s="36"/>
      <c r="I293" s="301" t="str">
        <f>+"Enero "&amp;$I$6&amp;""</f>
        <v>Enero 2025</v>
      </c>
      <c r="J293" s="301"/>
      <c r="K293" s="301"/>
      <c r="M293" s="301" t="str">
        <f>+"Febrero "&amp;$I$6&amp;""</f>
        <v>Febrero 2025</v>
      </c>
      <c r="N293" s="301"/>
      <c r="O293" s="301"/>
      <c r="Q293" s="301" t="str">
        <f>+"Marzo "&amp;$I$6&amp;""</f>
        <v>Marzo 2025</v>
      </c>
      <c r="R293" s="301"/>
      <c r="S293" s="301"/>
      <c r="U293" s="301" t="str">
        <f>+"Abril "&amp;$I$6&amp;""</f>
        <v>Abril 2025</v>
      </c>
      <c r="V293" s="301"/>
      <c r="W293" s="301"/>
      <c r="Y293" s="301" t="str">
        <f>+"Mayo "&amp;$I$6&amp;""</f>
        <v>Mayo 2025</v>
      </c>
      <c r="Z293" s="301"/>
      <c r="AA293" s="301"/>
      <c r="AC293" s="301" t="str">
        <f>+"Junio "&amp;$I$6&amp;""</f>
        <v>Junio 2025</v>
      </c>
      <c r="AD293" s="301"/>
      <c r="AE293" s="301"/>
      <c r="AG293" s="301" t="str">
        <f>+"Julio "&amp;$I$6&amp;""</f>
        <v>Julio 2025</v>
      </c>
      <c r="AH293" s="301"/>
      <c r="AI293" s="301"/>
      <c r="AK293" s="301" t="str">
        <f>+"Agosto "&amp;$I$6&amp;""</f>
        <v>Agosto 2025</v>
      </c>
      <c r="AL293" s="301"/>
      <c r="AM293" s="301"/>
      <c r="AO293" s="301" t="str">
        <f>+"Septiembre "&amp;$I$6&amp;""</f>
        <v>Septiembre 2025</v>
      </c>
      <c r="AP293" s="301"/>
      <c r="AQ293" s="301"/>
      <c r="AS293" s="301" t="str">
        <f>+"Octubre "&amp;$I$6&amp;""</f>
        <v>Octubre 2025</v>
      </c>
      <c r="AT293" s="301"/>
      <c r="AU293" s="301"/>
      <c r="AW293" s="301" t="str">
        <f>+"Noviembre "&amp;$I$6&amp;""</f>
        <v>Noviembre 2025</v>
      </c>
      <c r="AX293" s="301"/>
      <c r="AY293" s="301"/>
      <c r="BA293" s="301" t="str">
        <f>+"Diciembre "&amp;$I$6&amp;""</f>
        <v>Diciembre 2025</v>
      </c>
      <c r="BB293" s="301"/>
      <c r="BC293" s="301"/>
      <c r="BE293" s="301" t="str">
        <f>+"Acumulado "&amp;$I$6&amp;""</f>
        <v>Acumulado 2025</v>
      </c>
      <c r="BF293" s="301"/>
      <c r="BG293" s="301"/>
    </row>
    <row r="294" spans="1:59" ht="21" hidden="1" customHeight="1" x14ac:dyDescent="0.3">
      <c r="A294" s="11"/>
      <c r="B294" s="312"/>
      <c r="C294" s="312"/>
      <c r="D294" s="282"/>
      <c r="E294" s="303"/>
      <c r="F294" s="303"/>
      <c r="G294" s="317"/>
      <c r="H294" s="36"/>
      <c r="I294" s="223" t="s">
        <v>60</v>
      </c>
      <c r="J294" s="299" t="s">
        <v>61</v>
      </c>
      <c r="K294" s="223" t="s">
        <v>62</v>
      </c>
      <c r="L294" s="20"/>
      <c r="M294" s="223" t="s">
        <v>60</v>
      </c>
      <c r="N294" s="299" t="s">
        <v>61</v>
      </c>
      <c r="O294" s="223" t="s">
        <v>62</v>
      </c>
      <c r="P294" s="20"/>
      <c r="Q294" s="223" t="s">
        <v>60</v>
      </c>
      <c r="R294" s="299" t="s">
        <v>61</v>
      </c>
      <c r="S294" s="223" t="s">
        <v>62</v>
      </c>
      <c r="T294" s="20"/>
      <c r="U294" s="223" t="s">
        <v>60</v>
      </c>
      <c r="V294" s="299" t="s">
        <v>61</v>
      </c>
      <c r="W294" s="223" t="s">
        <v>62</v>
      </c>
      <c r="X294" s="20"/>
      <c r="Y294" s="223" t="s">
        <v>60</v>
      </c>
      <c r="Z294" s="299" t="s">
        <v>61</v>
      </c>
      <c r="AA294" s="223" t="s">
        <v>62</v>
      </c>
      <c r="AB294" s="20"/>
      <c r="AC294" s="223" t="s">
        <v>60</v>
      </c>
      <c r="AD294" s="299" t="s">
        <v>61</v>
      </c>
      <c r="AE294" s="223" t="s">
        <v>62</v>
      </c>
      <c r="AF294" s="20"/>
      <c r="AG294" s="223" t="s">
        <v>60</v>
      </c>
      <c r="AH294" s="299" t="s">
        <v>61</v>
      </c>
      <c r="AI294" s="223" t="s">
        <v>62</v>
      </c>
      <c r="AJ294" s="20"/>
      <c r="AK294" s="223" t="s">
        <v>60</v>
      </c>
      <c r="AL294" s="299" t="s">
        <v>61</v>
      </c>
      <c r="AM294" s="223" t="s">
        <v>62</v>
      </c>
      <c r="AN294" s="20"/>
      <c r="AO294" s="223" t="s">
        <v>60</v>
      </c>
      <c r="AP294" s="299" t="s">
        <v>61</v>
      </c>
      <c r="AQ294" s="223" t="s">
        <v>62</v>
      </c>
      <c r="AR294" s="20"/>
      <c r="AS294" s="223" t="s">
        <v>60</v>
      </c>
      <c r="AT294" s="299" t="s">
        <v>61</v>
      </c>
      <c r="AU294" s="223" t="s">
        <v>62</v>
      </c>
      <c r="AV294" s="20"/>
      <c r="AW294" s="223" t="s">
        <v>60</v>
      </c>
      <c r="AX294" s="299" t="s">
        <v>61</v>
      </c>
      <c r="AY294" s="223" t="s">
        <v>62</v>
      </c>
      <c r="AZ294" s="20"/>
      <c r="BA294" s="223" t="s">
        <v>60</v>
      </c>
      <c r="BB294" s="299" t="s">
        <v>61</v>
      </c>
      <c r="BC294" s="223" t="s">
        <v>62</v>
      </c>
      <c r="BD294" s="20"/>
      <c r="BE294" s="223" t="s">
        <v>60</v>
      </c>
      <c r="BF294" s="299" t="s">
        <v>61</v>
      </c>
      <c r="BG294" s="223" t="s">
        <v>62</v>
      </c>
    </row>
    <row r="295" spans="1:59" ht="21" hidden="1" customHeight="1" x14ac:dyDescent="0.3">
      <c r="A295" s="11"/>
      <c r="B295" s="312"/>
      <c r="C295" s="312"/>
      <c r="D295" s="283"/>
      <c r="E295" s="304"/>
      <c r="F295" s="304"/>
      <c r="G295" s="300"/>
      <c r="H295" s="36"/>
      <c r="I295" s="224" t="s">
        <v>1008</v>
      </c>
      <c r="J295" s="300"/>
      <c r="K295" s="224" t="s">
        <v>1009</v>
      </c>
      <c r="L295" s="20"/>
      <c r="M295" s="224" t="s">
        <v>1008</v>
      </c>
      <c r="N295" s="300"/>
      <c r="O295" s="224" t="s">
        <v>1009</v>
      </c>
      <c r="P295" s="20"/>
      <c r="Q295" s="224" t="s">
        <v>1008</v>
      </c>
      <c r="R295" s="300"/>
      <c r="S295" s="224" t="s">
        <v>1009</v>
      </c>
      <c r="T295" s="20"/>
      <c r="U295" s="224" t="s">
        <v>1008</v>
      </c>
      <c r="V295" s="300"/>
      <c r="W295" s="224" t="s">
        <v>1009</v>
      </c>
      <c r="X295" s="20"/>
      <c r="Y295" s="224" t="s">
        <v>1008</v>
      </c>
      <c r="Z295" s="300"/>
      <c r="AA295" s="224" t="s">
        <v>1009</v>
      </c>
      <c r="AB295" s="20"/>
      <c r="AC295" s="224" t="s">
        <v>1008</v>
      </c>
      <c r="AD295" s="300"/>
      <c r="AE295" s="224" t="s">
        <v>1009</v>
      </c>
      <c r="AF295" s="20"/>
      <c r="AG295" s="224" t="s">
        <v>1008</v>
      </c>
      <c r="AH295" s="300"/>
      <c r="AI295" s="224" t="s">
        <v>1009</v>
      </c>
      <c r="AJ295" s="20"/>
      <c r="AK295" s="224" t="s">
        <v>1008</v>
      </c>
      <c r="AL295" s="300"/>
      <c r="AM295" s="224" t="s">
        <v>1009</v>
      </c>
      <c r="AN295" s="20"/>
      <c r="AO295" s="224" t="s">
        <v>1008</v>
      </c>
      <c r="AP295" s="300"/>
      <c r="AQ295" s="224" t="s">
        <v>1009</v>
      </c>
      <c r="AR295" s="20"/>
      <c r="AS295" s="224" t="s">
        <v>1008</v>
      </c>
      <c r="AT295" s="300"/>
      <c r="AU295" s="224" t="s">
        <v>1009</v>
      </c>
      <c r="AV295" s="20"/>
      <c r="AW295" s="224" t="s">
        <v>1008</v>
      </c>
      <c r="AX295" s="300"/>
      <c r="AY295" s="224" t="s">
        <v>1009</v>
      </c>
      <c r="AZ295" s="20"/>
      <c r="BA295" s="224" t="s">
        <v>1008</v>
      </c>
      <c r="BB295" s="300"/>
      <c r="BC295" s="224" t="s">
        <v>1009</v>
      </c>
      <c r="BD295" s="20"/>
      <c r="BE295" s="224" t="s">
        <v>1008</v>
      </c>
      <c r="BF295" s="300"/>
      <c r="BG295" s="224" t="s">
        <v>1009</v>
      </c>
    </row>
    <row r="296" spans="1:59" ht="21" hidden="1" customHeight="1" x14ac:dyDescent="0.3">
      <c r="A296" s="11"/>
      <c r="B296" s="181"/>
      <c r="C296" s="34"/>
      <c r="D296" s="34"/>
      <c r="E296" s="34"/>
      <c r="F296" s="34"/>
      <c r="G296" s="64" t="str">
        <f>IFERROR(+VLOOKUP(F296,Datos!$P:$Q,2,0),"")</f>
        <v/>
      </c>
      <c r="H296" s="35"/>
      <c r="I296" s="34"/>
      <c r="J296" s="66">
        <f>IFERROR(+K296/I296,0)</f>
        <v>0</v>
      </c>
      <c r="K296" s="34"/>
      <c r="M296" s="34"/>
      <c r="N296" s="66">
        <f>IFERROR(+O296/M296,0)</f>
        <v>0</v>
      </c>
      <c r="O296" s="34"/>
      <c r="Q296" s="34"/>
      <c r="R296" s="66">
        <f>IFERROR(+S296/Q296,0)</f>
        <v>0</v>
      </c>
      <c r="S296" s="34"/>
      <c r="U296" s="34"/>
      <c r="V296" s="66">
        <f>IFERROR(+W296/U296,0)</f>
        <v>0</v>
      </c>
      <c r="W296" s="34"/>
      <c r="Y296" s="34"/>
      <c r="Z296" s="66">
        <f>IFERROR(+AA296/Y296,0)</f>
        <v>0</v>
      </c>
      <c r="AA296" s="34"/>
      <c r="AC296" s="34"/>
      <c r="AD296" s="66">
        <f>IFERROR(+AE296/AC296,0)</f>
        <v>0</v>
      </c>
      <c r="AE296" s="34"/>
      <c r="AG296" s="34"/>
      <c r="AH296" s="66">
        <f>IFERROR(+AI296/AG296,0)</f>
        <v>0</v>
      </c>
      <c r="AI296" s="34"/>
      <c r="AK296" s="34"/>
      <c r="AL296" s="66">
        <f>IFERROR(+AM296/AK296,0)</f>
        <v>0</v>
      </c>
      <c r="AM296" s="34"/>
      <c r="AO296" s="34"/>
      <c r="AP296" s="66">
        <f>IFERROR(+AQ296/AO296,0)</f>
        <v>0</v>
      </c>
      <c r="AQ296" s="34"/>
      <c r="AS296" s="34"/>
      <c r="AT296" s="66">
        <f>IFERROR(+AU296/AS296,0)</f>
        <v>0</v>
      </c>
      <c r="AU296" s="34"/>
      <c r="AW296" s="34"/>
      <c r="AX296" s="66">
        <f>IFERROR(+AY296/AW296,0)</f>
        <v>0</v>
      </c>
      <c r="AY296" s="34"/>
      <c r="BA296" s="34"/>
      <c r="BB296" s="66">
        <f>IFERROR(+BC296/BA296,0)</f>
        <v>0</v>
      </c>
      <c r="BC296" s="34"/>
      <c r="BE296" s="67">
        <f>+I296+M296+Q296++U296+Y296+AC296+AG296+AK296+AO296+AS296+AW296+BA296</f>
        <v>0</v>
      </c>
      <c r="BF296" s="68">
        <f>IFERROR(+BG296/BE296,0)</f>
        <v>0</v>
      </c>
      <c r="BG296" s="67">
        <f>+K296+O296+S296+W296+AA296+AE296+AI296+AM296+AQ296+AU296+AY296+BC296</f>
        <v>0</v>
      </c>
    </row>
    <row r="297" spans="1:59" ht="21" hidden="1" customHeight="1" x14ac:dyDescent="0.3">
      <c r="A297" s="11"/>
      <c r="B297" s="181"/>
      <c r="C297" s="34"/>
      <c r="D297" s="34"/>
      <c r="E297" s="34"/>
      <c r="F297" s="34"/>
      <c r="G297" s="64" t="str">
        <f>IFERROR(+VLOOKUP(F297,Datos!$P:$Q,2,0),"")</f>
        <v/>
      </c>
      <c r="H297" s="35"/>
      <c r="I297" s="34"/>
      <c r="J297" s="66">
        <f t="shared" ref="J297:J301" si="561">IFERROR(+K297/I297,0)</f>
        <v>0</v>
      </c>
      <c r="K297" s="34"/>
      <c r="M297" s="34"/>
      <c r="N297" s="66">
        <f t="shared" ref="N297:N301" si="562">IFERROR(+O297/M297,0)</f>
        <v>0</v>
      </c>
      <c r="O297" s="34"/>
      <c r="Q297" s="34"/>
      <c r="R297" s="66">
        <f t="shared" ref="R297:R301" si="563">IFERROR(+S297/Q297,0)</f>
        <v>0</v>
      </c>
      <c r="S297" s="34"/>
      <c r="U297" s="34"/>
      <c r="V297" s="66">
        <f t="shared" ref="V297:V301" si="564">IFERROR(+W297/U297,0)</f>
        <v>0</v>
      </c>
      <c r="W297" s="34"/>
      <c r="Y297" s="34"/>
      <c r="Z297" s="66">
        <f t="shared" ref="Z297:Z301" si="565">IFERROR(+AA297/Y297,0)</f>
        <v>0</v>
      </c>
      <c r="AA297" s="34"/>
      <c r="AC297" s="34"/>
      <c r="AD297" s="66">
        <f t="shared" ref="AD297:AD301" si="566">IFERROR(+AE297/AC297,0)</f>
        <v>0</v>
      </c>
      <c r="AE297" s="34"/>
      <c r="AG297" s="34"/>
      <c r="AH297" s="66">
        <f t="shared" ref="AH297:AH301" si="567">IFERROR(+AI297/AG297,0)</f>
        <v>0</v>
      </c>
      <c r="AI297" s="34"/>
      <c r="AK297" s="34"/>
      <c r="AL297" s="66">
        <f t="shared" ref="AL297:AL301" si="568">IFERROR(+AM297/AK297,0)</f>
        <v>0</v>
      </c>
      <c r="AM297" s="34"/>
      <c r="AO297" s="34"/>
      <c r="AP297" s="66">
        <f t="shared" ref="AP297:AP301" si="569">IFERROR(+AQ297/AO297,0)</f>
        <v>0</v>
      </c>
      <c r="AQ297" s="34"/>
      <c r="AS297" s="34"/>
      <c r="AT297" s="66">
        <f t="shared" ref="AT297:AT301" si="570">IFERROR(+AU297/AS297,0)</f>
        <v>0</v>
      </c>
      <c r="AU297" s="34"/>
      <c r="AW297" s="34"/>
      <c r="AX297" s="66">
        <f t="shared" ref="AX297:AX301" si="571">IFERROR(+AY297/AW297,0)</f>
        <v>0</v>
      </c>
      <c r="AY297" s="34"/>
      <c r="BA297" s="34"/>
      <c r="BB297" s="66">
        <f t="shared" ref="BB297:BB301" si="572">IFERROR(+BC297/BA297,0)</f>
        <v>0</v>
      </c>
      <c r="BC297" s="34"/>
      <c r="BE297" s="67">
        <f t="shared" ref="BE297:BE301" si="573">+I297+M297+Q297++U297+Y297+AC297+AG297+AK297+AO297+AS297+AW297+BA297</f>
        <v>0</v>
      </c>
      <c r="BF297" s="68">
        <f t="shared" ref="BF297:BF301" si="574">IFERROR(+BG297/BE297,0)</f>
        <v>0</v>
      </c>
      <c r="BG297" s="67">
        <f t="shared" ref="BG297:BG301" si="575">+K297+O297+S297+W297+AA297+AE297+AI297+AM297+AQ297+AU297+AY297+BC297</f>
        <v>0</v>
      </c>
    </row>
    <row r="298" spans="1:59" ht="21" hidden="1" customHeight="1" x14ac:dyDescent="0.3">
      <c r="A298" s="11"/>
      <c r="B298" s="181"/>
      <c r="C298" s="34"/>
      <c r="D298" s="34"/>
      <c r="E298" s="34"/>
      <c r="F298" s="34"/>
      <c r="G298" s="64" t="str">
        <f>IFERROR(+VLOOKUP(F298,Datos!$P:$Q,2,0),"")</f>
        <v/>
      </c>
      <c r="H298" s="35"/>
      <c r="I298" s="34"/>
      <c r="J298" s="66">
        <f t="shared" si="561"/>
        <v>0</v>
      </c>
      <c r="K298" s="34"/>
      <c r="M298" s="34"/>
      <c r="N298" s="66">
        <f t="shared" si="562"/>
        <v>0</v>
      </c>
      <c r="O298" s="34"/>
      <c r="Q298" s="34"/>
      <c r="R298" s="66">
        <f t="shared" si="563"/>
        <v>0</v>
      </c>
      <c r="S298" s="34"/>
      <c r="U298" s="34"/>
      <c r="V298" s="66">
        <f t="shared" si="564"/>
        <v>0</v>
      </c>
      <c r="W298" s="34"/>
      <c r="Y298" s="34"/>
      <c r="Z298" s="66">
        <f t="shared" si="565"/>
        <v>0</v>
      </c>
      <c r="AA298" s="34"/>
      <c r="AC298" s="34"/>
      <c r="AD298" s="66">
        <f t="shared" si="566"/>
        <v>0</v>
      </c>
      <c r="AE298" s="34"/>
      <c r="AG298" s="34"/>
      <c r="AH298" s="66">
        <f t="shared" si="567"/>
        <v>0</v>
      </c>
      <c r="AI298" s="34"/>
      <c r="AK298" s="34"/>
      <c r="AL298" s="66">
        <f t="shared" si="568"/>
        <v>0</v>
      </c>
      <c r="AM298" s="34"/>
      <c r="AO298" s="34"/>
      <c r="AP298" s="66">
        <f t="shared" si="569"/>
        <v>0</v>
      </c>
      <c r="AQ298" s="34"/>
      <c r="AS298" s="34"/>
      <c r="AT298" s="66">
        <f t="shared" si="570"/>
        <v>0</v>
      </c>
      <c r="AU298" s="34"/>
      <c r="AW298" s="34"/>
      <c r="AX298" s="66">
        <f t="shared" si="571"/>
        <v>0</v>
      </c>
      <c r="AY298" s="34"/>
      <c r="BA298" s="34"/>
      <c r="BB298" s="66">
        <f t="shared" si="572"/>
        <v>0</v>
      </c>
      <c r="BC298" s="34"/>
      <c r="BE298" s="67">
        <f t="shared" si="573"/>
        <v>0</v>
      </c>
      <c r="BF298" s="68">
        <f t="shared" si="574"/>
        <v>0</v>
      </c>
      <c r="BG298" s="67">
        <f t="shared" si="575"/>
        <v>0</v>
      </c>
    </row>
    <row r="299" spans="1:59" ht="21" hidden="1" customHeight="1" x14ac:dyDescent="0.3">
      <c r="A299" s="11"/>
      <c r="B299" s="181"/>
      <c r="C299" s="34"/>
      <c r="D299" s="34"/>
      <c r="E299" s="34"/>
      <c r="F299" s="34"/>
      <c r="G299" s="64" t="str">
        <f>IFERROR(+VLOOKUP(F299,Datos!$P:$Q,2,0),"")</f>
        <v/>
      </c>
      <c r="H299" s="35"/>
      <c r="I299" s="34"/>
      <c r="J299" s="66">
        <f t="shared" si="561"/>
        <v>0</v>
      </c>
      <c r="K299" s="34"/>
      <c r="M299" s="34"/>
      <c r="N299" s="66">
        <f t="shared" si="562"/>
        <v>0</v>
      </c>
      <c r="O299" s="34"/>
      <c r="Q299" s="34"/>
      <c r="R299" s="66">
        <f t="shared" si="563"/>
        <v>0</v>
      </c>
      <c r="S299" s="34"/>
      <c r="U299" s="34"/>
      <c r="V299" s="66">
        <f t="shared" si="564"/>
        <v>0</v>
      </c>
      <c r="W299" s="34"/>
      <c r="Y299" s="34"/>
      <c r="Z299" s="66">
        <f t="shared" si="565"/>
        <v>0</v>
      </c>
      <c r="AA299" s="34"/>
      <c r="AC299" s="34"/>
      <c r="AD299" s="66">
        <f t="shared" si="566"/>
        <v>0</v>
      </c>
      <c r="AE299" s="34"/>
      <c r="AG299" s="34"/>
      <c r="AH299" s="66">
        <f t="shared" si="567"/>
        <v>0</v>
      </c>
      <c r="AI299" s="34"/>
      <c r="AK299" s="34"/>
      <c r="AL299" s="66">
        <f t="shared" si="568"/>
        <v>0</v>
      </c>
      <c r="AM299" s="34"/>
      <c r="AO299" s="34"/>
      <c r="AP299" s="66">
        <f t="shared" si="569"/>
        <v>0</v>
      </c>
      <c r="AQ299" s="34"/>
      <c r="AS299" s="34"/>
      <c r="AT299" s="66">
        <f t="shared" si="570"/>
        <v>0</v>
      </c>
      <c r="AU299" s="34"/>
      <c r="AW299" s="34"/>
      <c r="AX299" s="66">
        <f t="shared" si="571"/>
        <v>0</v>
      </c>
      <c r="AY299" s="34"/>
      <c r="BA299" s="34"/>
      <c r="BB299" s="66">
        <f t="shared" si="572"/>
        <v>0</v>
      </c>
      <c r="BC299" s="34"/>
      <c r="BE299" s="67">
        <f t="shared" si="573"/>
        <v>0</v>
      </c>
      <c r="BF299" s="68">
        <f t="shared" si="574"/>
        <v>0</v>
      </c>
      <c r="BG299" s="67">
        <f t="shared" si="575"/>
        <v>0</v>
      </c>
    </row>
    <row r="300" spans="1:59" ht="21" hidden="1" customHeight="1" x14ac:dyDescent="0.3">
      <c r="A300" s="11"/>
      <c r="B300" s="181"/>
      <c r="C300" s="34"/>
      <c r="D300" s="34"/>
      <c r="E300" s="34"/>
      <c r="F300" s="34"/>
      <c r="G300" s="64" t="str">
        <f>IFERROR(+VLOOKUP(F300,Datos!$P:$Q,2,0),"")</f>
        <v/>
      </c>
      <c r="H300" s="35"/>
      <c r="I300" s="34"/>
      <c r="J300" s="66">
        <f t="shared" si="561"/>
        <v>0</v>
      </c>
      <c r="K300" s="34"/>
      <c r="M300" s="34"/>
      <c r="N300" s="66">
        <f t="shared" si="562"/>
        <v>0</v>
      </c>
      <c r="O300" s="34"/>
      <c r="Q300" s="34"/>
      <c r="R300" s="66">
        <f t="shared" si="563"/>
        <v>0</v>
      </c>
      <c r="S300" s="34"/>
      <c r="U300" s="34"/>
      <c r="V300" s="66">
        <f t="shared" si="564"/>
        <v>0</v>
      </c>
      <c r="W300" s="34"/>
      <c r="Y300" s="34"/>
      <c r="Z300" s="66">
        <f t="shared" si="565"/>
        <v>0</v>
      </c>
      <c r="AA300" s="34"/>
      <c r="AC300" s="34"/>
      <c r="AD300" s="66">
        <f t="shared" si="566"/>
        <v>0</v>
      </c>
      <c r="AE300" s="34"/>
      <c r="AG300" s="34"/>
      <c r="AH300" s="66">
        <f t="shared" si="567"/>
        <v>0</v>
      </c>
      <c r="AI300" s="34"/>
      <c r="AK300" s="34"/>
      <c r="AL300" s="66">
        <f t="shared" si="568"/>
        <v>0</v>
      </c>
      <c r="AM300" s="34"/>
      <c r="AO300" s="34"/>
      <c r="AP300" s="66">
        <f t="shared" si="569"/>
        <v>0</v>
      </c>
      <c r="AQ300" s="34"/>
      <c r="AS300" s="34"/>
      <c r="AT300" s="66">
        <f t="shared" si="570"/>
        <v>0</v>
      </c>
      <c r="AU300" s="34"/>
      <c r="AW300" s="34"/>
      <c r="AX300" s="66">
        <f t="shared" si="571"/>
        <v>0</v>
      </c>
      <c r="AY300" s="34"/>
      <c r="BA300" s="34"/>
      <c r="BB300" s="66">
        <f t="shared" si="572"/>
        <v>0</v>
      </c>
      <c r="BC300" s="34"/>
      <c r="BE300" s="67">
        <f t="shared" si="573"/>
        <v>0</v>
      </c>
      <c r="BF300" s="68">
        <f t="shared" si="574"/>
        <v>0</v>
      </c>
      <c r="BG300" s="67">
        <f t="shared" si="575"/>
        <v>0</v>
      </c>
    </row>
    <row r="301" spans="1:59" ht="21" hidden="1" customHeight="1" x14ac:dyDescent="0.3">
      <c r="A301" s="11"/>
      <c r="B301" s="181"/>
      <c r="C301" s="34"/>
      <c r="D301" s="34"/>
      <c r="E301" s="34"/>
      <c r="F301" s="34"/>
      <c r="G301" s="64" t="str">
        <f>IFERROR(+VLOOKUP(F301,Datos!$P:$Q,2,0),"")</f>
        <v/>
      </c>
      <c r="H301" s="35"/>
      <c r="I301" s="34"/>
      <c r="J301" s="66">
        <f t="shared" si="561"/>
        <v>0</v>
      </c>
      <c r="K301" s="34"/>
      <c r="M301" s="34"/>
      <c r="N301" s="66">
        <f t="shared" si="562"/>
        <v>0</v>
      </c>
      <c r="O301" s="34"/>
      <c r="Q301" s="34"/>
      <c r="R301" s="66">
        <f t="shared" si="563"/>
        <v>0</v>
      </c>
      <c r="S301" s="34"/>
      <c r="U301" s="34"/>
      <c r="V301" s="66">
        <f t="shared" si="564"/>
        <v>0</v>
      </c>
      <c r="W301" s="34"/>
      <c r="Y301" s="34"/>
      <c r="Z301" s="66">
        <f t="shared" si="565"/>
        <v>0</v>
      </c>
      <c r="AA301" s="34"/>
      <c r="AC301" s="34"/>
      <c r="AD301" s="66">
        <f t="shared" si="566"/>
        <v>0</v>
      </c>
      <c r="AE301" s="34"/>
      <c r="AG301" s="34"/>
      <c r="AH301" s="66">
        <f t="shared" si="567"/>
        <v>0</v>
      </c>
      <c r="AI301" s="34"/>
      <c r="AK301" s="34"/>
      <c r="AL301" s="66">
        <f t="shared" si="568"/>
        <v>0</v>
      </c>
      <c r="AM301" s="34"/>
      <c r="AO301" s="34"/>
      <c r="AP301" s="66">
        <f t="shared" si="569"/>
        <v>0</v>
      </c>
      <c r="AQ301" s="34"/>
      <c r="AS301" s="34"/>
      <c r="AT301" s="66">
        <f t="shared" si="570"/>
        <v>0</v>
      </c>
      <c r="AU301" s="34"/>
      <c r="AW301" s="34"/>
      <c r="AX301" s="66">
        <f t="shared" si="571"/>
        <v>0</v>
      </c>
      <c r="AY301" s="34"/>
      <c r="BA301" s="34"/>
      <c r="BB301" s="66">
        <f t="shared" si="572"/>
        <v>0</v>
      </c>
      <c r="BC301" s="34"/>
      <c r="BE301" s="67">
        <f t="shared" si="573"/>
        <v>0</v>
      </c>
      <c r="BF301" s="68">
        <f t="shared" si="574"/>
        <v>0</v>
      </c>
      <c r="BG301" s="67">
        <f t="shared" si="575"/>
        <v>0</v>
      </c>
    </row>
    <row r="302" spans="1:59" ht="21" hidden="1" customHeight="1" x14ac:dyDescent="0.3">
      <c r="A302" s="11"/>
      <c r="B302" s="181"/>
      <c r="C302" s="34"/>
      <c r="D302" s="34"/>
      <c r="E302" s="34"/>
      <c r="F302" s="34"/>
      <c r="G302" s="64" t="str">
        <f>IFERROR(+VLOOKUP(F302,Datos!$P:$Q,2,0),"")</f>
        <v/>
      </c>
      <c r="H302" s="35"/>
      <c r="I302" s="34"/>
      <c r="J302" s="66">
        <f>IFERROR(+K302/I302,0)</f>
        <v>0</v>
      </c>
      <c r="K302" s="34"/>
      <c r="M302" s="34"/>
      <c r="N302" s="66">
        <f>IFERROR(+O302/M302,0)</f>
        <v>0</v>
      </c>
      <c r="O302" s="34"/>
      <c r="Q302" s="34"/>
      <c r="R302" s="66">
        <f>IFERROR(+S302/Q302,0)</f>
        <v>0</v>
      </c>
      <c r="S302" s="34"/>
      <c r="U302" s="34"/>
      <c r="V302" s="66">
        <f>IFERROR(+W302/U302,0)</f>
        <v>0</v>
      </c>
      <c r="W302" s="34"/>
      <c r="Y302" s="34"/>
      <c r="Z302" s="66">
        <f>IFERROR(+AA302/Y302,0)</f>
        <v>0</v>
      </c>
      <c r="AA302" s="34"/>
      <c r="AC302" s="34"/>
      <c r="AD302" s="66">
        <f>IFERROR(+AE302/AC302,0)</f>
        <v>0</v>
      </c>
      <c r="AE302" s="34"/>
      <c r="AG302" s="34"/>
      <c r="AH302" s="66">
        <f>IFERROR(+AI302/AG302,0)</f>
        <v>0</v>
      </c>
      <c r="AI302" s="34"/>
      <c r="AK302" s="34"/>
      <c r="AL302" s="66">
        <f>IFERROR(+AM302/AK302,0)</f>
        <v>0</v>
      </c>
      <c r="AM302" s="34"/>
      <c r="AO302" s="34"/>
      <c r="AP302" s="66">
        <f>IFERROR(+AQ302/AO302,0)</f>
        <v>0</v>
      </c>
      <c r="AQ302" s="34"/>
      <c r="AS302" s="34"/>
      <c r="AT302" s="66">
        <f>IFERROR(+AU302/AS302,0)</f>
        <v>0</v>
      </c>
      <c r="AU302" s="34"/>
      <c r="AW302" s="34"/>
      <c r="AX302" s="66">
        <f>IFERROR(+AY302/AW302,0)</f>
        <v>0</v>
      </c>
      <c r="AY302" s="34"/>
      <c r="BA302" s="34"/>
      <c r="BB302" s="66">
        <f>IFERROR(+BC302/BA302,0)</f>
        <v>0</v>
      </c>
      <c r="BC302" s="34"/>
      <c r="BE302" s="67">
        <f>+I302+M302+Q302++U302+Y302+AC302+AG302+AK302+AO302+AS302+AW302+BA302</f>
        <v>0</v>
      </c>
      <c r="BF302" s="68">
        <f>IFERROR(+BG302/BE302,0)</f>
        <v>0</v>
      </c>
      <c r="BG302" s="67">
        <f>+K302+O302+S302+W302+AA302+AE302+AI302+AM302+AQ302+AU302+AY302+BC302</f>
        <v>0</v>
      </c>
    </row>
    <row r="303" spans="1:59" ht="21" hidden="1" customHeight="1" x14ac:dyDescent="0.3">
      <c r="A303" s="11"/>
      <c r="B303" s="314" t="s">
        <v>227</v>
      </c>
      <c r="C303" s="315"/>
      <c r="D303" s="315"/>
      <c r="E303" s="315"/>
      <c r="F303" s="315"/>
      <c r="G303" s="316"/>
      <c r="H303" s="35"/>
      <c r="I303" s="67">
        <f>SUM(I296:I302)</f>
        <v>0</v>
      </c>
      <c r="J303" s="68">
        <f t="shared" ref="J303" si="576">IFERROR(+K303/I303,0)</f>
        <v>0</v>
      </c>
      <c r="K303" s="67">
        <f>SUM(K296:K302)</f>
        <v>0</v>
      </c>
      <c r="M303" s="67">
        <f>SUM(M296:M302)</f>
        <v>0</v>
      </c>
      <c r="N303" s="68">
        <f t="shared" ref="N303" si="577">IFERROR(+O303/M303,0)</f>
        <v>0</v>
      </c>
      <c r="O303" s="67">
        <f>SUM(O296:O302)</f>
        <v>0</v>
      </c>
      <c r="Q303" s="67">
        <f>SUM(Q296:Q302)</f>
        <v>0</v>
      </c>
      <c r="R303" s="68">
        <f t="shared" ref="R303" si="578">IFERROR(+S303/Q303,0)</f>
        <v>0</v>
      </c>
      <c r="S303" s="67">
        <f>SUM(S296:S302)</f>
        <v>0</v>
      </c>
      <c r="U303" s="67">
        <f>SUM(U296:U302)</f>
        <v>0</v>
      </c>
      <c r="V303" s="68">
        <f t="shared" ref="V303" si="579">IFERROR(+W303/U303,0)</f>
        <v>0</v>
      </c>
      <c r="W303" s="67">
        <f>SUM(W296:W302)</f>
        <v>0</v>
      </c>
      <c r="Y303" s="67">
        <f>SUM(Y296:Y302)</f>
        <v>0</v>
      </c>
      <c r="Z303" s="68">
        <f t="shared" ref="Z303" si="580">IFERROR(+AA303/Y303,0)</f>
        <v>0</v>
      </c>
      <c r="AA303" s="67">
        <f>SUM(AA296:AA302)</f>
        <v>0</v>
      </c>
      <c r="AC303" s="67">
        <f>SUM(AC296:AC302)</f>
        <v>0</v>
      </c>
      <c r="AD303" s="68">
        <f t="shared" ref="AD303" si="581">IFERROR(+AE303/AC303,0)</f>
        <v>0</v>
      </c>
      <c r="AE303" s="67">
        <f>SUM(AE296:AE302)</f>
        <v>0</v>
      </c>
      <c r="AG303" s="67">
        <f>SUM(AG296:AG302)</f>
        <v>0</v>
      </c>
      <c r="AH303" s="68">
        <f t="shared" ref="AH303" si="582">IFERROR(+AI303/AG303,0)</f>
        <v>0</v>
      </c>
      <c r="AI303" s="67">
        <f>SUM(AI296:AI302)</f>
        <v>0</v>
      </c>
      <c r="AK303" s="67">
        <f>SUM(AK296:AK302)</f>
        <v>0</v>
      </c>
      <c r="AL303" s="68">
        <f t="shared" ref="AL303" si="583">IFERROR(+AM303/AK303,0)</f>
        <v>0</v>
      </c>
      <c r="AM303" s="67">
        <f>SUM(AM296:AM302)</f>
        <v>0</v>
      </c>
      <c r="AO303" s="67">
        <f>SUM(AO296:AO302)</f>
        <v>0</v>
      </c>
      <c r="AP303" s="68">
        <f t="shared" ref="AP303" si="584">IFERROR(+AQ303/AO303,0)</f>
        <v>0</v>
      </c>
      <c r="AQ303" s="67">
        <f>SUM(AQ296:AQ302)</f>
        <v>0</v>
      </c>
      <c r="AS303" s="67">
        <f>SUM(AS296:AS302)</f>
        <v>0</v>
      </c>
      <c r="AT303" s="68">
        <f t="shared" ref="AT303" si="585">IFERROR(+AU303/AS303,0)</f>
        <v>0</v>
      </c>
      <c r="AU303" s="67">
        <f>SUM(AU296:AU302)</f>
        <v>0</v>
      </c>
      <c r="AW303" s="67">
        <f>SUM(AW296:AW302)</f>
        <v>0</v>
      </c>
      <c r="AX303" s="68">
        <f t="shared" ref="AX303" si="586">IFERROR(+AY303/AW303,0)</f>
        <v>0</v>
      </c>
      <c r="AY303" s="67">
        <f>SUM(AY296:AY302)</f>
        <v>0</v>
      </c>
      <c r="BA303" s="67">
        <f>SUM(BA296:BA302)</f>
        <v>0</v>
      </c>
      <c r="BB303" s="68">
        <f t="shared" ref="BB303" si="587">IFERROR(+BC303/BA303,0)</f>
        <v>0</v>
      </c>
      <c r="BC303" s="67">
        <f>SUM(BC296:BC302)</f>
        <v>0</v>
      </c>
      <c r="BE303" s="67">
        <f>SUM(BE296:BE302)</f>
        <v>0</v>
      </c>
      <c r="BF303" s="68">
        <f t="shared" ref="BF303" si="588">IFERROR(+BG303/BE303,0)</f>
        <v>0</v>
      </c>
      <c r="BG303" s="67">
        <f>SUM(BG296:BG302)</f>
        <v>0</v>
      </c>
    </row>
    <row r="304" spans="1:59" hidden="1" x14ac:dyDescent="0.3"/>
    <row r="305" spans="1:59" ht="36" hidden="1" customHeight="1" x14ac:dyDescent="0.3">
      <c r="A305" s="11"/>
      <c r="B305" s="318" t="s">
        <v>746</v>
      </c>
      <c r="C305" s="318"/>
      <c r="D305" s="318"/>
      <c r="E305" s="318"/>
      <c r="F305" s="318"/>
      <c r="G305" s="318"/>
      <c r="H305" s="318"/>
      <c r="I305" s="318"/>
      <c r="J305" s="318"/>
    </row>
    <row r="306" spans="1:59" hidden="1" x14ac:dyDescent="0.3"/>
    <row r="307" spans="1:59" ht="21" hidden="1" customHeight="1" x14ac:dyDescent="0.3">
      <c r="A307" s="11"/>
      <c r="B307" s="312" t="s">
        <v>894</v>
      </c>
      <c r="C307" s="312" t="s">
        <v>895</v>
      </c>
      <c r="D307" s="281" t="s">
        <v>235</v>
      </c>
      <c r="E307" s="302" t="s">
        <v>232</v>
      </c>
      <c r="F307" s="302" t="s">
        <v>233</v>
      </c>
      <c r="G307" s="299" t="s">
        <v>234</v>
      </c>
      <c r="H307" s="36"/>
      <c r="I307" s="301" t="str">
        <f>+"Enero "&amp;$I$6&amp;""</f>
        <v>Enero 2025</v>
      </c>
      <c r="J307" s="301"/>
      <c r="K307" s="301"/>
      <c r="M307" s="301" t="str">
        <f>+"Febrero "&amp;$I$6&amp;""</f>
        <v>Febrero 2025</v>
      </c>
      <c r="N307" s="301"/>
      <c r="O307" s="301"/>
      <c r="Q307" s="301" t="str">
        <f>+"Marzo "&amp;$I$6&amp;""</f>
        <v>Marzo 2025</v>
      </c>
      <c r="R307" s="301"/>
      <c r="S307" s="301"/>
      <c r="U307" s="301" t="str">
        <f>+"Abril "&amp;$I$6&amp;""</f>
        <v>Abril 2025</v>
      </c>
      <c r="V307" s="301"/>
      <c r="W307" s="301"/>
      <c r="Y307" s="301" t="str">
        <f>+"Mayo "&amp;$I$6&amp;""</f>
        <v>Mayo 2025</v>
      </c>
      <c r="Z307" s="301"/>
      <c r="AA307" s="301"/>
      <c r="AC307" s="301" t="str">
        <f>+"Junio "&amp;$I$6&amp;""</f>
        <v>Junio 2025</v>
      </c>
      <c r="AD307" s="301"/>
      <c r="AE307" s="301"/>
      <c r="AG307" s="301" t="str">
        <f>+"Julio "&amp;$I$6&amp;""</f>
        <v>Julio 2025</v>
      </c>
      <c r="AH307" s="301"/>
      <c r="AI307" s="301"/>
      <c r="AK307" s="301" t="str">
        <f>+"Agosto "&amp;$I$6&amp;""</f>
        <v>Agosto 2025</v>
      </c>
      <c r="AL307" s="301"/>
      <c r="AM307" s="301"/>
      <c r="AO307" s="301" t="str">
        <f>+"Septiembre "&amp;$I$6&amp;""</f>
        <v>Septiembre 2025</v>
      </c>
      <c r="AP307" s="301"/>
      <c r="AQ307" s="301"/>
      <c r="AS307" s="301" t="str">
        <f>+"Octubre "&amp;$I$6&amp;""</f>
        <v>Octubre 2025</v>
      </c>
      <c r="AT307" s="301"/>
      <c r="AU307" s="301"/>
      <c r="AW307" s="301" t="str">
        <f>+"Noviembre "&amp;$I$6&amp;""</f>
        <v>Noviembre 2025</v>
      </c>
      <c r="AX307" s="301"/>
      <c r="AY307" s="301"/>
      <c r="BA307" s="301" t="str">
        <f>+"Diciembre "&amp;$I$6&amp;""</f>
        <v>Diciembre 2025</v>
      </c>
      <c r="BB307" s="301"/>
      <c r="BC307" s="301"/>
      <c r="BE307" s="301" t="str">
        <f>+"Acumulado "&amp;$I$6&amp;""</f>
        <v>Acumulado 2025</v>
      </c>
      <c r="BF307" s="301"/>
      <c r="BG307" s="301"/>
    </row>
    <row r="308" spans="1:59" ht="21" hidden="1" customHeight="1" x14ac:dyDescent="0.3">
      <c r="A308" s="11"/>
      <c r="B308" s="312"/>
      <c r="C308" s="312"/>
      <c r="D308" s="282"/>
      <c r="E308" s="303"/>
      <c r="F308" s="303"/>
      <c r="G308" s="317"/>
      <c r="H308" s="36"/>
      <c r="I308" s="223" t="s">
        <v>60</v>
      </c>
      <c r="J308" s="299" t="s">
        <v>61</v>
      </c>
      <c r="K308" s="223" t="s">
        <v>62</v>
      </c>
      <c r="L308" s="20"/>
      <c r="M308" s="223" t="s">
        <v>60</v>
      </c>
      <c r="N308" s="299" t="s">
        <v>61</v>
      </c>
      <c r="O308" s="223" t="s">
        <v>62</v>
      </c>
      <c r="P308" s="20"/>
      <c r="Q308" s="223" t="s">
        <v>60</v>
      </c>
      <c r="R308" s="299" t="s">
        <v>61</v>
      </c>
      <c r="S308" s="223" t="s">
        <v>62</v>
      </c>
      <c r="T308" s="20"/>
      <c r="U308" s="223" t="s">
        <v>60</v>
      </c>
      <c r="V308" s="299" t="s">
        <v>61</v>
      </c>
      <c r="W308" s="223" t="s">
        <v>62</v>
      </c>
      <c r="X308" s="20"/>
      <c r="Y308" s="223" t="s">
        <v>60</v>
      </c>
      <c r="Z308" s="299" t="s">
        <v>61</v>
      </c>
      <c r="AA308" s="223" t="s">
        <v>62</v>
      </c>
      <c r="AB308" s="20"/>
      <c r="AC308" s="223" t="s">
        <v>60</v>
      </c>
      <c r="AD308" s="299" t="s">
        <v>61</v>
      </c>
      <c r="AE308" s="223" t="s">
        <v>62</v>
      </c>
      <c r="AF308" s="20"/>
      <c r="AG308" s="223" t="s">
        <v>60</v>
      </c>
      <c r="AH308" s="299" t="s">
        <v>61</v>
      </c>
      <c r="AI308" s="223" t="s">
        <v>62</v>
      </c>
      <c r="AJ308" s="20"/>
      <c r="AK308" s="223" t="s">
        <v>60</v>
      </c>
      <c r="AL308" s="299" t="s">
        <v>61</v>
      </c>
      <c r="AM308" s="223" t="s">
        <v>62</v>
      </c>
      <c r="AN308" s="20"/>
      <c r="AO308" s="223" t="s">
        <v>60</v>
      </c>
      <c r="AP308" s="299" t="s">
        <v>61</v>
      </c>
      <c r="AQ308" s="223" t="s">
        <v>62</v>
      </c>
      <c r="AR308" s="20"/>
      <c r="AS308" s="223" t="s">
        <v>60</v>
      </c>
      <c r="AT308" s="299" t="s">
        <v>61</v>
      </c>
      <c r="AU308" s="223" t="s">
        <v>62</v>
      </c>
      <c r="AV308" s="20"/>
      <c r="AW308" s="223" t="s">
        <v>60</v>
      </c>
      <c r="AX308" s="299" t="s">
        <v>61</v>
      </c>
      <c r="AY308" s="223" t="s">
        <v>62</v>
      </c>
      <c r="AZ308" s="20"/>
      <c r="BA308" s="223" t="s">
        <v>60</v>
      </c>
      <c r="BB308" s="299" t="s">
        <v>61</v>
      </c>
      <c r="BC308" s="223" t="s">
        <v>62</v>
      </c>
      <c r="BD308" s="20"/>
      <c r="BE308" s="223" t="s">
        <v>60</v>
      </c>
      <c r="BF308" s="299" t="s">
        <v>61</v>
      </c>
      <c r="BG308" s="223" t="s">
        <v>62</v>
      </c>
    </row>
    <row r="309" spans="1:59" ht="21" hidden="1" customHeight="1" x14ac:dyDescent="0.3">
      <c r="A309" s="11"/>
      <c r="B309" s="312"/>
      <c r="C309" s="312"/>
      <c r="D309" s="283"/>
      <c r="E309" s="304"/>
      <c r="F309" s="304"/>
      <c r="G309" s="300"/>
      <c r="H309" s="36"/>
      <c r="I309" s="224" t="s">
        <v>1010</v>
      </c>
      <c r="J309" s="300"/>
      <c r="K309" s="224" t="s">
        <v>1011</v>
      </c>
      <c r="L309" s="20"/>
      <c r="M309" s="224" t="s">
        <v>1010</v>
      </c>
      <c r="N309" s="300"/>
      <c r="O309" s="224" t="s">
        <v>1011</v>
      </c>
      <c r="P309" s="20"/>
      <c r="Q309" s="224" t="s">
        <v>1010</v>
      </c>
      <c r="R309" s="300"/>
      <c r="S309" s="224" t="s">
        <v>1011</v>
      </c>
      <c r="T309" s="20"/>
      <c r="U309" s="224" t="s">
        <v>1010</v>
      </c>
      <c r="V309" s="300"/>
      <c r="W309" s="224" t="s">
        <v>1011</v>
      </c>
      <c r="X309" s="20"/>
      <c r="Y309" s="224" t="s">
        <v>1010</v>
      </c>
      <c r="Z309" s="300"/>
      <c r="AA309" s="224" t="s">
        <v>1011</v>
      </c>
      <c r="AB309" s="20"/>
      <c r="AC309" s="224" t="s">
        <v>1010</v>
      </c>
      <c r="AD309" s="300"/>
      <c r="AE309" s="224" t="s">
        <v>1011</v>
      </c>
      <c r="AF309" s="20"/>
      <c r="AG309" s="224" t="s">
        <v>1010</v>
      </c>
      <c r="AH309" s="300"/>
      <c r="AI309" s="224" t="s">
        <v>1011</v>
      </c>
      <c r="AJ309" s="20"/>
      <c r="AK309" s="224" t="s">
        <v>1010</v>
      </c>
      <c r="AL309" s="300"/>
      <c r="AM309" s="224" t="s">
        <v>1011</v>
      </c>
      <c r="AN309" s="20"/>
      <c r="AO309" s="224" t="s">
        <v>1010</v>
      </c>
      <c r="AP309" s="300"/>
      <c r="AQ309" s="224" t="s">
        <v>1011</v>
      </c>
      <c r="AR309" s="20"/>
      <c r="AS309" s="224" t="s">
        <v>1010</v>
      </c>
      <c r="AT309" s="300"/>
      <c r="AU309" s="224" t="s">
        <v>1011</v>
      </c>
      <c r="AV309" s="20"/>
      <c r="AW309" s="224" t="s">
        <v>1010</v>
      </c>
      <c r="AX309" s="300"/>
      <c r="AY309" s="224" t="s">
        <v>1011</v>
      </c>
      <c r="AZ309" s="20"/>
      <c r="BA309" s="224" t="s">
        <v>1010</v>
      </c>
      <c r="BB309" s="300"/>
      <c r="BC309" s="224" t="s">
        <v>1011</v>
      </c>
      <c r="BD309" s="20"/>
      <c r="BE309" s="224" t="s">
        <v>1010</v>
      </c>
      <c r="BF309" s="300"/>
      <c r="BG309" s="224" t="s">
        <v>1011</v>
      </c>
    </row>
    <row r="310" spans="1:59" ht="21" hidden="1" customHeight="1" x14ac:dyDescent="0.3">
      <c r="A310" s="11"/>
      <c r="B310" s="181"/>
      <c r="C310" s="34"/>
      <c r="D310" s="34"/>
      <c r="E310" s="34"/>
      <c r="F310" s="34"/>
      <c r="G310" s="64" t="str">
        <f>IFERROR(+VLOOKUP(F310,Datos!$P:$Q,2,0),"")</f>
        <v/>
      </c>
      <c r="H310" s="35"/>
      <c r="I310" s="34"/>
      <c r="J310" s="66">
        <f>IFERROR(+K310/I310,0)</f>
        <v>0</v>
      </c>
      <c r="K310" s="34"/>
      <c r="M310" s="34"/>
      <c r="N310" s="66">
        <f>IFERROR(+O310/M310,0)</f>
        <v>0</v>
      </c>
      <c r="O310" s="34"/>
      <c r="Q310" s="34"/>
      <c r="R310" s="66">
        <f>IFERROR(+S310/Q310,0)</f>
        <v>0</v>
      </c>
      <c r="S310" s="34"/>
      <c r="U310" s="34"/>
      <c r="V310" s="66">
        <f>IFERROR(+W310/U310,0)</f>
        <v>0</v>
      </c>
      <c r="W310" s="34"/>
      <c r="Y310" s="34"/>
      <c r="Z310" s="66">
        <f>IFERROR(+AA310/Y310,0)</f>
        <v>0</v>
      </c>
      <c r="AA310" s="34"/>
      <c r="AC310" s="34"/>
      <c r="AD310" s="66">
        <f>IFERROR(+AE310/AC310,0)</f>
        <v>0</v>
      </c>
      <c r="AE310" s="34"/>
      <c r="AG310" s="34"/>
      <c r="AH310" s="66">
        <f>IFERROR(+AI310/AG310,0)</f>
        <v>0</v>
      </c>
      <c r="AI310" s="34"/>
      <c r="AK310" s="34"/>
      <c r="AL310" s="66">
        <f>IFERROR(+AM310/AK310,0)</f>
        <v>0</v>
      </c>
      <c r="AM310" s="34"/>
      <c r="AO310" s="34"/>
      <c r="AP310" s="66">
        <f>IFERROR(+AQ310/AO310,0)</f>
        <v>0</v>
      </c>
      <c r="AQ310" s="34"/>
      <c r="AS310" s="34"/>
      <c r="AT310" s="66">
        <f>IFERROR(+AU310/AS310,0)</f>
        <v>0</v>
      </c>
      <c r="AU310" s="34"/>
      <c r="AW310" s="34"/>
      <c r="AX310" s="66">
        <f>IFERROR(+AY310/AW310,0)</f>
        <v>0</v>
      </c>
      <c r="AY310" s="34"/>
      <c r="BA310" s="34"/>
      <c r="BB310" s="66">
        <f>IFERROR(+BC310/BA310,0)</f>
        <v>0</v>
      </c>
      <c r="BC310" s="34"/>
      <c r="BE310" s="67">
        <f>+I310+M310+Q310++U310+Y310+AC310+AG310+AK310+AO310+AS310+AW310+BA310</f>
        <v>0</v>
      </c>
      <c r="BF310" s="68">
        <f>IFERROR(+BG310/BE310,0)</f>
        <v>0</v>
      </c>
      <c r="BG310" s="67">
        <f>+K310+O310+S310+W310+AA310+AE310+AI310+AM310+AQ310+AU310+AY310+BC310</f>
        <v>0</v>
      </c>
    </row>
    <row r="311" spans="1:59" ht="21" hidden="1" customHeight="1" x14ac:dyDescent="0.3">
      <c r="A311" s="11"/>
      <c r="B311" s="181"/>
      <c r="C311" s="34"/>
      <c r="D311" s="34"/>
      <c r="E311" s="34"/>
      <c r="F311" s="34"/>
      <c r="G311" s="64" t="str">
        <f>IFERROR(+VLOOKUP(F311,Datos!$P:$Q,2,0),"")</f>
        <v/>
      </c>
      <c r="H311" s="35"/>
      <c r="I311" s="34"/>
      <c r="J311" s="66">
        <f t="shared" ref="J311:J315" si="589">IFERROR(+K311/I311,0)</f>
        <v>0</v>
      </c>
      <c r="K311" s="34"/>
      <c r="M311" s="34"/>
      <c r="N311" s="66">
        <f t="shared" ref="N311:N315" si="590">IFERROR(+O311/M311,0)</f>
        <v>0</v>
      </c>
      <c r="O311" s="34"/>
      <c r="Q311" s="34"/>
      <c r="R311" s="66">
        <f t="shared" ref="R311:R315" si="591">IFERROR(+S311/Q311,0)</f>
        <v>0</v>
      </c>
      <c r="S311" s="34"/>
      <c r="U311" s="34"/>
      <c r="V311" s="66">
        <f t="shared" ref="V311:V315" si="592">IFERROR(+W311/U311,0)</f>
        <v>0</v>
      </c>
      <c r="W311" s="34"/>
      <c r="Y311" s="34"/>
      <c r="Z311" s="66">
        <f t="shared" ref="Z311:Z315" si="593">IFERROR(+AA311/Y311,0)</f>
        <v>0</v>
      </c>
      <c r="AA311" s="34"/>
      <c r="AC311" s="34"/>
      <c r="AD311" s="66">
        <f t="shared" ref="AD311:AD315" si="594">IFERROR(+AE311/AC311,0)</f>
        <v>0</v>
      </c>
      <c r="AE311" s="34"/>
      <c r="AG311" s="34"/>
      <c r="AH311" s="66">
        <f t="shared" ref="AH311:AH315" si="595">IFERROR(+AI311/AG311,0)</f>
        <v>0</v>
      </c>
      <c r="AI311" s="34"/>
      <c r="AK311" s="34"/>
      <c r="AL311" s="66">
        <f t="shared" ref="AL311:AL315" si="596">IFERROR(+AM311/AK311,0)</f>
        <v>0</v>
      </c>
      <c r="AM311" s="34"/>
      <c r="AO311" s="34"/>
      <c r="AP311" s="66">
        <f t="shared" ref="AP311:AP315" si="597">IFERROR(+AQ311/AO311,0)</f>
        <v>0</v>
      </c>
      <c r="AQ311" s="34"/>
      <c r="AS311" s="34"/>
      <c r="AT311" s="66">
        <f t="shared" ref="AT311:AT315" si="598">IFERROR(+AU311/AS311,0)</f>
        <v>0</v>
      </c>
      <c r="AU311" s="34"/>
      <c r="AW311" s="34"/>
      <c r="AX311" s="66">
        <f t="shared" ref="AX311:AX315" si="599">IFERROR(+AY311/AW311,0)</f>
        <v>0</v>
      </c>
      <c r="AY311" s="34"/>
      <c r="BA311" s="34"/>
      <c r="BB311" s="66">
        <f t="shared" ref="BB311:BB315" si="600">IFERROR(+BC311/BA311,0)</f>
        <v>0</v>
      </c>
      <c r="BC311" s="34"/>
      <c r="BE311" s="67">
        <f t="shared" ref="BE311:BE315" si="601">+I311+M311+Q311++U311+Y311+AC311+AG311+AK311+AO311+AS311+AW311+BA311</f>
        <v>0</v>
      </c>
      <c r="BF311" s="68">
        <f t="shared" ref="BF311:BF315" si="602">IFERROR(+BG311/BE311,0)</f>
        <v>0</v>
      </c>
      <c r="BG311" s="67">
        <f t="shared" ref="BG311:BG315" si="603">+K311+O311+S311+W311+AA311+AE311+AI311+AM311+AQ311+AU311+AY311+BC311</f>
        <v>0</v>
      </c>
    </row>
    <row r="312" spans="1:59" ht="21" hidden="1" customHeight="1" x14ac:dyDescent="0.3">
      <c r="A312" s="11"/>
      <c r="B312" s="181"/>
      <c r="C312" s="34"/>
      <c r="D312" s="34"/>
      <c r="E312" s="34"/>
      <c r="F312" s="34"/>
      <c r="G312" s="64" t="str">
        <f>IFERROR(+VLOOKUP(F312,Datos!$P:$Q,2,0),"")</f>
        <v/>
      </c>
      <c r="H312" s="35"/>
      <c r="I312" s="34"/>
      <c r="J312" s="66">
        <f t="shared" si="589"/>
        <v>0</v>
      </c>
      <c r="K312" s="34"/>
      <c r="M312" s="34"/>
      <c r="N312" s="66">
        <f t="shared" si="590"/>
        <v>0</v>
      </c>
      <c r="O312" s="34"/>
      <c r="Q312" s="34"/>
      <c r="R312" s="66">
        <f t="shared" si="591"/>
        <v>0</v>
      </c>
      <c r="S312" s="34"/>
      <c r="U312" s="34"/>
      <c r="V312" s="66">
        <f t="shared" si="592"/>
        <v>0</v>
      </c>
      <c r="W312" s="34"/>
      <c r="Y312" s="34"/>
      <c r="Z312" s="66">
        <f t="shared" si="593"/>
        <v>0</v>
      </c>
      <c r="AA312" s="34"/>
      <c r="AC312" s="34"/>
      <c r="AD312" s="66">
        <f t="shared" si="594"/>
        <v>0</v>
      </c>
      <c r="AE312" s="34"/>
      <c r="AG312" s="34"/>
      <c r="AH312" s="66">
        <f t="shared" si="595"/>
        <v>0</v>
      </c>
      <c r="AI312" s="34"/>
      <c r="AK312" s="34"/>
      <c r="AL312" s="66">
        <f t="shared" si="596"/>
        <v>0</v>
      </c>
      <c r="AM312" s="34"/>
      <c r="AO312" s="34"/>
      <c r="AP312" s="66">
        <f t="shared" si="597"/>
        <v>0</v>
      </c>
      <c r="AQ312" s="34"/>
      <c r="AS312" s="34"/>
      <c r="AT312" s="66">
        <f t="shared" si="598"/>
        <v>0</v>
      </c>
      <c r="AU312" s="34"/>
      <c r="AW312" s="34"/>
      <c r="AX312" s="66">
        <f t="shared" si="599"/>
        <v>0</v>
      </c>
      <c r="AY312" s="34"/>
      <c r="BA312" s="34"/>
      <c r="BB312" s="66">
        <f t="shared" si="600"/>
        <v>0</v>
      </c>
      <c r="BC312" s="34"/>
      <c r="BE312" s="67">
        <f t="shared" si="601"/>
        <v>0</v>
      </c>
      <c r="BF312" s="68">
        <f t="shared" si="602"/>
        <v>0</v>
      </c>
      <c r="BG312" s="67">
        <f t="shared" si="603"/>
        <v>0</v>
      </c>
    </row>
    <row r="313" spans="1:59" ht="21" hidden="1" customHeight="1" x14ac:dyDescent="0.3">
      <c r="A313" s="11"/>
      <c r="B313" s="181"/>
      <c r="C313" s="34"/>
      <c r="D313" s="34"/>
      <c r="E313" s="34"/>
      <c r="F313" s="34"/>
      <c r="G313" s="64" t="str">
        <f>IFERROR(+VLOOKUP(F313,Datos!$P:$Q,2,0),"")</f>
        <v/>
      </c>
      <c r="H313" s="35"/>
      <c r="I313" s="34"/>
      <c r="J313" s="66">
        <f t="shared" si="589"/>
        <v>0</v>
      </c>
      <c r="K313" s="34"/>
      <c r="M313" s="34"/>
      <c r="N313" s="66">
        <f t="shared" si="590"/>
        <v>0</v>
      </c>
      <c r="O313" s="34"/>
      <c r="Q313" s="34"/>
      <c r="R313" s="66">
        <f t="shared" si="591"/>
        <v>0</v>
      </c>
      <c r="S313" s="34"/>
      <c r="U313" s="34"/>
      <c r="V313" s="66">
        <f t="shared" si="592"/>
        <v>0</v>
      </c>
      <c r="W313" s="34"/>
      <c r="Y313" s="34"/>
      <c r="Z313" s="66">
        <f t="shared" si="593"/>
        <v>0</v>
      </c>
      <c r="AA313" s="34"/>
      <c r="AC313" s="34"/>
      <c r="AD313" s="66">
        <f t="shared" si="594"/>
        <v>0</v>
      </c>
      <c r="AE313" s="34"/>
      <c r="AG313" s="34"/>
      <c r="AH313" s="66">
        <f t="shared" si="595"/>
        <v>0</v>
      </c>
      <c r="AI313" s="34"/>
      <c r="AK313" s="34"/>
      <c r="AL313" s="66">
        <f t="shared" si="596"/>
        <v>0</v>
      </c>
      <c r="AM313" s="34"/>
      <c r="AO313" s="34"/>
      <c r="AP313" s="66">
        <f t="shared" si="597"/>
        <v>0</v>
      </c>
      <c r="AQ313" s="34"/>
      <c r="AS313" s="34"/>
      <c r="AT313" s="66">
        <f t="shared" si="598"/>
        <v>0</v>
      </c>
      <c r="AU313" s="34"/>
      <c r="AW313" s="34"/>
      <c r="AX313" s="66">
        <f t="shared" si="599"/>
        <v>0</v>
      </c>
      <c r="AY313" s="34"/>
      <c r="BA313" s="34"/>
      <c r="BB313" s="66">
        <f t="shared" si="600"/>
        <v>0</v>
      </c>
      <c r="BC313" s="34"/>
      <c r="BE313" s="67">
        <f t="shared" si="601"/>
        <v>0</v>
      </c>
      <c r="BF313" s="68">
        <f t="shared" si="602"/>
        <v>0</v>
      </c>
      <c r="BG313" s="67">
        <f t="shared" si="603"/>
        <v>0</v>
      </c>
    </row>
    <row r="314" spans="1:59" ht="21" hidden="1" customHeight="1" x14ac:dyDescent="0.3">
      <c r="A314" s="11"/>
      <c r="B314" s="181"/>
      <c r="C314" s="34"/>
      <c r="D314" s="34"/>
      <c r="E314" s="34"/>
      <c r="F314" s="34"/>
      <c r="G314" s="64" t="str">
        <f>IFERROR(+VLOOKUP(F314,Datos!$P:$Q,2,0),"")</f>
        <v/>
      </c>
      <c r="H314" s="35"/>
      <c r="I314" s="34"/>
      <c r="J314" s="66">
        <f t="shared" si="589"/>
        <v>0</v>
      </c>
      <c r="K314" s="34"/>
      <c r="M314" s="34"/>
      <c r="N314" s="66">
        <f t="shared" si="590"/>
        <v>0</v>
      </c>
      <c r="O314" s="34"/>
      <c r="Q314" s="34"/>
      <c r="R314" s="66">
        <f t="shared" si="591"/>
        <v>0</v>
      </c>
      <c r="S314" s="34"/>
      <c r="U314" s="34"/>
      <c r="V314" s="66">
        <f t="shared" si="592"/>
        <v>0</v>
      </c>
      <c r="W314" s="34"/>
      <c r="Y314" s="34"/>
      <c r="Z314" s="66">
        <f t="shared" si="593"/>
        <v>0</v>
      </c>
      <c r="AA314" s="34"/>
      <c r="AC314" s="34"/>
      <c r="AD314" s="66">
        <f t="shared" si="594"/>
        <v>0</v>
      </c>
      <c r="AE314" s="34"/>
      <c r="AG314" s="34"/>
      <c r="AH314" s="66">
        <f t="shared" si="595"/>
        <v>0</v>
      </c>
      <c r="AI314" s="34"/>
      <c r="AK314" s="34"/>
      <c r="AL314" s="66">
        <f t="shared" si="596"/>
        <v>0</v>
      </c>
      <c r="AM314" s="34"/>
      <c r="AO314" s="34"/>
      <c r="AP314" s="66">
        <f t="shared" si="597"/>
        <v>0</v>
      </c>
      <c r="AQ314" s="34"/>
      <c r="AS314" s="34"/>
      <c r="AT314" s="66">
        <f t="shared" si="598"/>
        <v>0</v>
      </c>
      <c r="AU314" s="34"/>
      <c r="AW314" s="34"/>
      <c r="AX314" s="66">
        <f t="shared" si="599"/>
        <v>0</v>
      </c>
      <c r="AY314" s="34"/>
      <c r="BA314" s="34"/>
      <c r="BB314" s="66">
        <f t="shared" si="600"/>
        <v>0</v>
      </c>
      <c r="BC314" s="34"/>
      <c r="BE314" s="67">
        <f t="shared" si="601"/>
        <v>0</v>
      </c>
      <c r="BF314" s="68">
        <f t="shared" si="602"/>
        <v>0</v>
      </c>
      <c r="BG314" s="67">
        <f t="shared" si="603"/>
        <v>0</v>
      </c>
    </row>
    <row r="315" spans="1:59" ht="21" hidden="1" customHeight="1" x14ac:dyDescent="0.3">
      <c r="A315" s="11"/>
      <c r="B315" s="181"/>
      <c r="C315" s="34"/>
      <c r="D315" s="34"/>
      <c r="E315" s="34"/>
      <c r="F315" s="34"/>
      <c r="G315" s="64" t="str">
        <f>IFERROR(+VLOOKUP(F315,Datos!$P:$Q,2,0),"")</f>
        <v/>
      </c>
      <c r="H315" s="35"/>
      <c r="I315" s="34"/>
      <c r="J315" s="66">
        <f t="shared" si="589"/>
        <v>0</v>
      </c>
      <c r="K315" s="34"/>
      <c r="M315" s="34"/>
      <c r="N315" s="66">
        <f t="shared" si="590"/>
        <v>0</v>
      </c>
      <c r="O315" s="34"/>
      <c r="Q315" s="34"/>
      <c r="R315" s="66">
        <f t="shared" si="591"/>
        <v>0</v>
      </c>
      <c r="S315" s="34"/>
      <c r="U315" s="34"/>
      <c r="V315" s="66">
        <f t="shared" si="592"/>
        <v>0</v>
      </c>
      <c r="W315" s="34"/>
      <c r="Y315" s="34"/>
      <c r="Z315" s="66">
        <f t="shared" si="593"/>
        <v>0</v>
      </c>
      <c r="AA315" s="34"/>
      <c r="AC315" s="34"/>
      <c r="AD315" s="66">
        <f t="shared" si="594"/>
        <v>0</v>
      </c>
      <c r="AE315" s="34"/>
      <c r="AG315" s="34"/>
      <c r="AH315" s="66">
        <f t="shared" si="595"/>
        <v>0</v>
      </c>
      <c r="AI315" s="34"/>
      <c r="AK315" s="34"/>
      <c r="AL315" s="66">
        <f t="shared" si="596"/>
        <v>0</v>
      </c>
      <c r="AM315" s="34"/>
      <c r="AO315" s="34"/>
      <c r="AP315" s="66">
        <f t="shared" si="597"/>
        <v>0</v>
      </c>
      <c r="AQ315" s="34"/>
      <c r="AS315" s="34"/>
      <c r="AT315" s="66">
        <f t="shared" si="598"/>
        <v>0</v>
      </c>
      <c r="AU315" s="34"/>
      <c r="AW315" s="34"/>
      <c r="AX315" s="66">
        <f t="shared" si="599"/>
        <v>0</v>
      </c>
      <c r="AY315" s="34"/>
      <c r="BA315" s="34"/>
      <c r="BB315" s="66">
        <f t="shared" si="600"/>
        <v>0</v>
      </c>
      <c r="BC315" s="34"/>
      <c r="BE315" s="67">
        <f t="shared" si="601"/>
        <v>0</v>
      </c>
      <c r="BF315" s="68">
        <f t="shared" si="602"/>
        <v>0</v>
      </c>
      <c r="BG315" s="67">
        <f t="shared" si="603"/>
        <v>0</v>
      </c>
    </row>
    <row r="316" spans="1:59" ht="21" hidden="1" customHeight="1" x14ac:dyDescent="0.3">
      <c r="A316" s="11"/>
      <c r="B316" s="181"/>
      <c r="C316" s="34"/>
      <c r="D316" s="34"/>
      <c r="E316" s="34"/>
      <c r="F316" s="34"/>
      <c r="G316" s="64" t="str">
        <f>IFERROR(+VLOOKUP(F316,Datos!$P:$Q,2,0),"")</f>
        <v/>
      </c>
      <c r="H316" s="35"/>
      <c r="I316" s="34"/>
      <c r="J316" s="66">
        <f>IFERROR(+K316/I316,0)</f>
        <v>0</v>
      </c>
      <c r="K316" s="34"/>
      <c r="M316" s="34"/>
      <c r="N316" s="66">
        <f>IFERROR(+O316/M316,0)</f>
        <v>0</v>
      </c>
      <c r="O316" s="34"/>
      <c r="Q316" s="34"/>
      <c r="R316" s="66">
        <f>IFERROR(+S316/Q316,0)</f>
        <v>0</v>
      </c>
      <c r="S316" s="34"/>
      <c r="U316" s="34"/>
      <c r="V316" s="66">
        <f>IFERROR(+W316/U316,0)</f>
        <v>0</v>
      </c>
      <c r="W316" s="34"/>
      <c r="Y316" s="34"/>
      <c r="Z316" s="66">
        <f>IFERROR(+AA316/Y316,0)</f>
        <v>0</v>
      </c>
      <c r="AA316" s="34"/>
      <c r="AC316" s="34"/>
      <c r="AD316" s="66">
        <f>IFERROR(+AE316/AC316,0)</f>
        <v>0</v>
      </c>
      <c r="AE316" s="34"/>
      <c r="AG316" s="34"/>
      <c r="AH316" s="66">
        <f>IFERROR(+AI316/AG316,0)</f>
        <v>0</v>
      </c>
      <c r="AI316" s="34"/>
      <c r="AK316" s="34"/>
      <c r="AL316" s="66">
        <f>IFERROR(+AM316/AK316,0)</f>
        <v>0</v>
      </c>
      <c r="AM316" s="34"/>
      <c r="AO316" s="34"/>
      <c r="AP316" s="66">
        <f>IFERROR(+AQ316/AO316,0)</f>
        <v>0</v>
      </c>
      <c r="AQ316" s="34"/>
      <c r="AS316" s="34"/>
      <c r="AT316" s="66">
        <f>IFERROR(+AU316/AS316,0)</f>
        <v>0</v>
      </c>
      <c r="AU316" s="34"/>
      <c r="AW316" s="34"/>
      <c r="AX316" s="66">
        <f>IFERROR(+AY316/AW316,0)</f>
        <v>0</v>
      </c>
      <c r="AY316" s="34"/>
      <c r="BA316" s="34"/>
      <c r="BB316" s="66">
        <f>IFERROR(+BC316/BA316,0)</f>
        <v>0</v>
      </c>
      <c r="BC316" s="34"/>
      <c r="BE316" s="67">
        <f>+I316+M316+Q316++U316+Y316+AC316+AG316+AK316+AO316+AS316+AW316+BA316</f>
        <v>0</v>
      </c>
      <c r="BF316" s="68">
        <f>IFERROR(+BG316/BE316,0)</f>
        <v>0</v>
      </c>
      <c r="BG316" s="67">
        <f>+K316+O316+S316+W316+AA316+AE316+AI316+AM316+AQ316+AU316+AY316+BC316</f>
        <v>0</v>
      </c>
    </row>
    <row r="317" spans="1:59" ht="21" hidden="1" customHeight="1" x14ac:dyDescent="0.3">
      <c r="A317" s="11"/>
      <c r="B317" s="314" t="s">
        <v>227</v>
      </c>
      <c r="C317" s="315"/>
      <c r="D317" s="315"/>
      <c r="E317" s="315"/>
      <c r="F317" s="315"/>
      <c r="G317" s="316"/>
      <c r="H317" s="35"/>
      <c r="I317" s="67">
        <f>SUM(I310:I316)</f>
        <v>0</v>
      </c>
      <c r="J317" s="68">
        <f t="shared" ref="J317" si="604">IFERROR(+K317/I317,0)</f>
        <v>0</v>
      </c>
      <c r="K317" s="67">
        <f>SUM(K310:K316)</f>
        <v>0</v>
      </c>
      <c r="M317" s="67">
        <f>SUM(M310:M316)</f>
        <v>0</v>
      </c>
      <c r="N317" s="68">
        <f t="shared" ref="N317" si="605">IFERROR(+O317/M317,0)</f>
        <v>0</v>
      </c>
      <c r="O317" s="67">
        <f>SUM(O310:O316)</f>
        <v>0</v>
      </c>
      <c r="Q317" s="67">
        <f>SUM(Q310:Q316)</f>
        <v>0</v>
      </c>
      <c r="R317" s="68">
        <f t="shared" ref="R317" si="606">IFERROR(+S317/Q317,0)</f>
        <v>0</v>
      </c>
      <c r="S317" s="67">
        <f>SUM(S310:S316)</f>
        <v>0</v>
      </c>
      <c r="U317" s="67">
        <f>SUM(U310:U316)</f>
        <v>0</v>
      </c>
      <c r="V317" s="68">
        <f t="shared" ref="V317" si="607">IFERROR(+W317/U317,0)</f>
        <v>0</v>
      </c>
      <c r="W317" s="67">
        <f>SUM(W310:W316)</f>
        <v>0</v>
      </c>
      <c r="Y317" s="67">
        <f>SUM(Y310:Y316)</f>
        <v>0</v>
      </c>
      <c r="Z317" s="68">
        <f t="shared" ref="Z317" si="608">IFERROR(+AA317/Y317,0)</f>
        <v>0</v>
      </c>
      <c r="AA317" s="67">
        <f>SUM(AA310:AA316)</f>
        <v>0</v>
      </c>
      <c r="AC317" s="67">
        <f>SUM(AC310:AC316)</f>
        <v>0</v>
      </c>
      <c r="AD317" s="68">
        <f t="shared" ref="AD317" si="609">IFERROR(+AE317/AC317,0)</f>
        <v>0</v>
      </c>
      <c r="AE317" s="67">
        <f>SUM(AE310:AE316)</f>
        <v>0</v>
      </c>
      <c r="AG317" s="67">
        <f>SUM(AG310:AG316)</f>
        <v>0</v>
      </c>
      <c r="AH317" s="68">
        <f t="shared" ref="AH317" si="610">IFERROR(+AI317/AG317,0)</f>
        <v>0</v>
      </c>
      <c r="AI317" s="67">
        <f>SUM(AI310:AI316)</f>
        <v>0</v>
      </c>
      <c r="AK317" s="67">
        <f>SUM(AK310:AK316)</f>
        <v>0</v>
      </c>
      <c r="AL317" s="68">
        <f t="shared" ref="AL317" si="611">IFERROR(+AM317/AK317,0)</f>
        <v>0</v>
      </c>
      <c r="AM317" s="67">
        <f>SUM(AM310:AM316)</f>
        <v>0</v>
      </c>
      <c r="AO317" s="67">
        <f>SUM(AO310:AO316)</f>
        <v>0</v>
      </c>
      <c r="AP317" s="68">
        <f t="shared" ref="AP317" si="612">IFERROR(+AQ317/AO317,0)</f>
        <v>0</v>
      </c>
      <c r="AQ317" s="67">
        <f>SUM(AQ310:AQ316)</f>
        <v>0</v>
      </c>
      <c r="AS317" s="67">
        <f>SUM(AS310:AS316)</f>
        <v>0</v>
      </c>
      <c r="AT317" s="68">
        <f t="shared" ref="AT317" si="613">IFERROR(+AU317/AS317,0)</f>
        <v>0</v>
      </c>
      <c r="AU317" s="67">
        <f>SUM(AU310:AU316)</f>
        <v>0</v>
      </c>
      <c r="AW317" s="67">
        <f>SUM(AW310:AW316)</f>
        <v>0</v>
      </c>
      <c r="AX317" s="68">
        <f t="shared" ref="AX317" si="614">IFERROR(+AY317/AW317,0)</f>
        <v>0</v>
      </c>
      <c r="AY317" s="67">
        <f>SUM(AY310:AY316)</f>
        <v>0</v>
      </c>
      <c r="BA317" s="67">
        <f>SUM(BA310:BA316)</f>
        <v>0</v>
      </c>
      <c r="BB317" s="68">
        <f t="shared" ref="BB317" si="615">IFERROR(+BC317/BA317,0)</f>
        <v>0</v>
      </c>
      <c r="BC317" s="67">
        <f>SUM(BC310:BC316)</f>
        <v>0</v>
      </c>
      <c r="BE317" s="67">
        <f>SUM(BE310:BE316)</f>
        <v>0</v>
      </c>
      <c r="BF317" s="68">
        <f t="shared" ref="BF317" si="616">IFERROR(+BG317/BE317,0)</f>
        <v>0</v>
      </c>
      <c r="BG317" s="67">
        <f>SUM(BG310:BG316)</f>
        <v>0</v>
      </c>
    </row>
    <row r="318" spans="1:59" hidden="1" x14ac:dyDescent="0.3"/>
    <row r="319" spans="1:59" ht="36" hidden="1" customHeight="1" x14ac:dyDescent="0.3">
      <c r="A319" s="11"/>
      <c r="B319" s="318" t="s">
        <v>747</v>
      </c>
      <c r="C319" s="318"/>
      <c r="D319" s="318"/>
      <c r="E319" s="318"/>
      <c r="F319" s="318"/>
      <c r="G319" s="318"/>
      <c r="H319" s="318"/>
      <c r="I319" s="318"/>
      <c r="J319" s="318"/>
    </row>
    <row r="320" spans="1:59" hidden="1" x14ac:dyDescent="0.3"/>
    <row r="321" spans="1:59" ht="21" hidden="1" customHeight="1" x14ac:dyDescent="0.3">
      <c r="A321" s="11"/>
      <c r="B321" s="312" t="s">
        <v>894</v>
      </c>
      <c r="C321" s="312" t="s">
        <v>895</v>
      </c>
      <c r="D321" s="281" t="s">
        <v>235</v>
      </c>
      <c r="E321" s="302" t="s">
        <v>232</v>
      </c>
      <c r="F321" s="302" t="s">
        <v>233</v>
      </c>
      <c r="G321" s="299" t="s">
        <v>234</v>
      </c>
      <c r="H321" s="36"/>
      <c r="I321" s="301" t="str">
        <f>+"Enero "&amp;$I$6&amp;""</f>
        <v>Enero 2025</v>
      </c>
      <c r="J321" s="301"/>
      <c r="K321" s="301"/>
      <c r="M321" s="301" t="str">
        <f>+"Febrero "&amp;$I$6&amp;""</f>
        <v>Febrero 2025</v>
      </c>
      <c r="N321" s="301"/>
      <c r="O321" s="301"/>
      <c r="Q321" s="301" t="str">
        <f>+"Marzo "&amp;$I$6&amp;""</f>
        <v>Marzo 2025</v>
      </c>
      <c r="R321" s="301"/>
      <c r="S321" s="301"/>
      <c r="U321" s="301" t="str">
        <f>+"Abril "&amp;$I$6&amp;""</f>
        <v>Abril 2025</v>
      </c>
      <c r="V321" s="301"/>
      <c r="W321" s="301"/>
      <c r="Y321" s="301" t="str">
        <f>+"Mayo "&amp;$I$6&amp;""</f>
        <v>Mayo 2025</v>
      </c>
      <c r="Z321" s="301"/>
      <c r="AA321" s="301"/>
      <c r="AC321" s="301" t="str">
        <f>+"Junio "&amp;$I$6&amp;""</f>
        <v>Junio 2025</v>
      </c>
      <c r="AD321" s="301"/>
      <c r="AE321" s="301"/>
      <c r="AG321" s="301" t="str">
        <f>+"Julio "&amp;$I$6&amp;""</f>
        <v>Julio 2025</v>
      </c>
      <c r="AH321" s="301"/>
      <c r="AI321" s="301"/>
      <c r="AK321" s="301" t="str">
        <f>+"Agosto "&amp;$I$6&amp;""</f>
        <v>Agosto 2025</v>
      </c>
      <c r="AL321" s="301"/>
      <c r="AM321" s="301"/>
      <c r="AO321" s="301" t="str">
        <f>+"Septiembre "&amp;$I$6&amp;""</f>
        <v>Septiembre 2025</v>
      </c>
      <c r="AP321" s="301"/>
      <c r="AQ321" s="301"/>
      <c r="AS321" s="301" t="str">
        <f>+"Octubre "&amp;$I$6&amp;""</f>
        <v>Octubre 2025</v>
      </c>
      <c r="AT321" s="301"/>
      <c r="AU321" s="301"/>
      <c r="AW321" s="301" t="str">
        <f>+"Noviembre "&amp;$I$6&amp;""</f>
        <v>Noviembre 2025</v>
      </c>
      <c r="AX321" s="301"/>
      <c r="AY321" s="301"/>
      <c r="BA321" s="301" t="str">
        <f>+"Diciembre "&amp;$I$6&amp;""</f>
        <v>Diciembre 2025</v>
      </c>
      <c r="BB321" s="301"/>
      <c r="BC321" s="301"/>
      <c r="BE321" s="301" t="str">
        <f>+"Acumulado "&amp;$I$6&amp;""</f>
        <v>Acumulado 2025</v>
      </c>
      <c r="BF321" s="301"/>
      <c r="BG321" s="301"/>
    </row>
    <row r="322" spans="1:59" ht="21" hidden="1" customHeight="1" x14ac:dyDescent="0.3">
      <c r="A322" s="11"/>
      <c r="B322" s="312"/>
      <c r="C322" s="312"/>
      <c r="D322" s="282"/>
      <c r="E322" s="303"/>
      <c r="F322" s="303"/>
      <c r="G322" s="317"/>
      <c r="H322" s="36"/>
      <c r="I322" s="223" t="s">
        <v>60</v>
      </c>
      <c r="J322" s="299" t="s">
        <v>61</v>
      </c>
      <c r="K322" s="223" t="s">
        <v>62</v>
      </c>
      <c r="L322" s="20"/>
      <c r="M322" s="223" t="s">
        <v>60</v>
      </c>
      <c r="N322" s="299" t="s">
        <v>61</v>
      </c>
      <c r="O322" s="223" t="s">
        <v>62</v>
      </c>
      <c r="P322" s="20"/>
      <c r="Q322" s="223" t="s">
        <v>60</v>
      </c>
      <c r="R322" s="299" t="s">
        <v>61</v>
      </c>
      <c r="S322" s="223" t="s">
        <v>62</v>
      </c>
      <c r="T322" s="20"/>
      <c r="U322" s="223" t="s">
        <v>60</v>
      </c>
      <c r="V322" s="299" t="s">
        <v>61</v>
      </c>
      <c r="W322" s="223" t="s">
        <v>62</v>
      </c>
      <c r="X322" s="20"/>
      <c r="Y322" s="223" t="s">
        <v>60</v>
      </c>
      <c r="Z322" s="299" t="s">
        <v>61</v>
      </c>
      <c r="AA322" s="223" t="s">
        <v>62</v>
      </c>
      <c r="AB322" s="20"/>
      <c r="AC322" s="223" t="s">
        <v>60</v>
      </c>
      <c r="AD322" s="299" t="s">
        <v>61</v>
      </c>
      <c r="AE322" s="223" t="s">
        <v>62</v>
      </c>
      <c r="AF322" s="20"/>
      <c r="AG322" s="223" t="s">
        <v>60</v>
      </c>
      <c r="AH322" s="299" t="s">
        <v>61</v>
      </c>
      <c r="AI322" s="223" t="s">
        <v>62</v>
      </c>
      <c r="AJ322" s="20"/>
      <c r="AK322" s="223" t="s">
        <v>60</v>
      </c>
      <c r="AL322" s="299" t="s">
        <v>61</v>
      </c>
      <c r="AM322" s="223" t="s">
        <v>62</v>
      </c>
      <c r="AN322" s="20"/>
      <c r="AO322" s="223" t="s">
        <v>60</v>
      </c>
      <c r="AP322" s="299" t="s">
        <v>61</v>
      </c>
      <c r="AQ322" s="223" t="s">
        <v>62</v>
      </c>
      <c r="AR322" s="20"/>
      <c r="AS322" s="223" t="s">
        <v>60</v>
      </c>
      <c r="AT322" s="299" t="s">
        <v>61</v>
      </c>
      <c r="AU322" s="223" t="s">
        <v>62</v>
      </c>
      <c r="AV322" s="20"/>
      <c r="AW322" s="223" t="s">
        <v>60</v>
      </c>
      <c r="AX322" s="299" t="s">
        <v>61</v>
      </c>
      <c r="AY322" s="223" t="s">
        <v>62</v>
      </c>
      <c r="AZ322" s="20"/>
      <c r="BA322" s="223" t="s">
        <v>60</v>
      </c>
      <c r="BB322" s="299" t="s">
        <v>61</v>
      </c>
      <c r="BC322" s="223" t="s">
        <v>62</v>
      </c>
      <c r="BD322" s="20"/>
      <c r="BE322" s="223" t="s">
        <v>60</v>
      </c>
      <c r="BF322" s="299" t="s">
        <v>61</v>
      </c>
      <c r="BG322" s="223" t="s">
        <v>62</v>
      </c>
    </row>
    <row r="323" spans="1:59" ht="21" hidden="1" customHeight="1" x14ac:dyDescent="0.3">
      <c r="A323" s="11"/>
      <c r="B323" s="312"/>
      <c r="C323" s="312"/>
      <c r="D323" s="283"/>
      <c r="E323" s="304"/>
      <c r="F323" s="304"/>
      <c r="G323" s="300"/>
      <c r="H323" s="36"/>
      <c r="I323" s="224" t="s">
        <v>1012</v>
      </c>
      <c r="J323" s="300"/>
      <c r="K323" s="224" t="s">
        <v>1013</v>
      </c>
      <c r="L323" s="20"/>
      <c r="M323" s="224" t="s">
        <v>1012</v>
      </c>
      <c r="N323" s="300"/>
      <c r="O323" s="224" t="s">
        <v>1013</v>
      </c>
      <c r="P323" s="20"/>
      <c r="Q323" s="224" t="s">
        <v>1012</v>
      </c>
      <c r="R323" s="300"/>
      <c r="S323" s="224" t="s">
        <v>1013</v>
      </c>
      <c r="T323" s="20"/>
      <c r="U323" s="224" t="s">
        <v>1012</v>
      </c>
      <c r="V323" s="300"/>
      <c r="W323" s="224" t="s">
        <v>1013</v>
      </c>
      <c r="X323" s="20"/>
      <c r="Y323" s="224" t="s">
        <v>1012</v>
      </c>
      <c r="Z323" s="300"/>
      <c r="AA323" s="224" t="s">
        <v>1013</v>
      </c>
      <c r="AB323" s="20"/>
      <c r="AC323" s="224" t="s">
        <v>1012</v>
      </c>
      <c r="AD323" s="300"/>
      <c r="AE323" s="224" t="s">
        <v>1013</v>
      </c>
      <c r="AF323" s="20"/>
      <c r="AG323" s="224" t="s">
        <v>1012</v>
      </c>
      <c r="AH323" s="300"/>
      <c r="AI323" s="224" t="s">
        <v>1013</v>
      </c>
      <c r="AJ323" s="20"/>
      <c r="AK323" s="224" t="s">
        <v>1012</v>
      </c>
      <c r="AL323" s="300"/>
      <c r="AM323" s="224" t="s">
        <v>1013</v>
      </c>
      <c r="AN323" s="20"/>
      <c r="AO323" s="224" t="s">
        <v>1012</v>
      </c>
      <c r="AP323" s="300"/>
      <c r="AQ323" s="224" t="s">
        <v>1013</v>
      </c>
      <c r="AR323" s="20"/>
      <c r="AS323" s="224" t="s">
        <v>1012</v>
      </c>
      <c r="AT323" s="300"/>
      <c r="AU323" s="224" t="s">
        <v>1013</v>
      </c>
      <c r="AV323" s="20"/>
      <c r="AW323" s="224" t="s">
        <v>1012</v>
      </c>
      <c r="AX323" s="300"/>
      <c r="AY323" s="224" t="s">
        <v>1013</v>
      </c>
      <c r="AZ323" s="20"/>
      <c r="BA323" s="224" t="s">
        <v>1012</v>
      </c>
      <c r="BB323" s="300"/>
      <c r="BC323" s="224" t="s">
        <v>1013</v>
      </c>
      <c r="BD323" s="20"/>
      <c r="BE323" s="224" t="s">
        <v>1012</v>
      </c>
      <c r="BF323" s="300"/>
      <c r="BG323" s="224" t="s">
        <v>1013</v>
      </c>
    </row>
    <row r="324" spans="1:59" ht="21" hidden="1" customHeight="1" x14ac:dyDescent="0.3">
      <c r="A324" s="11"/>
      <c r="B324" s="181"/>
      <c r="C324" s="34"/>
      <c r="D324" s="34"/>
      <c r="E324" s="34"/>
      <c r="F324" s="34"/>
      <c r="G324" s="64"/>
      <c r="H324" s="35"/>
      <c r="I324" s="34"/>
      <c r="J324" s="66">
        <f>IFERROR(+K324/I324,0)</f>
        <v>0</v>
      </c>
      <c r="K324" s="34"/>
      <c r="M324" s="34"/>
      <c r="N324" s="66">
        <f>IFERROR(+O324/M324,0)</f>
        <v>0</v>
      </c>
      <c r="O324" s="34"/>
      <c r="Q324" s="34"/>
      <c r="R324" s="66">
        <f>IFERROR(+S324/Q324,0)</f>
        <v>0</v>
      </c>
      <c r="S324" s="34"/>
      <c r="U324" s="34"/>
      <c r="V324" s="66">
        <f>IFERROR(+W324/U324,0)</f>
        <v>0</v>
      </c>
      <c r="W324" s="34"/>
      <c r="Y324" s="34"/>
      <c r="Z324" s="66">
        <f>IFERROR(+AA324/Y324,0)</f>
        <v>0</v>
      </c>
      <c r="AA324" s="34"/>
      <c r="AC324" s="34"/>
      <c r="AD324" s="66">
        <f>IFERROR(+AE324/AC324,0)</f>
        <v>0</v>
      </c>
      <c r="AE324" s="34"/>
      <c r="AG324" s="34"/>
      <c r="AH324" s="66">
        <f>IFERROR(+AI324/AG324,0)</f>
        <v>0</v>
      </c>
      <c r="AI324" s="34"/>
      <c r="AK324" s="34"/>
      <c r="AL324" s="66">
        <f>IFERROR(+AM324/AK324,0)</f>
        <v>0</v>
      </c>
      <c r="AM324" s="34"/>
      <c r="AO324" s="34"/>
      <c r="AP324" s="66">
        <f>IFERROR(+AQ324/AO324,0)</f>
        <v>0</v>
      </c>
      <c r="AQ324" s="34"/>
      <c r="AS324" s="34"/>
      <c r="AT324" s="66">
        <f>IFERROR(+AU324/AS324,0)</f>
        <v>0</v>
      </c>
      <c r="AU324" s="34"/>
      <c r="AW324" s="34"/>
      <c r="AX324" s="66">
        <f>IFERROR(+AY324/AW324,0)</f>
        <v>0</v>
      </c>
      <c r="AY324" s="34"/>
      <c r="BA324" s="34"/>
      <c r="BB324" s="66">
        <f>IFERROR(+BC324/BA324,0)</f>
        <v>0</v>
      </c>
      <c r="BC324" s="34"/>
      <c r="BE324" s="67">
        <f>+I324+M324+Q324++U324+Y324+AC324+AG324+AK324+AO324+AS324+AW324+BA324</f>
        <v>0</v>
      </c>
      <c r="BF324" s="68">
        <f>IFERROR(+BG324/BE324,0)</f>
        <v>0</v>
      </c>
      <c r="BG324" s="67">
        <f>+K324+O324+S324+W324+AA324+AE324+AI324+AM324+AQ324+AU324+AY324+BC324</f>
        <v>0</v>
      </c>
    </row>
    <row r="325" spans="1:59" ht="21" hidden="1" customHeight="1" x14ac:dyDescent="0.3">
      <c r="A325" s="11"/>
      <c r="B325" s="181"/>
      <c r="C325" s="34"/>
      <c r="D325" s="34"/>
      <c r="E325" s="34"/>
      <c r="F325" s="34"/>
      <c r="G325" s="64"/>
      <c r="H325" s="35"/>
      <c r="I325" s="34"/>
      <c r="J325" s="66">
        <f t="shared" ref="J325:J330" si="617">IFERROR(+K325/I325,0)</f>
        <v>0</v>
      </c>
      <c r="K325" s="34"/>
      <c r="M325" s="34"/>
      <c r="N325" s="66">
        <f t="shared" ref="N325:N330" si="618">IFERROR(+O325/M325,0)</f>
        <v>0</v>
      </c>
      <c r="O325" s="34"/>
      <c r="Q325" s="34"/>
      <c r="R325" s="66">
        <f t="shared" ref="R325:R330" si="619">IFERROR(+S325/Q325,0)</f>
        <v>0</v>
      </c>
      <c r="S325" s="34"/>
      <c r="U325" s="34"/>
      <c r="V325" s="66">
        <f t="shared" ref="V325:V330" si="620">IFERROR(+W325/U325,0)</f>
        <v>0</v>
      </c>
      <c r="W325" s="34"/>
      <c r="Y325" s="34"/>
      <c r="Z325" s="66">
        <f t="shared" ref="Z325:Z330" si="621">IFERROR(+AA325/Y325,0)</f>
        <v>0</v>
      </c>
      <c r="AA325" s="34"/>
      <c r="AC325" s="34"/>
      <c r="AD325" s="66">
        <f t="shared" ref="AD325:AD330" si="622">IFERROR(+AE325/AC325,0)</f>
        <v>0</v>
      </c>
      <c r="AE325" s="34"/>
      <c r="AG325" s="34"/>
      <c r="AH325" s="66">
        <f t="shared" ref="AH325:AH330" si="623">IFERROR(+AI325/AG325,0)</f>
        <v>0</v>
      </c>
      <c r="AI325" s="34"/>
      <c r="AK325" s="34"/>
      <c r="AL325" s="66">
        <f t="shared" ref="AL325:AL330" si="624">IFERROR(+AM325/AK325,0)</f>
        <v>0</v>
      </c>
      <c r="AM325" s="34"/>
      <c r="AO325" s="34"/>
      <c r="AP325" s="66">
        <f t="shared" ref="AP325:AP330" si="625">IFERROR(+AQ325/AO325,0)</f>
        <v>0</v>
      </c>
      <c r="AQ325" s="34"/>
      <c r="AS325" s="34"/>
      <c r="AT325" s="66">
        <f t="shared" ref="AT325:AT330" si="626">IFERROR(+AU325/AS325,0)</f>
        <v>0</v>
      </c>
      <c r="AU325" s="34"/>
      <c r="AW325" s="34"/>
      <c r="AX325" s="66">
        <f t="shared" ref="AX325:AX330" si="627">IFERROR(+AY325/AW325,0)</f>
        <v>0</v>
      </c>
      <c r="AY325" s="34"/>
      <c r="BA325" s="34"/>
      <c r="BB325" s="66">
        <f t="shared" ref="BB325:BB330" si="628">IFERROR(+BC325/BA325,0)</f>
        <v>0</v>
      </c>
      <c r="BC325" s="34"/>
      <c r="BE325" s="67">
        <f t="shared" ref="BE325:BE329" si="629">+I325+M325+Q325++U325+Y325+AC325+AG325+AK325+AO325+AS325+AW325+BA325</f>
        <v>0</v>
      </c>
      <c r="BF325" s="68">
        <f t="shared" ref="BF325:BF329" si="630">IFERROR(+BG325/BE325,0)</f>
        <v>0</v>
      </c>
      <c r="BG325" s="67">
        <f t="shared" ref="BG325:BG329" si="631">+K325+O325+S325+W325+AA325+AE325+AI325+AM325+AQ325+AU325+AY325+BC325</f>
        <v>0</v>
      </c>
    </row>
    <row r="326" spans="1:59" ht="21" hidden="1" customHeight="1" x14ac:dyDescent="0.3">
      <c r="A326" s="11"/>
      <c r="B326" s="181"/>
      <c r="C326" s="34"/>
      <c r="D326" s="34"/>
      <c r="E326" s="34"/>
      <c r="F326" s="34"/>
      <c r="G326" s="64"/>
      <c r="H326" s="35"/>
      <c r="I326" s="34"/>
      <c r="J326" s="66">
        <f t="shared" si="617"/>
        <v>0</v>
      </c>
      <c r="K326" s="34"/>
      <c r="M326" s="34"/>
      <c r="N326" s="66">
        <f t="shared" si="618"/>
        <v>0</v>
      </c>
      <c r="O326" s="34"/>
      <c r="Q326" s="34"/>
      <c r="R326" s="66">
        <f t="shared" si="619"/>
        <v>0</v>
      </c>
      <c r="S326" s="34"/>
      <c r="U326" s="34"/>
      <c r="V326" s="66">
        <f t="shared" si="620"/>
        <v>0</v>
      </c>
      <c r="W326" s="34"/>
      <c r="Y326" s="34"/>
      <c r="Z326" s="66">
        <f t="shared" si="621"/>
        <v>0</v>
      </c>
      <c r="AA326" s="34"/>
      <c r="AC326" s="34"/>
      <c r="AD326" s="66">
        <f t="shared" si="622"/>
        <v>0</v>
      </c>
      <c r="AE326" s="34"/>
      <c r="AG326" s="34"/>
      <c r="AH326" s="66">
        <f t="shared" si="623"/>
        <v>0</v>
      </c>
      <c r="AI326" s="34"/>
      <c r="AK326" s="34"/>
      <c r="AL326" s="66">
        <f t="shared" si="624"/>
        <v>0</v>
      </c>
      <c r="AM326" s="34"/>
      <c r="AO326" s="34"/>
      <c r="AP326" s="66">
        <f t="shared" si="625"/>
        <v>0</v>
      </c>
      <c r="AQ326" s="34"/>
      <c r="AS326" s="34"/>
      <c r="AT326" s="66">
        <f t="shared" si="626"/>
        <v>0</v>
      </c>
      <c r="AU326" s="34"/>
      <c r="AW326" s="34"/>
      <c r="AX326" s="66">
        <f t="shared" si="627"/>
        <v>0</v>
      </c>
      <c r="AY326" s="34"/>
      <c r="BA326" s="34"/>
      <c r="BB326" s="66">
        <f t="shared" si="628"/>
        <v>0</v>
      </c>
      <c r="BC326" s="34"/>
      <c r="BE326" s="67">
        <f t="shared" si="629"/>
        <v>0</v>
      </c>
      <c r="BF326" s="68">
        <f t="shared" si="630"/>
        <v>0</v>
      </c>
      <c r="BG326" s="67">
        <f t="shared" si="631"/>
        <v>0</v>
      </c>
    </row>
    <row r="327" spans="1:59" ht="21" hidden="1" customHeight="1" x14ac:dyDescent="0.3">
      <c r="A327" s="11"/>
      <c r="B327" s="181"/>
      <c r="C327" s="34"/>
      <c r="D327" s="34"/>
      <c r="E327" s="34"/>
      <c r="F327" s="34"/>
      <c r="G327" s="64"/>
      <c r="H327" s="35"/>
      <c r="I327" s="34"/>
      <c r="J327" s="66">
        <f t="shared" si="617"/>
        <v>0</v>
      </c>
      <c r="K327" s="34"/>
      <c r="M327" s="34"/>
      <c r="N327" s="66">
        <f t="shared" si="618"/>
        <v>0</v>
      </c>
      <c r="O327" s="34"/>
      <c r="Q327" s="34"/>
      <c r="R327" s="66">
        <f t="shared" si="619"/>
        <v>0</v>
      </c>
      <c r="S327" s="34"/>
      <c r="U327" s="34"/>
      <c r="V327" s="66">
        <f t="shared" si="620"/>
        <v>0</v>
      </c>
      <c r="W327" s="34"/>
      <c r="Y327" s="34"/>
      <c r="Z327" s="66">
        <f t="shared" si="621"/>
        <v>0</v>
      </c>
      <c r="AA327" s="34"/>
      <c r="AC327" s="34"/>
      <c r="AD327" s="66">
        <f t="shared" si="622"/>
        <v>0</v>
      </c>
      <c r="AE327" s="34"/>
      <c r="AG327" s="34"/>
      <c r="AH327" s="66">
        <f t="shared" si="623"/>
        <v>0</v>
      </c>
      <c r="AI327" s="34"/>
      <c r="AK327" s="34"/>
      <c r="AL327" s="66">
        <f t="shared" si="624"/>
        <v>0</v>
      </c>
      <c r="AM327" s="34"/>
      <c r="AO327" s="34"/>
      <c r="AP327" s="66">
        <f t="shared" si="625"/>
        <v>0</v>
      </c>
      <c r="AQ327" s="34"/>
      <c r="AS327" s="34"/>
      <c r="AT327" s="66">
        <f t="shared" si="626"/>
        <v>0</v>
      </c>
      <c r="AU327" s="34"/>
      <c r="AW327" s="34"/>
      <c r="AX327" s="66">
        <f t="shared" si="627"/>
        <v>0</v>
      </c>
      <c r="AY327" s="34"/>
      <c r="BA327" s="34"/>
      <c r="BB327" s="66">
        <f t="shared" si="628"/>
        <v>0</v>
      </c>
      <c r="BC327" s="34"/>
      <c r="BE327" s="67">
        <f t="shared" si="629"/>
        <v>0</v>
      </c>
      <c r="BF327" s="68">
        <f t="shared" si="630"/>
        <v>0</v>
      </c>
      <c r="BG327" s="67">
        <f t="shared" si="631"/>
        <v>0</v>
      </c>
    </row>
    <row r="328" spans="1:59" ht="21" hidden="1" customHeight="1" x14ac:dyDescent="0.3">
      <c r="A328" s="11"/>
      <c r="B328" s="181"/>
      <c r="C328" s="34"/>
      <c r="D328" s="34"/>
      <c r="E328" s="34"/>
      <c r="F328" s="34"/>
      <c r="G328" s="64"/>
      <c r="H328" s="35"/>
      <c r="I328" s="34"/>
      <c r="J328" s="66">
        <f t="shared" si="617"/>
        <v>0</v>
      </c>
      <c r="K328" s="34"/>
      <c r="M328" s="34"/>
      <c r="N328" s="66">
        <f t="shared" si="618"/>
        <v>0</v>
      </c>
      <c r="O328" s="34"/>
      <c r="Q328" s="34"/>
      <c r="R328" s="66">
        <f t="shared" si="619"/>
        <v>0</v>
      </c>
      <c r="S328" s="34"/>
      <c r="U328" s="34"/>
      <c r="V328" s="66">
        <f t="shared" si="620"/>
        <v>0</v>
      </c>
      <c r="W328" s="34"/>
      <c r="Y328" s="34"/>
      <c r="Z328" s="66">
        <f t="shared" si="621"/>
        <v>0</v>
      </c>
      <c r="AA328" s="34"/>
      <c r="AC328" s="34"/>
      <c r="AD328" s="66">
        <f t="shared" si="622"/>
        <v>0</v>
      </c>
      <c r="AE328" s="34"/>
      <c r="AG328" s="34"/>
      <c r="AH328" s="66">
        <f t="shared" si="623"/>
        <v>0</v>
      </c>
      <c r="AI328" s="34"/>
      <c r="AK328" s="34"/>
      <c r="AL328" s="66">
        <f t="shared" si="624"/>
        <v>0</v>
      </c>
      <c r="AM328" s="34"/>
      <c r="AO328" s="34"/>
      <c r="AP328" s="66">
        <f t="shared" si="625"/>
        <v>0</v>
      </c>
      <c r="AQ328" s="34"/>
      <c r="AS328" s="34"/>
      <c r="AT328" s="66">
        <f t="shared" si="626"/>
        <v>0</v>
      </c>
      <c r="AU328" s="34"/>
      <c r="AW328" s="34"/>
      <c r="AX328" s="66">
        <f t="shared" si="627"/>
        <v>0</v>
      </c>
      <c r="AY328" s="34"/>
      <c r="BA328" s="34"/>
      <c r="BB328" s="66">
        <f t="shared" si="628"/>
        <v>0</v>
      </c>
      <c r="BC328" s="34"/>
      <c r="BE328" s="67">
        <f t="shared" si="629"/>
        <v>0</v>
      </c>
      <c r="BF328" s="68">
        <f t="shared" si="630"/>
        <v>0</v>
      </c>
      <c r="BG328" s="67">
        <f t="shared" si="631"/>
        <v>0</v>
      </c>
    </row>
    <row r="329" spans="1:59" ht="21" hidden="1" customHeight="1" x14ac:dyDescent="0.3">
      <c r="A329" s="11"/>
      <c r="B329" s="181"/>
      <c r="C329" s="34"/>
      <c r="D329" s="34"/>
      <c r="E329" s="34"/>
      <c r="F329" s="34"/>
      <c r="G329" s="64"/>
      <c r="H329" s="35"/>
      <c r="I329" s="34"/>
      <c r="J329" s="66">
        <f>IFERROR(+K329/I329,0)</f>
        <v>0</v>
      </c>
      <c r="K329" s="34"/>
      <c r="M329" s="34"/>
      <c r="N329" s="66">
        <f>IFERROR(+O329/M329,0)</f>
        <v>0</v>
      </c>
      <c r="O329" s="34"/>
      <c r="Q329" s="34"/>
      <c r="R329" s="66">
        <f>IFERROR(+S329/Q329,0)</f>
        <v>0</v>
      </c>
      <c r="S329" s="34"/>
      <c r="U329" s="34"/>
      <c r="V329" s="66">
        <f>IFERROR(+W329/U329,0)</f>
        <v>0</v>
      </c>
      <c r="W329" s="34"/>
      <c r="Y329" s="34"/>
      <c r="Z329" s="66">
        <f>IFERROR(+AA329/Y329,0)</f>
        <v>0</v>
      </c>
      <c r="AA329" s="34"/>
      <c r="AC329" s="34"/>
      <c r="AD329" s="66">
        <f>IFERROR(+AE329/AC329,0)</f>
        <v>0</v>
      </c>
      <c r="AE329" s="34"/>
      <c r="AG329" s="34"/>
      <c r="AH329" s="66">
        <f>IFERROR(+AI329/AG329,0)</f>
        <v>0</v>
      </c>
      <c r="AI329" s="34"/>
      <c r="AK329" s="34"/>
      <c r="AL329" s="66">
        <f>IFERROR(+AM329/AK329,0)</f>
        <v>0</v>
      </c>
      <c r="AM329" s="34"/>
      <c r="AO329" s="34"/>
      <c r="AP329" s="66">
        <f>IFERROR(+AQ329/AO329,0)</f>
        <v>0</v>
      </c>
      <c r="AQ329" s="34"/>
      <c r="AS329" s="34"/>
      <c r="AT329" s="66">
        <f>IFERROR(+AU329/AS329,0)</f>
        <v>0</v>
      </c>
      <c r="AU329" s="34"/>
      <c r="AW329" s="34"/>
      <c r="AX329" s="66">
        <f>IFERROR(+AY329/AW329,0)</f>
        <v>0</v>
      </c>
      <c r="AY329" s="34"/>
      <c r="BA329" s="34"/>
      <c r="BB329" s="66">
        <f>IFERROR(+BC329/BA329,0)</f>
        <v>0</v>
      </c>
      <c r="BC329" s="34"/>
      <c r="BE329" s="67">
        <f t="shared" si="629"/>
        <v>0</v>
      </c>
      <c r="BF329" s="68">
        <f t="shared" si="630"/>
        <v>0</v>
      </c>
      <c r="BG329" s="67">
        <f t="shared" si="631"/>
        <v>0</v>
      </c>
    </row>
    <row r="330" spans="1:59" ht="21" hidden="1" customHeight="1" x14ac:dyDescent="0.3">
      <c r="A330" s="11"/>
      <c r="B330" s="181"/>
      <c r="C330" s="34"/>
      <c r="D330" s="34"/>
      <c r="E330" s="34"/>
      <c r="F330" s="34"/>
      <c r="G330" s="64"/>
      <c r="H330" s="35"/>
      <c r="I330" s="34"/>
      <c r="J330" s="66">
        <f t="shared" si="617"/>
        <v>0</v>
      </c>
      <c r="K330" s="34"/>
      <c r="M330" s="34"/>
      <c r="N330" s="66">
        <f t="shared" si="618"/>
        <v>0</v>
      </c>
      <c r="O330" s="34"/>
      <c r="Q330" s="34"/>
      <c r="R330" s="66">
        <f t="shared" si="619"/>
        <v>0</v>
      </c>
      <c r="S330" s="34"/>
      <c r="U330" s="34"/>
      <c r="V330" s="66">
        <f t="shared" si="620"/>
        <v>0</v>
      </c>
      <c r="W330" s="34"/>
      <c r="Y330" s="34"/>
      <c r="Z330" s="66">
        <f t="shared" si="621"/>
        <v>0</v>
      </c>
      <c r="AA330" s="34"/>
      <c r="AC330" s="34"/>
      <c r="AD330" s="66">
        <f t="shared" si="622"/>
        <v>0</v>
      </c>
      <c r="AE330" s="34"/>
      <c r="AG330" s="34"/>
      <c r="AH330" s="66">
        <f t="shared" si="623"/>
        <v>0</v>
      </c>
      <c r="AI330" s="34"/>
      <c r="AK330" s="34"/>
      <c r="AL330" s="66">
        <f t="shared" si="624"/>
        <v>0</v>
      </c>
      <c r="AM330" s="34"/>
      <c r="AO330" s="34"/>
      <c r="AP330" s="66">
        <f t="shared" si="625"/>
        <v>0</v>
      </c>
      <c r="AQ330" s="34"/>
      <c r="AS330" s="34"/>
      <c r="AT330" s="66">
        <f t="shared" si="626"/>
        <v>0</v>
      </c>
      <c r="AU330" s="34"/>
      <c r="AW330" s="34"/>
      <c r="AX330" s="66">
        <f t="shared" si="627"/>
        <v>0</v>
      </c>
      <c r="AY330" s="34"/>
      <c r="BA330" s="34"/>
      <c r="BB330" s="66">
        <f t="shared" si="628"/>
        <v>0</v>
      </c>
      <c r="BC330" s="34"/>
      <c r="BE330" s="67">
        <f>+I330+M330+Q330++U330+Y330+AC330+AG330+AK330+AO330+AS330+AW330+BA330</f>
        <v>0</v>
      </c>
      <c r="BF330" s="68">
        <f>IFERROR(+BG330/BE330,0)</f>
        <v>0</v>
      </c>
      <c r="BG330" s="67">
        <f>+K330+O330+S330+W330+AA330+AE330+AI330+AM330+AQ330+AU330+AY330+BC330</f>
        <v>0</v>
      </c>
    </row>
    <row r="331" spans="1:59" ht="21" hidden="1" customHeight="1" x14ac:dyDescent="0.3">
      <c r="A331" s="11"/>
      <c r="B331" s="314" t="s">
        <v>227</v>
      </c>
      <c r="C331" s="315"/>
      <c r="D331" s="315"/>
      <c r="E331" s="315"/>
      <c r="F331" s="315"/>
      <c r="G331" s="316"/>
      <c r="H331" s="35"/>
      <c r="I331" s="67">
        <f>SUM(I324:I330)</f>
        <v>0</v>
      </c>
      <c r="J331" s="68">
        <f t="shared" ref="J331" si="632">IFERROR(+K331/I331,0)</f>
        <v>0</v>
      </c>
      <c r="K331" s="67">
        <f>SUM(K324:K330)</f>
        <v>0</v>
      </c>
      <c r="M331" s="67">
        <f>SUM(M324:M330)</f>
        <v>0</v>
      </c>
      <c r="N331" s="68">
        <f t="shared" ref="N331" si="633">IFERROR(+O331/M331,0)</f>
        <v>0</v>
      </c>
      <c r="O331" s="67">
        <f>SUM(O324:O330)</f>
        <v>0</v>
      </c>
      <c r="Q331" s="67">
        <f>SUM(Q324:Q330)</f>
        <v>0</v>
      </c>
      <c r="R331" s="68">
        <f t="shared" ref="R331" si="634">IFERROR(+S331/Q331,0)</f>
        <v>0</v>
      </c>
      <c r="S331" s="67">
        <f>SUM(S324:S330)</f>
        <v>0</v>
      </c>
      <c r="U331" s="67">
        <f>SUM(U324:U330)</f>
        <v>0</v>
      </c>
      <c r="V331" s="68">
        <f t="shared" ref="V331" si="635">IFERROR(+W331/U331,0)</f>
        <v>0</v>
      </c>
      <c r="W331" s="67">
        <f>SUM(W324:W330)</f>
        <v>0</v>
      </c>
      <c r="Y331" s="67">
        <f>SUM(Y324:Y330)</f>
        <v>0</v>
      </c>
      <c r="Z331" s="68">
        <f t="shared" ref="Z331" si="636">IFERROR(+AA331/Y331,0)</f>
        <v>0</v>
      </c>
      <c r="AA331" s="67">
        <f>SUM(AA324:AA330)</f>
        <v>0</v>
      </c>
      <c r="AC331" s="67">
        <f>SUM(AC324:AC330)</f>
        <v>0</v>
      </c>
      <c r="AD331" s="68">
        <f t="shared" ref="AD331" si="637">IFERROR(+AE331/AC331,0)</f>
        <v>0</v>
      </c>
      <c r="AE331" s="67">
        <f>SUM(AE324:AE330)</f>
        <v>0</v>
      </c>
      <c r="AG331" s="67">
        <f>SUM(AG324:AG330)</f>
        <v>0</v>
      </c>
      <c r="AH331" s="68">
        <f t="shared" ref="AH331" si="638">IFERROR(+AI331/AG331,0)</f>
        <v>0</v>
      </c>
      <c r="AI331" s="67">
        <f>SUM(AI324:AI330)</f>
        <v>0</v>
      </c>
      <c r="AK331" s="67">
        <f>SUM(AK324:AK330)</f>
        <v>0</v>
      </c>
      <c r="AL331" s="68">
        <f t="shared" ref="AL331" si="639">IFERROR(+AM331/AK331,0)</f>
        <v>0</v>
      </c>
      <c r="AM331" s="67">
        <f>SUM(AM324:AM330)</f>
        <v>0</v>
      </c>
      <c r="AO331" s="67">
        <f>SUM(AO324:AO330)</f>
        <v>0</v>
      </c>
      <c r="AP331" s="68">
        <f t="shared" ref="AP331" si="640">IFERROR(+AQ331/AO331,0)</f>
        <v>0</v>
      </c>
      <c r="AQ331" s="67">
        <f>SUM(AQ324:AQ330)</f>
        <v>0</v>
      </c>
      <c r="AS331" s="67">
        <f>SUM(AS324:AS330)</f>
        <v>0</v>
      </c>
      <c r="AT331" s="68">
        <f t="shared" ref="AT331" si="641">IFERROR(+AU331/AS331,0)</f>
        <v>0</v>
      </c>
      <c r="AU331" s="67">
        <f>SUM(AU324:AU330)</f>
        <v>0</v>
      </c>
      <c r="AW331" s="67">
        <f>SUM(AW324:AW330)</f>
        <v>0</v>
      </c>
      <c r="AX331" s="68">
        <f t="shared" ref="AX331" si="642">IFERROR(+AY331/AW331,0)</f>
        <v>0</v>
      </c>
      <c r="AY331" s="67">
        <f>SUM(AY324:AY330)</f>
        <v>0</v>
      </c>
      <c r="BA331" s="67">
        <f>SUM(BA324:BA330)</f>
        <v>0</v>
      </c>
      <c r="BB331" s="68">
        <f t="shared" ref="BB331" si="643">IFERROR(+BC331/BA331,0)</f>
        <v>0</v>
      </c>
      <c r="BC331" s="67">
        <f>SUM(BC324:BC330)</f>
        <v>0</v>
      </c>
      <c r="BE331" s="67">
        <f>SUM(BE324:BE330)</f>
        <v>0</v>
      </c>
      <c r="BF331" s="68">
        <f t="shared" ref="BF331" si="644">IFERROR(+BG331/BE331,0)</f>
        <v>0</v>
      </c>
      <c r="BG331" s="67">
        <f>SUM(BG324:BG330)</f>
        <v>0</v>
      </c>
    </row>
    <row r="332" spans="1:59" hidden="1" x14ac:dyDescent="0.3"/>
    <row r="333" spans="1:59" ht="36" hidden="1" customHeight="1" x14ac:dyDescent="0.3">
      <c r="A333" s="11"/>
      <c r="B333" s="318" t="s">
        <v>748</v>
      </c>
      <c r="C333" s="318"/>
      <c r="D333" s="318"/>
      <c r="E333" s="318"/>
      <c r="F333" s="318"/>
      <c r="G333" s="318"/>
      <c r="H333" s="318"/>
      <c r="I333" s="318"/>
      <c r="J333" s="318"/>
    </row>
    <row r="334" spans="1:59" hidden="1" x14ac:dyDescent="0.3"/>
    <row r="335" spans="1:59" ht="21" hidden="1" customHeight="1" x14ac:dyDescent="0.3">
      <c r="A335" s="11"/>
      <c r="B335" s="312" t="s">
        <v>894</v>
      </c>
      <c r="C335" s="312" t="s">
        <v>895</v>
      </c>
      <c r="D335" s="281" t="s">
        <v>235</v>
      </c>
      <c r="E335" s="302" t="s">
        <v>232</v>
      </c>
      <c r="F335" s="302" t="s">
        <v>233</v>
      </c>
      <c r="G335" s="299" t="s">
        <v>234</v>
      </c>
      <c r="H335" s="36"/>
      <c r="I335" s="301" t="str">
        <f>+"Enero "&amp;$I$6&amp;""</f>
        <v>Enero 2025</v>
      </c>
      <c r="J335" s="301"/>
      <c r="K335" s="301"/>
      <c r="M335" s="301" t="str">
        <f>+"Febrero "&amp;$I$6&amp;""</f>
        <v>Febrero 2025</v>
      </c>
      <c r="N335" s="301"/>
      <c r="O335" s="301"/>
      <c r="Q335" s="301" t="str">
        <f>+"Marzo "&amp;$I$6&amp;""</f>
        <v>Marzo 2025</v>
      </c>
      <c r="R335" s="301"/>
      <c r="S335" s="301"/>
      <c r="U335" s="301" t="str">
        <f>+"Abril "&amp;$I$6&amp;""</f>
        <v>Abril 2025</v>
      </c>
      <c r="V335" s="301"/>
      <c r="W335" s="301"/>
      <c r="Y335" s="301" t="str">
        <f>+"Mayo "&amp;$I$6&amp;""</f>
        <v>Mayo 2025</v>
      </c>
      <c r="Z335" s="301"/>
      <c r="AA335" s="301"/>
      <c r="AC335" s="301" t="str">
        <f>+"Junio "&amp;$I$6&amp;""</f>
        <v>Junio 2025</v>
      </c>
      <c r="AD335" s="301"/>
      <c r="AE335" s="301"/>
      <c r="AG335" s="301" t="str">
        <f>+"Julio "&amp;$I$6&amp;""</f>
        <v>Julio 2025</v>
      </c>
      <c r="AH335" s="301"/>
      <c r="AI335" s="301"/>
      <c r="AK335" s="301" t="str">
        <f>+"Agosto "&amp;$I$6&amp;""</f>
        <v>Agosto 2025</v>
      </c>
      <c r="AL335" s="301"/>
      <c r="AM335" s="301"/>
      <c r="AO335" s="301" t="str">
        <f>+"Septiembre "&amp;$I$6&amp;""</f>
        <v>Septiembre 2025</v>
      </c>
      <c r="AP335" s="301"/>
      <c r="AQ335" s="301"/>
      <c r="AS335" s="301" t="str">
        <f>+"Octubre "&amp;$I$6&amp;""</f>
        <v>Octubre 2025</v>
      </c>
      <c r="AT335" s="301"/>
      <c r="AU335" s="301"/>
      <c r="AW335" s="301" t="str">
        <f>+"Noviembre "&amp;$I$6&amp;""</f>
        <v>Noviembre 2025</v>
      </c>
      <c r="AX335" s="301"/>
      <c r="AY335" s="301"/>
      <c r="BA335" s="301" t="str">
        <f>+"Diciembre "&amp;$I$6&amp;""</f>
        <v>Diciembre 2025</v>
      </c>
      <c r="BB335" s="301"/>
      <c r="BC335" s="301"/>
      <c r="BE335" s="301" t="str">
        <f>+"Acumulado "&amp;$I$6&amp;""</f>
        <v>Acumulado 2025</v>
      </c>
      <c r="BF335" s="301"/>
      <c r="BG335" s="301"/>
    </row>
    <row r="336" spans="1:59" ht="21" hidden="1" customHeight="1" x14ac:dyDescent="0.3">
      <c r="A336" s="11"/>
      <c r="B336" s="312"/>
      <c r="C336" s="312"/>
      <c r="D336" s="282"/>
      <c r="E336" s="303"/>
      <c r="F336" s="303"/>
      <c r="G336" s="317"/>
      <c r="H336" s="36"/>
      <c r="I336" s="223" t="s">
        <v>60</v>
      </c>
      <c r="J336" s="299" t="s">
        <v>61</v>
      </c>
      <c r="K336" s="223" t="s">
        <v>62</v>
      </c>
      <c r="L336" s="20"/>
      <c r="M336" s="223" t="s">
        <v>60</v>
      </c>
      <c r="N336" s="299" t="s">
        <v>61</v>
      </c>
      <c r="O336" s="223" t="s">
        <v>62</v>
      </c>
      <c r="P336" s="20"/>
      <c r="Q336" s="223" t="s">
        <v>60</v>
      </c>
      <c r="R336" s="299" t="s">
        <v>61</v>
      </c>
      <c r="S336" s="223" t="s">
        <v>62</v>
      </c>
      <c r="T336" s="20"/>
      <c r="U336" s="223" t="s">
        <v>60</v>
      </c>
      <c r="V336" s="299" t="s">
        <v>61</v>
      </c>
      <c r="W336" s="223" t="s">
        <v>62</v>
      </c>
      <c r="X336" s="20"/>
      <c r="Y336" s="223" t="s">
        <v>60</v>
      </c>
      <c r="Z336" s="299" t="s">
        <v>61</v>
      </c>
      <c r="AA336" s="223" t="s">
        <v>62</v>
      </c>
      <c r="AB336" s="20"/>
      <c r="AC336" s="223" t="s">
        <v>60</v>
      </c>
      <c r="AD336" s="299" t="s">
        <v>61</v>
      </c>
      <c r="AE336" s="223" t="s">
        <v>62</v>
      </c>
      <c r="AF336" s="20"/>
      <c r="AG336" s="223" t="s">
        <v>60</v>
      </c>
      <c r="AH336" s="299" t="s">
        <v>61</v>
      </c>
      <c r="AI336" s="223" t="s">
        <v>62</v>
      </c>
      <c r="AJ336" s="20"/>
      <c r="AK336" s="223" t="s">
        <v>60</v>
      </c>
      <c r="AL336" s="299" t="s">
        <v>61</v>
      </c>
      <c r="AM336" s="223" t="s">
        <v>62</v>
      </c>
      <c r="AN336" s="20"/>
      <c r="AO336" s="223" t="s">
        <v>60</v>
      </c>
      <c r="AP336" s="299" t="s">
        <v>61</v>
      </c>
      <c r="AQ336" s="223" t="s">
        <v>62</v>
      </c>
      <c r="AR336" s="20"/>
      <c r="AS336" s="223" t="s">
        <v>60</v>
      </c>
      <c r="AT336" s="299" t="s">
        <v>61</v>
      </c>
      <c r="AU336" s="223" t="s">
        <v>62</v>
      </c>
      <c r="AV336" s="20"/>
      <c r="AW336" s="223" t="s">
        <v>60</v>
      </c>
      <c r="AX336" s="299" t="s">
        <v>61</v>
      </c>
      <c r="AY336" s="223" t="s">
        <v>62</v>
      </c>
      <c r="AZ336" s="20"/>
      <c r="BA336" s="223" t="s">
        <v>60</v>
      </c>
      <c r="BB336" s="299" t="s">
        <v>61</v>
      </c>
      <c r="BC336" s="223" t="s">
        <v>62</v>
      </c>
      <c r="BD336" s="20"/>
      <c r="BE336" s="223" t="s">
        <v>60</v>
      </c>
      <c r="BF336" s="299" t="s">
        <v>61</v>
      </c>
      <c r="BG336" s="223" t="s">
        <v>62</v>
      </c>
    </row>
    <row r="337" spans="1:59" ht="21" hidden="1" customHeight="1" x14ac:dyDescent="0.3">
      <c r="A337" s="11"/>
      <c r="B337" s="312"/>
      <c r="C337" s="312"/>
      <c r="D337" s="283"/>
      <c r="E337" s="304"/>
      <c r="F337" s="304"/>
      <c r="G337" s="300"/>
      <c r="H337" s="36"/>
      <c r="I337" s="224" t="s">
        <v>1014</v>
      </c>
      <c r="J337" s="300"/>
      <c r="K337" s="224" t="s">
        <v>1015</v>
      </c>
      <c r="L337" s="20"/>
      <c r="M337" s="224" t="s">
        <v>1014</v>
      </c>
      <c r="N337" s="300"/>
      <c r="O337" s="224" t="s">
        <v>1015</v>
      </c>
      <c r="P337" s="20"/>
      <c r="Q337" s="224" t="s">
        <v>1014</v>
      </c>
      <c r="R337" s="300"/>
      <c r="S337" s="224" t="s">
        <v>1015</v>
      </c>
      <c r="T337" s="20"/>
      <c r="U337" s="224" t="s">
        <v>1014</v>
      </c>
      <c r="V337" s="300"/>
      <c r="W337" s="224" t="s">
        <v>1015</v>
      </c>
      <c r="X337" s="20"/>
      <c r="Y337" s="224" t="s">
        <v>1014</v>
      </c>
      <c r="Z337" s="300"/>
      <c r="AA337" s="224" t="s">
        <v>1015</v>
      </c>
      <c r="AB337" s="20"/>
      <c r="AC337" s="224" t="s">
        <v>1014</v>
      </c>
      <c r="AD337" s="300"/>
      <c r="AE337" s="224" t="s">
        <v>1015</v>
      </c>
      <c r="AF337" s="20"/>
      <c r="AG337" s="224" t="s">
        <v>1014</v>
      </c>
      <c r="AH337" s="300"/>
      <c r="AI337" s="224" t="s">
        <v>1015</v>
      </c>
      <c r="AJ337" s="20"/>
      <c r="AK337" s="224" t="s">
        <v>1014</v>
      </c>
      <c r="AL337" s="300"/>
      <c r="AM337" s="224" t="s">
        <v>1015</v>
      </c>
      <c r="AN337" s="20"/>
      <c r="AO337" s="224" t="s">
        <v>1014</v>
      </c>
      <c r="AP337" s="300"/>
      <c r="AQ337" s="224" t="s">
        <v>1015</v>
      </c>
      <c r="AR337" s="20"/>
      <c r="AS337" s="224" t="s">
        <v>1014</v>
      </c>
      <c r="AT337" s="300"/>
      <c r="AU337" s="224" t="s">
        <v>1015</v>
      </c>
      <c r="AV337" s="20"/>
      <c r="AW337" s="224" t="s">
        <v>1014</v>
      </c>
      <c r="AX337" s="300"/>
      <c r="AY337" s="224" t="s">
        <v>1015</v>
      </c>
      <c r="AZ337" s="20"/>
      <c r="BA337" s="224" t="s">
        <v>1014</v>
      </c>
      <c r="BB337" s="300"/>
      <c r="BC337" s="224" t="s">
        <v>1015</v>
      </c>
      <c r="BD337" s="20"/>
      <c r="BE337" s="224" t="s">
        <v>1014</v>
      </c>
      <c r="BF337" s="300"/>
      <c r="BG337" s="224" t="s">
        <v>1015</v>
      </c>
    </row>
    <row r="338" spans="1:59" ht="21" hidden="1" customHeight="1" x14ac:dyDescent="0.3">
      <c r="A338" s="11"/>
      <c r="B338" s="181"/>
      <c r="C338" s="34"/>
      <c r="D338" s="34"/>
      <c r="E338" s="34"/>
      <c r="F338" s="34"/>
      <c r="G338" s="64" t="str">
        <f>IFERROR(+VLOOKUP(F338,Datos!$AB:$AC,2,0),"")</f>
        <v/>
      </c>
      <c r="H338" s="35"/>
      <c r="I338" s="34"/>
      <c r="J338" s="66">
        <f>IFERROR(+K338/I338,0)</f>
        <v>0</v>
      </c>
      <c r="K338" s="34"/>
      <c r="M338" s="34"/>
      <c r="N338" s="66">
        <f>IFERROR(+O338/M338,0)</f>
        <v>0</v>
      </c>
      <c r="O338" s="34"/>
      <c r="Q338" s="34"/>
      <c r="R338" s="66">
        <f>IFERROR(+S338/Q338,0)</f>
        <v>0</v>
      </c>
      <c r="S338" s="34"/>
      <c r="U338" s="34"/>
      <c r="V338" s="66">
        <f>IFERROR(+W338/U338,0)</f>
        <v>0</v>
      </c>
      <c r="W338" s="34"/>
      <c r="Y338" s="34"/>
      <c r="Z338" s="66">
        <f>IFERROR(+AA338/Y338,0)</f>
        <v>0</v>
      </c>
      <c r="AA338" s="34"/>
      <c r="AC338" s="34"/>
      <c r="AD338" s="66">
        <f>IFERROR(+AE338/AC338,0)</f>
        <v>0</v>
      </c>
      <c r="AE338" s="34"/>
      <c r="AG338" s="34"/>
      <c r="AH338" s="66">
        <f>IFERROR(+AI338/AG338,0)</f>
        <v>0</v>
      </c>
      <c r="AI338" s="34"/>
      <c r="AK338" s="34"/>
      <c r="AL338" s="66">
        <f>IFERROR(+AM338/AK338,0)</f>
        <v>0</v>
      </c>
      <c r="AM338" s="34"/>
      <c r="AO338" s="34"/>
      <c r="AP338" s="66">
        <f>IFERROR(+AQ338/AO338,0)</f>
        <v>0</v>
      </c>
      <c r="AQ338" s="34"/>
      <c r="AS338" s="34"/>
      <c r="AT338" s="66">
        <f>IFERROR(+AU338/AS338,0)</f>
        <v>0</v>
      </c>
      <c r="AU338" s="34"/>
      <c r="AW338" s="34"/>
      <c r="AX338" s="66">
        <f>IFERROR(+AY338/AW338,0)</f>
        <v>0</v>
      </c>
      <c r="AY338" s="34"/>
      <c r="BA338" s="34"/>
      <c r="BB338" s="66">
        <f>IFERROR(+BC338/BA338,0)</f>
        <v>0</v>
      </c>
      <c r="BC338" s="34"/>
      <c r="BE338" s="67">
        <f>+I338+M338+Q338++U338+Y338+AC338+AG338+AK338+AO338+AS338+AW338+BA338</f>
        <v>0</v>
      </c>
      <c r="BF338" s="68">
        <f>IFERROR(+BG338/BE338,0)</f>
        <v>0</v>
      </c>
      <c r="BG338" s="67">
        <f>+K338+O338+S338+W338+AA338+AE338+AI338+AM338+AQ338+AU338+AY338+BC338</f>
        <v>0</v>
      </c>
    </row>
    <row r="339" spans="1:59" ht="21" hidden="1" customHeight="1" x14ac:dyDescent="0.3">
      <c r="A339" s="11"/>
      <c r="B339" s="181"/>
      <c r="C339" s="34"/>
      <c r="D339" s="34"/>
      <c r="E339" s="34"/>
      <c r="F339" s="34"/>
      <c r="G339" s="64" t="str">
        <f>IFERROR(+VLOOKUP(F339,Datos!$AB:$AC,2,0),"")</f>
        <v/>
      </c>
      <c r="H339" s="35"/>
      <c r="I339" s="34"/>
      <c r="J339" s="66">
        <f t="shared" ref="J339:J343" si="645">IFERROR(+K339/I339,0)</f>
        <v>0</v>
      </c>
      <c r="K339" s="34"/>
      <c r="M339" s="34"/>
      <c r="N339" s="66">
        <f t="shared" ref="N339:N343" si="646">IFERROR(+O339/M339,0)</f>
        <v>0</v>
      </c>
      <c r="O339" s="34"/>
      <c r="Q339" s="34"/>
      <c r="R339" s="66">
        <f t="shared" ref="R339:R343" si="647">IFERROR(+S339/Q339,0)</f>
        <v>0</v>
      </c>
      <c r="S339" s="34"/>
      <c r="U339" s="34"/>
      <c r="V339" s="66">
        <f t="shared" ref="V339:V343" si="648">IFERROR(+W339/U339,0)</f>
        <v>0</v>
      </c>
      <c r="W339" s="34"/>
      <c r="Y339" s="34"/>
      <c r="Z339" s="66">
        <f t="shared" ref="Z339:Z343" si="649">IFERROR(+AA339/Y339,0)</f>
        <v>0</v>
      </c>
      <c r="AA339" s="34"/>
      <c r="AC339" s="34"/>
      <c r="AD339" s="66">
        <f t="shared" ref="AD339:AD343" si="650">IFERROR(+AE339/AC339,0)</f>
        <v>0</v>
      </c>
      <c r="AE339" s="34"/>
      <c r="AG339" s="34"/>
      <c r="AH339" s="66">
        <f t="shared" ref="AH339:AH343" si="651">IFERROR(+AI339/AG339,0)</f>
        <v>0</v>
      </c>
      <c r="AI339" s="34"/>
      <c r="AK339" s="34"/>
      <c r="AL339" s="66">
        <f t="shared" ref="AL339:AL343" si="652">IFERROR(+AM339/AK339,0)</f>
        <v>0</v>
      </c>
      <c r="AM339" s="34"/>
      <c r="AO339" s="34"/>
      <c r="AP339" s="66">
        <f t="shared" ref="AP339:AP343" si="653">IFERROR(+AQ339/AO339,0)</f>
        <v>0</v>
      </c>
      <c r="AQ339" s="34"/>
      <c r="AS339" s="34"/>
      <c r="AT339" s="66">
        <f t="shared" ref="AT339:AT343" si="654">IFERROR(+AU339/AS339,0)</f>
        <v>0</v>
      </c>
      <c r="AU339" s="34"/>
      <c r="AW339" s="34"/>
      <c r="AX339" s="66">
        <f t="shared" ref="AX339:AX343" si="655">IFERROR(+AY339/AW339,0)</f>
        <v>0</v>
      </c>
      <c r="AY339" s="34"/>
      <c r="BA339" s="34"/>
      <c r="BB339" s="66">
        <f t="shared" ref="BB339:BB343" si="656">IFERROR(+BC339/BA339,0)</f>
        <v>0</v>
      </c>
      <c r="BC339" s="34"/>
      <c r="BE339" s="67">
        <f t="shared" ref="BE339:BE343" si="657">+I339+M339+Q339++U339+Y339+AC339+AG339+AK339+AO339+AS339+AW339+BA339</f>
        <v>0</v>
      </c>
      <c r="BF339" s="68">
        <f t="shared" ref="BF339:BF343" si="658">IFERROR(+BG339/BE339,0)</f>
        <v>0</v>
      </c>
      <c r="BG339" s="67">
        <f t="shared" ref="BG339:BG343" si="659">+K339+O339+S339+W339+AA339+AE339+AI339+AM339+AQ339+AU339+AY339+BC339</f>
        <v>0</v>
      </c>
    </row>
    <row r="340" spans="1:59" ht="21" hidden="1" customHeight="1" x14ac:dyDescent="0.3">
      <c r="A340" s="11"/>
      <c r="B340" s="181"/>
      <c r="C340" s="34"/>
      <c r="D340" s="34"/>
      <c r="E340" s="34"/>
      <c r="F340" s="34"/>
      <c r="G340" s="64" t="str">
        <f>IFERROR(+VLOOKUP(F340,Datos!$AB:$AC,2,0),"")</f>
        <v/>
      </c>
      <c r="H340" s="35"/>
      <c r="I340" s="34"/>
      <c r="J340" s="66">
        <f t="shared" si="645"/>
        <v>0</v>
      </c>
      <c r="K340" s="34"/>
      <c r="M340" s="34"/>
      <c r="N340" s="66">
        <f t="shared" si="646"/>
        <v>0</v>
      </c>
      <c r="O340" s="34"/>
      <c r="Q340" s="34"/>
      <c r="R340" s="66">
        <f t="shared" si="647"/>
        <v>0</v>
      </c>
      <c r="S340" s="34"/>
      <c r="U340" s="34"/>
      <c r="V340" s="66">
        <f t="shared" si="648"/>
        <v>0</v>
      </c>
      <c r="W340" s="34"/>
      <c r="Y340" s="34"/>
      <c r="Z340" s="66">
        <f t="shared" si="649"/>
        <v>0</v>
      </c>
      <c r="AA340" s="34"/>
      <c r="AC340" s="34"/>
      <c r="AD340" s="66">
        <f t="shared" si="650"/>
        <v>0</v>
      </c>
      <c r="AE340" s="34"/>
      <c r="AG340" s="34"/>
      <c r="AH340" s="66">
        <f t="shared" si="651"/>
        <v>0</v>
      </c>
      <c r="AI340" s="34"/>
      <c r="AK340" s="34"/>
      <c r="AL340" s="66">
        <f t="shared" si="652"/>
        <v>0</v>
      </c>
      <c r="AM340" s="34"/>
      <c r="AO340" s="34"/>
      <c r="AP340" s="66">
        <f t="shared" si="653"/>
        <v>0</v>
      </c>
      <c r="AQ340" s="34"/>
      <c r="AS340" s="34"/>
      <c r="AT340" s="66">
        <f t="shared" si="654"/>
        <v>0</v>
      </c>
      <c r="AU340" s="34"/>
      <c r="AW340" s="34"/>
      <c r="AX340" s="66">
        <f t="shared" si="655"/>
        <v>0</v>
      </c>
      <c r="AY340" s="34"/>
      <c r="BA340" s="34"/>
      <c r="BB340" s="66">
        <f t="shared" si="656"/>
        <v>0</v>
      </c>
      <c r="BC340" s="34"/>
      <c r="BE340" s="67">
        <f t="shared" si="657"/>
        <v>0</v>
      </c>
      <c r="BF340" s="68">
        <f t="shared" si="658"/>
        <v>0</v>
      </c>
      <c r="BG340" s="67">
        <f t="shared" si="659"/>
        <v>0</v>
      </c>
    </row>
    <row r="341" spans="1:59" ht="21" hidden="1" customHeight="1" x14ac:dyDescent="0.3">
      <c r="A341" s="11"/>
      <c r="B341" s="181"/>
      <c r="C341" s="34"/>
      <c r="D341" s="34"/>
      <c r="E341" s="34"/>
      <c r="F341" s="34"/>
      <c r="G341" s="64" t="str">
        <f>IFERROR(+VLOOKUP(F341,Datos!$AB:$AC,2,0),"")</f>
        <v/>
      </c>
      <c r="H341" s="35"/>
      <c r="I341" s="34"/>
      <c r="J341" s="66">
        <f t="shared" si="645"/>
        <v>0</v>
      </c>
      <c r="K341" s="34"/>
      <c r="M341" s="34"/>
      <c r="N341" s="66">
        <f t="shared" si="646"/>
        <v>0</v>
      </c>
      <c r="O341" s="34"/>
      <c r="Q341" s="34"/>
      <c r="R341" s="66">
        <f t="shared" si="647"/>
        <v>0</v>
      </c>
      <c r="S341" s="34"/>
      <c r="U341" s="34"/>
      <c r="V341" s="66">
        <f t="shared" si="648"/>
        <v>0</v>
      </c>
      <c r="W341" s="34"/>
      <c r="Y341" s="34"/>
      <c r="Z341" s="66">
        <f t="shared" si="649"/>
        <v>0</v>
      </c>
      <c r="AA341" s="34"/>
      <c r="AC341" s="34"/>
      <c r="AD341" s="66">
        <f t="shared" si="650"/>
        <v>0</v>
      </c>
      <c r="AE341" s="34"/>
      <c r="AG341" s="34"/>
      <c r="AH341" s="66">
        <f t="shared" si="651"/>
        <v>0</v>
      </c>
      <c r="AI341" s="34"/>
      <c r="AK341" s="34"/>
      <c r="AL341" s="66">
        <f t="shared" si="652"/>
        <v>0</v>
      </c>
      <c r="AM341" s="34"/>
      <c r="AO341" s="34"/>
      <c r="AP341" s="66">
        <f t="shared" si="653"/>
        <v>0</v>
      </c>
      <c r="AQ341" s="34"/>
      <c r="AS341" s="34"/>
      <c r="AT341" s="66">
        <f t="shared" si="654"/>
        <v>0</v>
      </c>
      <c r="AU341" s="34"/>
      <c r="AW341" s="34"/>
      <c r="AX341" s="66">
        <f t="shared" si="655"/>
        <v>0</v>
      </c>
      <c r="AY341" s="34"/>
      <c r="BA341" s="34"/>
      <c r="BB341" s="66">
        <f t="shared" si="656"/>
        <v>0</v>
      </c>
      <c r="BC341" s="34"/>
      <c r="BE341" s="67">
        <f t="shared" si="657"/>
        <v>0</v>
      </c>
      <c r="BF341" s="68">
        <f t="shared" si="658"/>
        <v>0</v>
      </c>
      <c r="BG341" s="67">
        <f t="shared" si="659"/>
        <v>0</v>
      </c>
    </row>
    <row r="342" spans="1:59" ht="21" hidden="1" customHeight="1" x14ac:dyDescent="0.3">
      <c r="A342" s="11"/>
      <c r="B342" s="181"/>
      <c r="C342" s="34"/>
      <c r="D342" s="34"/>
      <c r="E342" s="34"/>
      <c r="F342" s="34"/>
      <c r="G342" s="64" t="str">
        <f>IFERROR(+VLOOKUP(F342,Datos!$AB:$AC,2,0),"")</f>
        <v/>
      </c>
      <c r="H342" s="35"/>
      <c r="I342" s="34"/>
      <c r="J342" s="66">
        <f t="shared" si="645"/>
        <v>0</v>
      </c>
      <c r="K342" s="34"/>
      <c r="M342" s="34"/>
      <c r="N342" s="66">
        <f t="shared" si="646"/>
        <v>0</v>
      </c>
      <c r="O342" s="34"/>
      <c r="Q342" s="34"/>
      <c r="R342" s="66">
        <f t="shared" si="647"/>
        <v>0</v>
      </c>
      <c r="S342" s="34"/>
      <c r="U342" s="34"/>
      <c r="V342" s="66">
        <f t="shared" si="648"/>
        <v>0</v>
      </c>
      <c r="W342" s="34"/>
      <c r="Y342" s="34"/>
      <c r="Z342" s="66">
        <f t="shared" si="649"/>
        <v>0</v>
      </c>
      <c r="AA342" s="34"/>
      <c r="AC342" s="34"/>
      <c r="AD342" s="66">
        <f t="shared" si="650"/>
        <v>0</v>
      </c>
      <c r="AE342" s="34"/>
      <c r="AG342" s="34"/>
      <c r="AH342" s="66">
        <f t="shared" si="651"/>
        <v>0</v>
      </c>
      <c r="AI342" s="34"/>
      <c r="AK342" s="34"/>
      <c r="AL342" s="66">
        <f t="shared" si="652"/>
        <v>0</v>
      </c>
      <c r="AM342" s="34"/>
      <c r="AO342" s="34"/>
      <c r="AP342" s="66">
        <f t="shared" si="653"/>
        <v>0</v>
      </c>
      <c r="AQ342" s="34"/>
      <c r="AS342" s="34"/>
      <c r="AT342" s="66">
        <f t="shared" si="654"/>
        <v>0</v>
      </c>
      <c r="AU342" s="34"/>
      <c r="AW342" s="34"/>
      <c r="AX342" s="66">
        <f t="shared" si="655"/>
        <v>0</v>
      </c>
      <c r="AY342" s="34"/>
      <c r="BA342" s="34"/>
      <c r="BB342" s="66">
        <f t="shared" si="656"/>
        <v>0</v>
      </c>
      <c r="BC342" s="34"/>
      <c r="BE342" s="67">
        <f t="shared" si="657"/>
        <v>0</v>
      </c>
      <c r="BF342" s="68">
        <f t="shared" si="658"/>
        <v>0</v>
      </c>
      <c r="BG342" s="67">
        <f t="shared" si="659"/>
        <v>0</v>
      </c>
    </row>
    <row r="343" spans="1:59" ht="21" hidden="1" customHeight="1" x14ac:dyDescent="0.3">
      <c r="A343" s="11"/>
      <c r="B343" s="181"/>
      <c r="C343" s="34"/>
      <c r="D343" s="34"/>
      <c r="E343" s="34"/>
      <c r="F343" s="34"/>
      <c r="G343" s="64" t="str">
        <f>IFERROR(+VLOOKUP(F343,Datos!$AB:$AC,2,0),"")</f>
        <v/>
      </c>
      <c r="H343" s="35"/>
      <c r="I343" s="34"/>
      <c r="J343" s="66">
        <f t="shared" si="645"/>
        <v>0</v>
      </c>
      <c r="K343" s="34"/>
      <c r="M343" s="34"/>
      <c r="N343" s="66">
        <f t="shared" si="646"/>
        <v>0</v>
      </c>
      <c r="O343" s="34"/>
      <c r="Q343" s="34"/>
      <c r="R343" s="66">
        <f t="shared" si="647"/>
        <v>0</v>
      </c>
      <c r="S343" s="34"/>
      <c r="U343" s="34"/>
      <c r="V343" s="66">
        <f t="shared" si="648"/>
        <v>0</v>
      </c>
      <c r="W343" s="34"/>
      <c r="Y343" s="34"/>
      <c r="Z343" s="66">
        <f t="shared" si="649"/>
        <v>0</v>
      </c>
      <c r="AA343" s="34"/>
      <c r="AC343" s="34"/>
      <c r="AD343" s="66">
        <f t="shared" si="650"/>
        <v>0</v>
      </c>
      <c r="AE343" s="34"/>
      <c r="AG343" s="34"/>
      <c r="AH343" s="66">
        <f t="shared" si="651"/>
        <v>0</v>
      </c>
      <c r="AI343" s="34"/>
      <c r="AK343" s="34"/>
      <c r="AL343" s="66">
        <f t="shared" si="652"/>
        <v>0</v>
      </c>
      <c r="AM343" s="34"/>
      <c r="AO343" s="34"/>
      <c r="AP343" s="66">
        <f t="shared" si="653"/>
        <v>0</v>
      </c>
      <c r="AQ343" s="34"/>
      <c r="AS343" s="34"/>
      <c r="AT343" s="66">
        <f t="shared" si="654"/>
        <v>0</v>
      </c>
      <c r="AU343" s="34"/>
      <c r="AW343" s="34"/>
      <c r="AX343" s="66">
        <f t="shared" si="655"/>
        <v>0</v>
      </c>
      <c r="AY343" s="34"/>
      <c r="BA343" s="34"/>
      <c r="BB343" s="66">
        <f t="shared" si="656"/>
        <v>0</v>
      </c>
      <c r="BC343" s="34"/>
      <c r="BE343" s="67">
        <f t="shared" si="657"/>
        <v>0</v>
      </c>
      <c r="BF343" s="68">
        <f t="shared" si="658"/>
        <v>0</v>
      </c>
      <c r="BG343" s="67">
        <f t="shared" si="659"/>
        <v>0</v>
      </c>
    </row>
    <row r="344" spans="1:59" ht="21" hidden="1" customHeight="1" x14ac:dyDescent="0.3">
      <c r="A344" s="11"/>
      <c r="B344" s="181"/>
      <c r="C344" s="34"/>
      <c r="D344" s="34"/>
      <c r="E344" s="34"/>
      <c r="F344" s="34"/>
      <c r="G344" s="64" t="str">
        <f>IFERROR(+VLOOKUP(F344,Datos!$AB:$AC,2,0),"")</f>
        <v/>
      </c>
      <c r="H344" s="35"/>
      <c r="I344" s="34"/>
      <c r="J344" s="66">
        <f>IFERROR(+K344/I344,0)</f>
        <v>0</v>
      </c>
      <c r="K344" s="34"/>
      <c r="M344" s="34"/>
      <c r="N344" s="66">
        <f>IFERROR(+O344/M344,0)</f>
        <v>0</v>
      </c>
      <c r="O344" s="34"/>
      <c r="Q344" s="34"/>
      <c r="R344" s="66">
        <f>IFERROR(+S344/Q344,0)</f>
        <v>0</v>
      </c>
      <c r="S344" s="34"/>
      <c r="U344" s="34"/>
      <c r="V344" s="66">
        <f>IFERROR(+W344/U344,0)</f>
        <v>0</v>
      </c>
      <c r="W344" s="34"/>
      <c r="Y344" s="34"/>
      <c r="Z344" s="66">
        <f>IFERROR(+AA344/Y344,0)</f>
        <v>0</v>
      </c>
      <c r="AA344" s="34"/>
      <c r="AC344" s="34"/>
      <c r="AD344" s="66">
        <f>IFERROR(+AE344/AC344,0)</f>
        <v>0</v>
      </c>
      <c r="AE344" s="34"/>
      <c r="AG344" s="34"/>
      <c r="AH344" s="66">
        <f>IFERROR(+AI344/AG344,0)</f>
        <v>0</v>
      </c>
      <c r="AI344" s="34"/>
      <c r="AK344" s="34"/>
      <c r="AL344" s="66">
        <f>IFERROR(+AM344/AK344,0)</f>
        <v>0</v>
      </c>
      <c r="AM344" s="34"/>
      <c r="AO344" s="34"/>
      <c r="AP344" s="66">
        <f>IFERROR(+AQ344/AO344,0)</f>
        <v>0</v>
      </c>
      <c r="AQ344" s="34"/>
      <c r="AS344" s="34"/>
      <c r="AT344" s="66">
        <f>IFERROR(+AU344/AS344,0)</f>
        <v>0</v>
      </c>
      <c r="AU344" s="34"/>
      <c r="AW344" s="34"/>
      <c r="AX344" s="66">
        <f>IFERROR(+AY344/AW344,0)</f>
        <v>0</v>
      </c>
      <c r="AY344" s="34"/>
      <c r="BA344" s="34"/>
      <c r="BB344" s="66">
        <f>IFERROR(+BC344/BA344,0)</f>
        <v>0</v>
      </c>
      <c r="BC344" s="34"/>
      <c r="BE344" s="67">
        <f>+I344+M344+Q344++U344+Y344+AC344+AG344+AK344+AO344+AS344+AW344+BA344</f>
        <v>0</v>
      </c>
      <c r="BF344" s="68">
        <f>IFERROR(+BG344/BE344,0)</f>
        <v>0</v>
      </c>
      <c r="BG344" s="67">
        <f>+K344+O344+S344+W344+AA344+AE344+AI344+AM344+AQ344+AU344+AY344+BC344</f>
        <v>0</v>
      </c>
    </row>
    <row r="345" spans="1:59" ht="21" hidden="1" customHeight="1" x14ac:dyDescent="0.3">
      <c r="A345" s="11"/>
      <c r="B345" s="314" t="s">
        <v>227</v>
      </c>
      <c r="C345" s="315"/>
      <c r="D345" s="315"/>
      <c r="E345" s="315"/>
      <c r="F345" s="315"/>
      <c r="G345" s="316"/>
      <c r="H345" s="35"/>
      <c r="I345" s="67">
        <f>SUM(I338:I344)</f>
        <v>0</v>
      </c>
      <c r="J345" s="68">
        <f t="shared" ref="J345" si="660">IFERROR(+K345/I345,0)</f>
        <v>0</v>
      </c>
      <c r="K345" s="67">
        <f>SUM(K338:K344)</f>
        <v>0</v>
      </c>
      <c r="M345" s="67">
        <f>SUM(M338:M344)</f>
        <v>0</v>
      </c>
      <c r="N345" s="68">
        <f t="shared" ref="N345" si="661">IFERROR(+O345/M345,0)</f>
        <v>0</v>
      </c>
      <c r="O345" s="67">
        <f>SUM(O338:O344)</f>
        <v>0</v>
      </c>
      <c r="Q345" s="67">
        <f>SUM(Q338:Q344)</f>
        <v>0</v>
      </c>
      <c r="R345" s="68">
        <f t="shared" ref="R345" si="662">IFERROR(+S345/Q345,0)</f>
        <v>0</v>
      </c>
      <c r="S345" s="67">
        <f>SUM(S338:S344)</f>
        <v>0</v>
      </c>
      <c r="U345" s="67">
        <f>SUM(U338:U344)</f>
        <v>0</v>
      </c>
      <c r="V345" s="68">
        <f t="shared" ref="V345" si="663">IFERROR(+W345/U345,0)</f>
        <v>0</v>
      </c>
      <c r="W345" s="67">
        <f>SUM(W338:W344)</f>
        <v>0</v>
      </c>
      <c r="Y345" s="67">
        <f>SUM(Y338:Y344)</f>
        <v>0</v>
      </c>
      <c r="Z345" s="68">
        <f t="shared" ref="Z345" si="664">IFERROR(+AA345/Y345,0)</f>
        <v>0</v>
      </c>
      <c r="AA345" s="67">
        <f>SUM(AA338:AA344)</f>
        <v>0</v>
      </c>
      <c r="AC345" s="67">
        <f>SUM(AC338:AC344)</f>
        <v>0</v>
      </c>
      <c r="AD345" s="68">
        <f t="shared" ref="AD345" si="665">IFERROR(+AE345/AC345,0)</f>
        <v>0</v>
      </c>
      <c r="AE345" s="67">
        <f>SUM(AE338:AE344)</f>
        <v>0</v>
      </c>
      <c r="AG345" s="67">
        <f>SUM(AG338:AG344)</f>
        <v>0</v>
      </c>
      <c r="AH345" s="68">
        <f t="shared" ref="AH345" si="666">IFERROR(+AI345/AG345,0)</f>
        <v>0</v>
      </c>
      <c r="AI345" s="67">
        <f>SUM(AI338:AI344)</f>
        <v>0</v>
      </c>
      <c r="AK345" s="67">
        <f>SUM(AK338:AK344)</f>
        <v>0</v>
      </c>
      <c r="AL345" s="68">
        <f t="shared" ref="AL345" si="667">IFERROR(+AM345/AK345,0)</f>
        <v>0</v>
      </c>
      <c r="AM345" s="67">
        <f>SUM(AM338:AM344)</f>
        <v>0</v>
      </c>
      <c r="AO345" s="67">
        <f>SUM(AO338:AO344)</f>
        <v>0</v>
      </c>
      <c r="AP345" s="68">
        <f t="shared" ref="AP345" si="668">IFERROR(+AQ345/AO345,0)</f>
        <v>0</v>
      </c>
      <c r="AQ345" s="67">
        <f>SUM(AQ338:AQ344)</f>
        <v>0</v>
      </c>
      <c r="AS345" s="67">
        <f>SUM(AS338:AS344)</f>
        <v>0</v>
      </c>
      <c r="AT345" s="68">
        <f t="shared" ref="AT345" si="669">IFERROR(+AU345/AS345,0)</f>
        <v>0</v>
      </c>
      <c r="AU345" s="67">
        <f>SUM(AU338:AU344)</f>
        <v>0</v>
      </c>
      <c r="AW345" s="67">
        <f>SUM(AW338:AW344)</f>
        <v>0</v>
      </c>
      <c r="AX345" s="68">
        <f t="shared" ref="AX345" si="670">IFERROR(+AY345/AW345,0)</f>
        <v>0</v>
      </c>
      <c r="AY345" s="67">
        <f>SUM(AY338:AY344)</f>
        <v>0</v>
      </c>
      <c r="BA345" s="67">
        <f>SUM(BA338:BA344)</f>
        <v>0</v>
      </c>
      <c r="BB345" s="68">
        <f t="shared" ref="BB345" si="671">IFERROR(+BC345/BA345,0)</f>
        <v>0</v>
      </c>
      <c r="BC345" s="67">
        <f>SUM(BC338:BC344)</f>
        <v>0</v>
      </c>
      <c r="BE345" s="67">
        <f>SUM(BE338:BE344)</f>
        <v>0</v>
      </c>
      <c r="BF345" s="68">
        <f t="shared" ref="BF345" si="672">IFERROR(+BG345/BE345,0)</f>
        <v>0</v>
      </c>
      <c r="BG345" s="67">
        <f>SUM(BG338:BG344)</f>
        <v>0</v>
      </c>
    </row>
    <row r="346" spans="1:59" hidden="1" x14ac:dyDescent="0.3"/>
    <row r="347" spans="1:59" ht="36" hidden="1" customHeight="1" x14ac:dyDescent="0.3">
      <c r="A347" s="11"/>
      <c r="B347" s="318" t="s">
        <v>756</v>
      </c>
      <c r="C347" s="318"/>
      <c r="D347" s="318"/>
      <c r="E347" s="318"/>
      <c r="F347" s="318"/>
      <c r="G347" s="318"/>
      <c r="H347" s="318"/>
      <c r="I347" s="318"/>
      <c r="J347" s="318"/>
    </row>
    <row r="348" spans="1:59" hidden="1" x14ac:dyDescent="0.3"/>
    <row r="349" spans="1:59" ht="21" hidden="1" customHeight="1" x14ac:dyDescent="0.3">
      <c r="A349" s="11"/>
      <c r="B349" s="312" t="s">
        <v>894</v>
      </c>
      <c r="C349" s="312" t="s">
        <v>895</v>
      </c>
      <c r="D349" s="281" t="s">
        <v>235</v>
      </c>
      <c r="E349" s="302" t="s">
        <v>232</v>
      </c>
      <c r="F349" s="302" t="s">
        <v>233</v>
      </c>
      <c r="G349" s="299" t="s">
        <v>234</v>
      </c>
      <c r="H349" s="36"/>
      <c r="I349" s="301" t="str">
        <f>+"Enero "&amp;$I$6&amp;""</f>
        <v>Enero 2025</v>
      </c>
      <c r="J349" s="301"/>
      <c r="K349" s="301"/>
      <c r="M349" s="301" t="str">
        <f>+"Febrero "&amp;$I$6&amp;""</f>
        <v>Febrero 2025</v>
      </c>
      <c r="N349" s="301"/>
      <c r="O349" s="301"/>
      <c r="Q349" s="301" t="str">
        <f>+"Marzo "&amp;$I$6&amp;""</f>
        <v>Marzo 2025</v>
      </c>
      <c r="R349" s="301"/>
      <c r="S349" s="301"/>
      <c r="U349" s="301" t="str">
        <f>+"Abril "&amp;$I$6&amp;""</f>
        <v>Abril 2025</v>
      </c>
      <c r="V349" s="301"/>
      <c r="W349" s="301"/>
      <c r="Y349" s="301" t="str">
        <f>+"Mayo "&amp;$I$6&amp;""</f>
        <v>Mayo 2025</v>
      </c>
      <c r="Z349" s="301"/>
      <c r="AA349" s="301"/>
      <c r="AC349" s="301" t="str">
        <f>+"Junio "&amp;$I$6&amp;""</f>
        <v>Junio 2025</v>
      </c>
      <c r="AD349" s="301"/>
      <c r="AE349" s="301"/>
      <c r="AG349" s="301" t="str">
        <f>+"Julio "&amp;$I$6&amp;""</f>
        <v>Julio 2025</v>
      </c>
      <c r="AH349" s="301"/>
      <c r="AI349" s="301"/>
      <c r="AK349" s="301" t="str">
        <f>+"Agosto "&amp;$I$6&amp;""</f>
        <v>Agosto 2025</v>
      </c>
      <c r="AL349" s="301"/>
      <c r="AM349" s="301"/>
      <c r="AO349" s="301" t="str">
        <f>+"Septiembre "&amp;$I$6&amp;""</f>
        <v>Septiembre 2025</v>
      </c>
      <c r="AP349" s="301"/>
      <c r="AQ349" s="301"/>
      <c r="AS349" s="301" t="str">
        <f>+"Octubre "&amp;$I$6&amp;""</f>
        <v>Octubre 2025</v>
      </c>
      <c r="AT349" s="301"/>
      <c r="AU349" s="301"/>
      <c r="AW349" s="301" t="str">
        <f>+"Noviembre "&amp;$I$6&amp;""</f>
        <v>Noviembre 2025</v>
      </c>
      <c r="AX349" s="301"/>
      <c r="AY349" s="301"/>
      <c r="BA349" s="301" t="str">
        <f>+"Diciembre "&amp;$I$6&amp;""</f>
        <v>Diciembre 2025</v>
      </c>
      <c r="BB349" s="301"/>
      <c r="BC349" s="301"/>
      <c r="BE349" s="301" t="str">
        <f>+"Acumulado "&amp;$I$6&amp;""</f>
        <v>Acumulado 2025</v>
      </c>
      <c r="BF349" s="301"/>
      <c r="BG349" s="301"/>
    </row>
    <row r="350" spans="1:59" ht="21" hidden="1" customHeight="1" x14ac:dyDescent="0.3">
      <c r="A350" s="11"/>
      <c r="B350" s="312"/>
      <c r="C350" s="312"/>
      <c r="D350" s="282"/>
      <c r="E350" s="303"/>
      <c r="F350" s="303"/>
      <c r="G350" s="317"/>
      <c r="H350" s="36"/>
      <c r="I350" s="223" t="s">
        <v>60</v>
      </c>
      <c r="J350" s="299" t="s">
        <v>61</v>
      </c>
      <c r="K350" s="223" t="s">
        <v>62</v>
      </c>
      <c r="L350" s="20"/>
      <c r="M350" s="223" t="s">
        <v>60</v>
      </c>
      <c r="N350" s="299" t="s">
        <v>61</v>
      </c>
      <c r="O350" s="223" t="s">
        <v>62</v>
      </c>
      <c r="P350" s="20"/>
      <c r="Q350" s="223" t="s">
        <v>60</v>
      </c>
      <c r="R350" s="299" t="s">
        <v>61</v>
      </c>
      <c r="S350" s="223" t="s">
        <v>62</v>
      </c>
      <c r="T350" s="20"/>
      <c r="U350" s="223" t="s">
        <v>60</v>
      </c>
      <c r="V350" s="299" t="s">
        <v>61</v>
      </c>
      <c r="W350" s="223" t="s">
        <v>62</v>
      </c>
      <c r="X350" s="20"/>
      <c r="Y350" s="223" t="s">
        <v>60</v>
      </c>
      <c r="Z350" s="299" t="s">
        <v>61</v>
      </c>
      <c r="AA350" s="223" t="s">
        <v>62</v>
      </c>
      <c r="AB350" s="20"/>
      <c r="AC350" s="223" t="s">
        <v>60</v>
      </c>
      <c r="AD350" s="299" t="s">
        <v>61</v>
      </c>
      <c r="AE350" s="223" t="s">
        <v>62</v>
      </c>
      <c r="AF350" s="20"/>
      <c r="AG350" s="223" t="s">
        <v>60</v>
      </c>
      <c r="AH350" s="299" t="s">
        <v>61</v>
      </c>
      <c r="AI350" s="223" t="s">
        <v>62</v>
      </c>
      <c r="AJ350" s="20"/>
      <c r="AK350" s="223" t="s">
        <v>60</v>
      </c>
      <c r="AL350" s="299" t="s">
        <v>61</v>
      </c>
      <c r="AM350" s="223" t="s">
        <v>62</v>
      </c>
      <c r="AN350" s="20"/>
      <c r="AO350" s="223" t="s">
        <v>60</v>
      </c>
      <c r="AP350" s="299" t="s">
        <v>61</v>
      </c>
      <c r="AQ350" s="223" t="s">
        <v>62</v>
      </c>
      <c r="AR350" s="20"/>
      <c r="AS350" s="223" t="s">
        <v>60</v>
      </c>
      <c r="AT350" s="299" t="s">
        <v>61</v>
      </c>
      <c r="AU350" s="223" t="s">
        <v>62</v>
      </c>
      <c r="AV350" s="20"/>
      <c r="AW350" s="223" t="s">
        <v>60</v>
      </c>
      <c r="AX350" s="299" t="s">
        <v>61</v>
      </c>
      <c r="AY350" s="223" t="s">
        <v>62</v>
      </c>
      <c r="AZ350" s="20"/>
      <c r="BA350" s="223" t="s">
        <v>60</v>
      </c>
      <c r="BB350" s="299" t="s">
        <v>61</v>
      </c>
      <c r="BC350" s="223" t="s">
        <v>62</v>
      </c>
      <c r="BD350" s="20"/>
      <c r="BE350" s="223" t="s">
        <v>60</v>
      </c>
      <c r="BF350" s="299" t="s">
        <v>61</v>
      </c>
      <c r="BG350" s="223" t="s">
        <v>62</v>
      </c>
    </row>
    <row r="351" spans="1:59" ht="21" hidden="1" customHeight="1" x14ac:dyDescent="0.3">
      <c r="A351" s="11"/>
      <c r="B351" s="312"/>
      <c r="C351" s="312"/>
      <c r="D351" s="283"/>
      <c r="E351" s="304"/>
      <c r="F351" s="304"/>
      <c r="G351" s="300"/>
      <c r="H351" s="36"/>
      <c r="I351" s="224" t="s">
        <v>1016</v>
      </c>
      <c r="J351" s="300"/>
      <c r="K351" s="224" t="s">
        <v>1009</v>
      </c>
      <c r="L351" s="20"/>
      <c r="M351" s="224" t="s">
        <v>1016</v>
      </c>
      <c r="N351" s="300"/>
      <c r="O351" s="224" t="s">
        <v>1009</v>
      </c>
      <c r="P351" s="20"/>
      <c r="Q351" s="224" t="s">
        <v>1016</v>
      </c>
      <c r="R351" s="300"/>
      <c r="S351" s="224" t="s">
        <v>1009</v>
      </c>
      <c r="T351" s="20"/>
      <c r="U351" s="224" t="s">
        <v>1016</v>
      </c>
      <c r="V351" s="300"/>
      <c r="W351" s="224" t="s">
        <v>1009</v>
      </c>
      <c r="X351" s="20"/>
      <c r="Y351" s="224" t="s">
        <v>1016</v>
      </c>
      <c r="Z351" s="300"/>
      <c r="AA351" s="224" t="s">
        <v>1009</v>
      </c>
      <c r="AB351" s="20"/>
      <c r="AC351" s="224" t="s">
        <v>1016</v>
      </c>
      <c r="AD351" s="300"/>
      <c r="AE351" s="224" t="s">
        <v>1009</v>
      </c>
      <c r="AF351" s="20"/>
      <c r="AG351" s="224" t="s">
        <v>1016</v>
      </c>
      <c r="AH351" s="300"/>
      <c r="AI351" s="224" t="s">
        <v>1009</v>
      </c>
      <c r="AJ351" s="20"/>
      <c r="AK351" s="224" t="s">
        <v>1016</v>
      </c>
      <c r="AL351" s="300"/>
      <c r="AM351" s="224" t="s">
        <v>1009</v>
      </c>
      <c r="AN351" s="20"/>
      <c r="AO351" s="224" t="s">
        <v>1016</v>
      </c>
      <c r="AP351" s="300"/>
      <c r="AQ351" s="224" t="s">
        <v>1009</v>
      </c>
      <c r="AR351" s="20"/>
      <c r="AS351" s="224" t="s">
        <v>1016</v>
      </c>
      <c r="AT351" s="300"/>
      <c r="AU351" s="224" t="s">
        <v>1009</v>
      </c>
      <c r="AV351" s="20"/>
      <c r="AW351" s="224" t="s">
        <v>1016</v>
      </c>
      <c r="AX351" s="300"/>
      <c r="AY351" s="224" t="s">
        <v>1009</v>
      </c>
      <c r="AZ351" s="20"/>
      <c r="BA351" s="224" t="s">
        <v>1016</v>
      </c>
      <c r="BB351" s="300"/>
      <c r="BC351" s="224" t="s">
        <v>1009</v>
      </c>
      <c r="BD351" s="20"/>
      <c r="BE351" s="224" t="s">
        <v>1016</v>
      </c>
      <c r="BF351" s="300"/>
      <c r="BG351" s="224" t="s">
        <v>1009</v>
      </c>
    </row>
    <row r="352" spans="1:59" ht="21" hidden="1" customHeight="1" x14ac:dyDescent="0.3">
      <c r="A352" s="11"/>
      <c r="B352" s="181"/>
      <c r="C352" s="34"/>
      <c r="D352" s="34"/>
      <c r="E352" s="34"/>
      <c r="F352" s="34"/>
      <c r="G352" s="64"/>
      <c r="H352" s="35"/>
      <c r="I352" s="34"/>
      <c r="J352" s="66">
        <f>IFERROR(+K352/I352,0)</f>
        <v>0</v>
      </c>
      <c r="K352" s="34"/>
      <c r="M352" s="34"/>
      <c r="N352" s="66">
        <f>IFERROR(+O352/M352,0)</f>
        <v>0</v>
      </c>
      <c r="O352" s="34"/>
      <c r="Q352" s="34"/>
      <c r="R352" s="66">
        <f>IFERROR(+S352/Q352,0)</f>
        <v>0</v>
      </c>
      <c r="S352" s="34"/>
      <c r="U352" s="34"/>
      <c r="V352" s="66">
        <f>IFERROR(+W352/U352,0)</f>
        <v>0</v>
      </c>
      <c r="W352" s="34"/>
      <c r="Y352" s="34"/>
      <c r="Z352" s="66">
        <f>IFERROR(+AA352/Y352,0)</f>
        <v>0</v>
      </c>
      <c r="AA352" s="34"/>
      <c r="AC352" s="34"/>
      <c r="AD352" s="66">
        <f>IFERROR(+AE352/AC352,0)</f>
        <v>0</v>
      </c>
      <c r="AE352" s="34"/>
      <c r="AG352" s="34"/>
      <c r="AH352" s="66">
        <f>IFERROR(+AI352/AG352,0)</f>
        <v>0</v>
      </c>
      <c r="AI352" s="34"/>
      <c r="AK352" s="34"/>
      <c r="AL352" s="66">
        <f>IFERROR(+AM352/AK352,0)</f>
        <v>0</v>
      </c>
      <c r="AM352" s="34"/>
      <c r="AO352" s="34"/>
      <c r="AP352" s="66">
        <f>IFERROR(+AQ352/AO352,0)</f>
        <v>0</v>
      </c>
      <c r="AQ352" s="34"/>
      <c r="AS352" s="34"/>
      <c r="AT352" s="66">
        <f>IFERROR(+AU352/AS352,0)</f>
        <v>0</v>
      </c>
      <c r="AU352" s="34"/>
      <c r="AW352" s="34"/>
      <c r="AX352" s="66">
        <f>IFERROR(+AY352/AW352,0)</f>
        <v>0</v>
      </c>
      <c r="AY352" s="34"/>
      <c r="BA352" s="34"/>
      <c r="BB352" s="66">
        <f>IFERROR(+BC352/BA352,0)</f>
        <v>0</v>
      </c>
      <c r="BC352" s="34"/>
      <c r="BE352" s="67">
        <f>+I352+M352+Q352++U352+Y352+AC352+AG352+AK352+AO352+AS352+AW352+BA352</f>
        <v>0</v>
      </c>
      <c r="BF352" s="68">
        <f>IFERROR(+BG352/BE352,0)</f>
        <v>0</v>
      </c>
      <c r="BG352" s="67">
        <f>+K352+O352+S352+W352+AA352+AE352+AI352+AM352+AQ352+AU352+AY352+BC352</f>
        <v>0</v>
      </c>
    </row>
    <row r="353" spans="1:59" ht="21" hidden="1" customHeight="1" x14ac:dyDescent="0.3">
      <c r="A353" s="11"/>
      <c r="B353" s="181"/>
      <c r="C353" s="34"/>
      <c r="D353" s="34"/>
      <c r="E353" s="34"/>
      <c r="F353" s="34"/>
      <c r="G353" s="64"/>
      <c r="H353" s="35"/>
      <c r="I353" s="34"/>
      <c r="J353" s="66">
        <f t="shared" ref="J353:J358" si="673">IFERROR(+K353/I353,0)</f>
        <v>0</v>
      </c>
      <c r="K353" s="34"/>
      <c r="M353" s="34"/>
      <c r="N353" s="66">
        <f t="shared" ref="N353:N358" si="674">IFERROR(+O353/M353,0)</f>
        <v>0</v>
      </c>
      <c r="O353" s="34"/>
      <c r="Q353" s="34"/>
      <c r="R353" s="66">
        <f t="shared" ref="R353:R358" si="675">IFERROR(+S353/Q353,0)</f>
        <v>0</v>
      </c>
      <c r="S353" s="34"/>
      <c r="U353" s="34"/>
      <c r="V353" s="66">
        <f t="shared" ref="V353:V358" si="676">IFERROR(+W353/U353,0)</f>
        <v>0</v>
      </c>
      <c r="W353" s="34"/>
      <c r="Y353" s="34"/>
      <c r="Z353" s="66">
        <f t="shared" ref="Z353:Z358" si="677">IFERROR(+AA353/Y353,0)</f>
        <v>0</v>
      </c>
      <c r="AA353" s="34"/>
      <c r="AC353" s="34"/>
      <c r="AD353" s="66">
        <f t="shared" ref="AD353:AD358" si="678">IFERROR(+AE353/AC353,0)</f>
        <v>0</v>
      </c>
      <c r="AE353" s="34"/>
      <c r="AG353" s="34"/>
      <c r="AH353" s="66">
        <f t="shared" ref="AH353:AH358" si="679">IFERROR(+AI353/AG353,0)</f>
        <v>0</v>
      </c>
      <c r="AI353" s="34"/>
      <c r="AK353" s="34"/>
      <c r="AL353" s="66">
        <f t="shared" ref="AL353:AL358" si="680">IFERROR(+AM353/AK353,0)</f>
        <v>0</v>
      </c>
      <c r="AM353" s="34"/>
      <c r="AO353" s="34"/>
      <c r="AP353" s="66">
        <f t="shared" ref="AP353:AP358" si="681">IFERROR(+AQ353/AO353,0)</f>
        <v>0</v>
      </c>
      <c r="AQ353" s="34"/>
      <c r="AS353" s="34"/>
      <c r="AT353" s="66">
        <f t="shared" ref="AT353:AT358" si="682">IFERROR(+AU353/AS353,0)</f>
        <v>0</v>
      </c>
      <c r="AU353" s="34"/>
      <c r="AW353" s="34"/>
      <c r="AX353" s="66">
        <f t="shared" ref="AX353:AX358" si="683">IFERROR(+AY353/AW353,0)</f>
        <v>0</v>
      </c>
      <c r="AY353" s="34"/>
      <c r="BA353" s="34"/>
      <c r="BB353" s="66">
        <f t="shared" ref="BB353:BB358" si="684">IFERROR(+BC353/BA353,0)</f>
        <v>0</v>
      </c>
      <c r="BC353" s="34"/>
      <c r="BE353" s="67">
        <f t="shared" ref="BE353:BE357" si="685">+I353+M353+Q353++U353+Y353+AC353+AG353+AK353+AO353+AS353+AW353+BA353</f>
        <v>0</v>
      </c>
      <c r="BF353" s="68">
        <f t="shared" ref="BF353:BF357" si="686">IFERROR(+BG353/BE353,0)</f>
        <v>0</v>
      </c>
      <c r="BG353" s="67">
        <f t="shared" ref="BG353:BG357" si="687">+K353+O353+S353+W353+AA353+AE353+AI353+AM353+AQ353+AU353+AY353+BC353</f>
        <v>0</v>
      </c>
    </row>
    <row r="354" spans="1:59" ht="21" hidden="1" customHeight="1" x14ac:dyDescent="0.3">
      <c r="A354" s="11"/>
      <c r="B354" s="181"/>
      <c r="C354" s="34"/>
      <c r="D354" s="34"/>
      <c r="E354" s="34"/>
      <c r="F354" s="34"/>
      <c r="G354" s="64"/>
      <c r="H354" s="35"/>
      <c r="I354" s="34"/>
      <c r="J354" s="66">
        <f t="shared" si="673"/>
        <v>0</v>
      </c>
      <c r="K354" s="34"/>
      <c r="M354" s="34"/>
      <c r="N354" s="66">
        <f t="shared" si="674"/>
        <v>0</v>
      </c>
      <c r="O354" s="34"/>
      <c r="Q354" s="34"/>
      <c r="R354" s="66">
        <f t="shared" si="675"/>
        <v>0</v>
      </c>
      <c r="S354" s="34"/>
      <c r="U354" s="34"/>
      <c r="V354" s="66">
        <f t="shared" si="676"/>
        <v>0</v>
      </c>
      <c r="W354" s="34"/>
      <c r="Y354" s="34"/>
      <c r="Z354" s="66">
        <f t="shared" si="677"/>
        <v>0</v>
      </c>
      <c r="AA354" s="34"/>
      <c r="AC354" s="34"/>
      <c r="AD354" s="66">
        <f t="shared" si="678"/>
        <v>0</v>
      </c>
      <c r="AE354" s="34"/>
      <c r="AG354" s="34"/>
      <c r="AH354" s="66">
        <f t="shared" si="679"/>
        <v>0</v>
      </c>
      <c r="AI354" s="34"/>
      <c r="AK354" s="34"/>
      <c r="AL354" s="66">
        <f t="shared" si="680"/>
        <v>0</v>
      </c>
      <c r="AM354" s="34"/>
      <c r="AO354" s="34"/>
      <c r="AP354" s="66">
        <f t="shared" si="681"/>
        <v>0</v>
      </c>
      <c r="AQ354" s="34"/>
      <c r="AS354" s="34"/>
      <c r="AT354" s="66">
        <f t="shared" si="682"/>
        <v>0</v>
      </c>
      <c r="AU354" s="34"/>
      <c r="AW354" s="34"/>
      <c r="AX354" s="66">
        <f t="shared" si="683"/>
        <v>0</v>
      </c>
      <c r="AY354" s="34"/>
      <c r="BA354" s="34"/>
      <c r="BB354" s="66">
        <f t="shared" si="684"/>
        <v>0</v>
      </c>
      <c r="BC354" s="34"/>
      <c r="BE354" s="67">
        <f t="shared" si="685"/>
        <v>0</v>
      </c>
      <c r="BF354" s="68">
        <f t="shared" si="686"/>
        <v>0</v>
      </c>
      <c r="BG354" s="67">
        <f t="shared" si="687"/>
        <v>0</v>
      </c>
    </row>
    <row r="355" spans="1:59" ht="21" hidden="1" customHeight="1" x14ac:dyDescent="0.3">
      <c r="A355" s="11"/>
      <c r="B355" s="181"/>
      <c r="C355" s="34"/>
      <c r="D355" s="34"/>
      <c r="E355" s="34"/>
      <c r="F355" s="34"/>
      <c r="G355" s="64"/>
      <c r="H355" s="35"/>
      <c r="I355" s="34"/>
      <c r="J355" s="66">
        <f t="shared" si="673"/>
        <v>0</v>
      </c>
      <c r="K355" s="34"/>
      <c r="M355" s="34"/>
      <c r="N355" s="66">
        <f t="shared" si="674"/>
        <v>0</v>
      </c>
      <c r="O355" s="34"/>
      <c r="Q355" s="34"/>
      <c r="R355" s="66">
        <f t="shared" si="675"/>
        <v>0</v>
      </c>
      <c r="S355" s="34"/>
      <c r="U355" s="34"/>
      <c r="V355" s="66">
        <f t="shared" si="676"/>
        <v>0</v>
      </c>
      <c r="W355" s="34"/>
      <c r="Y355" s="34"/>
      <c r="Z355" s="66">
        <f t="shared" si="677"/>
        <v>0</v>
      </c>
      <c r="AA355" s="34"/>
      <c r="AC355" s="34"/>
      <c r="AD355" s="66">
        <f t="shared" si="678"/>
        <v>0</v>
      </c>
      <c r="AE355" s="34"/>
      <c r="AG355" s="34"/>
      <c r="AH355" s="66">
        <f t="shared" si="679"/>
        <v>0</v>
      </c>
      <c r="AI355" s="34"/>
      <c r="AK355" s="34"/>
      <c r="AL355" s="66">
        <f t="shared" si="680"/>
        <v>0</v>
      </c>
      <c r="AM355" s="34"/>
      <c r="AO355" s="34"/>
      <c r="AP355" s="66">
        <f t="shared" si="681"/>
        <v>0</v>
      </c>
      <c r="AQ355" s="34"/>
      <c r="AS355" s="34"/>
      <c r="AT355" s="66">
        <f t="shared" si="682"/>
        <v>0</v>
      </c>
      <c r="AU355" s="34"/>
      <c r="AW355" s="34"/>
      <c r="AX355" s="66">
        <f t="shared" si="683"/>
        <v>0</v>
      </c>
      <c r="AY355" s="34"/>
      <c r="BA355" s="34"/>
      <c r="BB355" s="66">
        <f t="shared" si="684"/>
        <v>0</v>
      </c>
      <c r="BC355" s="34"/>
      <c r="BE355" s="67">
        <f t="shared" si="685"/>
        <v>0</v>
      </c>
      <c r="BF355" s="68">
        <f t="shared" si="686"/>
        <v>0</v>
      </c>
      <c r="BG355" s="67">
        <f t="shared" si="687"/>
        <v>0</v>
      </c>
    </row>
    <row r="356" spans="1:59" ht="21" hidden="1" customHeight="1" x14ac:dyDescent="0.3">
      <c r="A356" s="11"/>
      <c r="B356" s="181"/>
      <c r="C356" s="34"/>
      <c r="D356" s="34"/>
      <c r="E356" s="34"/>
      <c r="F356" s="34"/>
      <c r="G356" s="64"/>
      <c r="H356" s="35"/>
      <c r="I356" s="34"/>
      <c r="J356" s="66">
        <f t="shared" si="673"/>
        <v>0</v>
      </c>
      <c r="K356" s="34"/>
      <c r="M356" s="34"/>
      <c r="N356" s="66">
        <f t="shared" si="674"/>
        <v>0</v>
      </c>
      <c r="O356" s="34"/>
      <c r="Q356" s="34"/>
      <c r="R356" s="66">
        <f t="shared" si="675"/>
        <v>0</v>
      </c>
      <c r="S356" s="34"/>
      <c r="U356" s="34"/>
      <c r="V356" s="66">
        <f t="shared" si="676"/>
        <v>0</v>
      </c>
      <c r="W356" s="34"/>
      <c r="Y356" s="34"/>
      <c r="Z356" s="66">
        <f t="shared" si="677"/>
        <v>0</v>
      </c>
      <c r="AA356" s="34"/>
      <c r="AC356" s="34"/>
      <c r="AD356" s="66">
        <f t="shared" si="678"/>
        <v>0</v>
      </c>
      <c r="AE356" s="34"/>
      <c r="AG356" s="34"/>
      <c r="AH356" s="66">
        <f t="shared" si="679"/>
        <v>0</v>
      </c>
      <c r="AI356" s="34"/>
      <c r="AK356" s="34"/>
      <c r="AL356" s="66">
        <f t="shared" si="680"/>
        <v>0</v>
      </c>
      <c r="AM356" s="34"/>
      <c r="AO356" s="34"/>
      <c r="AP356" s="66">
        <f t="shared" si="681"/>
        <v>0</v>
      </c>
      <c r="AQ356" s="34"/>
      <c r="AS356" s="34"/>
      <c r="AT356" s="66">
        <f t="shared" si="682"/>
        <v>0</v>
      </c>
      <c r="AU356" s="34"/>
      <c r="AW356" s="34"/>
      <c r="AX356" s="66">
        <f t="shared" si="683"/>
        <v>0</v>
      </c>
      <c r="AY356" s="34"/>
      <c r="BA356" s="34"/>
      <c r="BB356" s="66">
        <f t="shared" si="684"/>
        <v>0</v>
      </c>
      <c r="BC356" s="34"/>
      <c r="BE356" s="67">
        <f t="shared" si="685"/>
        <v>0</v>
      </c>
      <c r="BF356" s="68">
        <f t="shared" si="686"/>
        <v>0</v>
      </c>
      <c r="BG356" s="67">
        <f t="shared" si="687"/>
        <v>0</v>
      </c>
    </row>
    <row r="357" spans="1:59" ht="21" hidden="1" customHeight="1" x14ac:dyDescent="0.3">
      <c r="A357" s="11"/>
      <c r="B357" s="181"/>
      <c r="C357" s="34"/>
      <c r="D357" s="34"/>
      <c r="E357" s="34"/>
      <c r="F357" s="34"/>
      <c r="G357" s="64"/>
      <c r="H357" s="35"/>
      <c r="I357" s="34"/>
      <c r="J357" s="66">
        <f>IFERROR(+K357/I357,0)</f>
        <v>0</v>
      </c>
      <c r="K357" s="34"/>
      <c r="M357" s="34"/>
      <c r="N357" s="66">
        <f>IFERROR(+O357/M357,0)</f>
        <v>0</v>
      </c>
      <c r="O357" s="34"/>
      <c r="Q357" s="34"/>
      <c r="R357" s="66">
        <f>IFERROR(+S357/Q357,0)</f>
        <v>0</v>
      </c>
      <c r="S357" s="34"/>
      <c r="U357" s="34"/>
      <c r="V357" s="66">
        <f>IFERROR(+W357/U357,0)</f>
        <v>0</v>
      </c>
      <c r="W357" s="34"/>
      <c r="Y357" s="34"/>
      <c r="Z357" s="66">
        <f>IFERROR(+AA357/Y357,0)</f>
        <v>0</v>
      </c>
      <c r="AA357" s="34"/>
      <c r="AC357" s="34"/>
      <c r="AD357" s="66">
        <f>IFERROR(+AE357/AC357,0)</f>
        <v>0</v>
      </c>
      <c r="AE357" s="34"/>
      <c r="AG357" s="34"/>
      <c r="AH357" s="66">
        <f>IFERROR(+AI357/AG357,0)</f>
        <v>0</v>
      </c>
      <c r="AI357" s="34"/>
      <c r="AK357" s="34"/>
      <c r="AL357" s="66">
        <f>IFERROR(+AM357/AK357,0)</f>
        <v>0</v>
      </c>
      <c r="AM357" s="34"/>
      <c r="AO357" s="34"/>
      <c r="AP357" s="66">
        <f>IFERROR(+AQ357/AO357,0)</f>
        <v>0</v>
      </c>
      <c r="AQ357" s="34"/>
      <c r="AS357" s="34"/>
      <c r="AT357" s="66">
        <f>IFERROR(+AU357/AS357,0)</f>
        <v>0</v>
      </c>
      <c r="AU357" s="34"/>
      <c r="AW357" s="34"/>
      <c r="AX357" s="66">
        <f>IFERROR(+AY357/AW357,0)</f>
        <v>0</v>
      </c>
      <c r="AY357" s="34"/>
      <c r="BA357" s="34"/>
      <c r="BB357" s="66">
        <f>IFERROR(+BC357/BA357,0)</f>
        <v>0</v>
      </c>
      <c r="BC357" s="34"/>
      <c r="BE357" s="67">
        <f t="shared" si="685"/>
        <v>0</v>
      </c>
      <c r="BF357" s="68">
        <f t="shared" si="686"/>
        <v>0</v>
      </c>
      <c r="BG357" s="67">
        <f t="shared" si="687"/>
        <v>0</v>
      </c>
    </row>
    <row r="358" spans="1:59" ht="21" hidden="1" customHeight="1" x14ac:dyDescent="0.3">
      <c r="A358" s="11"/>
      <c r="B358" s="181"/>
      <c r="C358" s="34"/>
      <c r="D358" s="34"/>
      <c r="E358" s="34"/>
      <c r="F358" s="34"/>
      <c r="G358" s="64"/>
      <c r="H358" s="35"/>
      <c r="I358" s="34"/>
      <c r="J358" s="66">
        <f t="shared" si="673"/>
        <v>0</v>
      </c>
      <c r="K358" s="34"/>
      <c r="M358" s="34"/>
      <c r="N358" s="66">
        <f t="shared" si="674"/>
        <v>0</v>
      </c>
      <c r="O358" s="34"/>
      <c r="Q358" s="34"/>
      <c r="R358" s="66">
        <f t="shared" si="675"/>
        <v>0</v>
      </c>
      <c r="S358" s="34"/>
      <c r="U358" s="34"/>
      <c r="V358" s="66">
        <f t="shared" si="676"/>
        <v>0</v>
      </c>
      <c r="W358" s="34"/>
      <c r="Y358" s="34"/>
      <c r="Z358" s="66">
        <f t="shared" si="677"/>
        <v>0</v>
      </c>
      <c r="AA358" s="34"/>
      <c r="AC358" s="34"/>
      <c r="AD358" s="66">
        <f t="shared" si="678"/>
        <v>0</v>
      </c>
      <c r="AE358" s="34"/>
      <c r="AG358" s="34"/>
      <c r="AH358" s="66">
        <f t="shared" si="679"/>
        <v>0</v>
      </c>
      <c r="AI358" s="34"/>
      <c r="AK358" s="34"/>
      <c r="AL358" s="66">
        <f t="shared" si="680"/>
        <v>0</v>
      </c>
      <c r="AM358" s="34"/>
      <c r="AO358" s="34"/>
      <c r="AP358" s="66">
        <f t="shared" si="681"/>
        <v>0</v>
      </c>
      <c r="AQ358" s="34"/>
      <c r="AS358" s="34"/>
      <c r="AT358" s="66">
        <f t="shared" si="682"/>
        <v>0</v>
      </c>
      <c r="AU358" s="34"/>
      <c r="AW358" s="34"/>
      <c r="AX358" s="66">
        <f t="shared" si="683"/>
        <v>0</v>
      </c>
      <c r="AY358" s="34"/>
      <c r="BA358" s="34"/>
      <c r="BB358" s="66">
        <f t="shared" si="684"/>
        <v>0</v>
      </c>
      <c r="BC358" s="34"/>
      <c r="BE358" s="67">
        <f>+I358+M358+Q358++U358+Y358+AC358+AG358+AK358+AO358+AS358+AW358+BA358</f>
        <v>0</v>
      </c>
      <c r="BF358" s="68">
        <f>IFERROR(+BG358/BE358,0)</f>
        <v>0</v>
      </c>
      <c r="BG358" s="67">
        <f>+K358+O358+S358+W358+AA358+AE358+AI358+AM358+AQ358+AU358+AY358+BC358</f>
        <v>0</v>
      </c>
    </row>
    <row r="359" spans="1:59" ht="21" hidden="1" customHeight="1" x14ac:dyDescent="0.3">
      <c r="A359" s="11"/>
      <c r="B359" s="314" t="s">
        <v>227</v>
      </c>
      <c r="C359" s="315"/>
      <c r="D359" s="315"/>
      <c r="E359" s="315"/>
      <c r="F359" s="315"/>
      <c r="G359" s="316"/>
      <c r="H359" s="35"/>
      <c r="I359" s="67">
        <f>SUM(I352:I358)</f>
        <v>0</v>
      </c>
      <c r="J359" s="68">
        <f t="shared" ref="J359" si="688">IFERROR(+K359/I359,0)</f>
        <v>0</v>
      </c>
      <c r="K359" s="67">
        <f>SUM(K352:K358)</f>
        <v>0</v>
      </c>
      <c r="M359" s="67">
        <f>SUM(M352:M358)</f>
        <v>0</v>
      </c>
      <c r="N359" s="68">
        <f t="shared" ref="N359" si="689">IFERROR(+O359/M359,0)</f>
        <v>0</v>
      </c>
      <c r="O359" s="67">
        <f>SUM(O352:O358)</f>
        <v>0</v>
      </c>
      <c r="Q359" s="67">
        <f>SUM(Q352:Q358)</f>
        <v>0</v>
      </c>
      <c r="R359" s="68">
        <f t="shared" ref="R359" si="690">IFERROR(+S359/Q359,0)</f>
        <v>0</v>
      </c>
      <c r="S359" s="67">
        <f>SUM(S352:S358)</f>
        <v>0</v>
      </c>
      <c r="U359" s="67">
        <f>SUM(U352:U358)</f>
        <v>0</v>
      </c>
      <c r="V359" s="68">
        <f t="shared" ref="V359" si="691">IFERROR(+W359/U359,0)</f>
        <v>0</v>
      </c>
      <c r="W359" s="67">
        <f>SUM(W352:W358)</f>
        <v>0</v>
      </c>
      <c r="Y359" s="67">
        <f>SUM(Y352:Y358)</f>
        <v>0</v>
      </c>
      <c r="Z359" s="68">
        <f t="shared" ref="Z359" si="692">IFERROR(+AA359/Y359,0)</f>
        <v>0</v>
      </c>
      <c r="AA359" s="67">
        <f>SUM(AA352:AA358)</f>
        <v>0</v>
      </c>
      <c r="AC359" s="67">
        <f>SUM(AC352:AC358)</f>
        <v>0</v>
      </c>
      <c r="AD359" s="68">
        <f t="shared" ref="AD359" si="693">IFERROR(+AE359/AC359,0)</f>
        <v>0</v>
      </c>
      <c r="AE359" s="67">
        <f>SUM(AE352:AE358)</f>
        <v>0</v>
      </c>
      <c r="AG359" s="67">
        <f>SUM(AG352:AG358)</f>
        <v>0</v>
      </c>
      <c r="AH359" s="68">
        <f t="shared" ref="AH359" si="694">IFERROR(+AI359/AG359,0)</f>
        <v>0</v>
      </c>
      <c r="AI359" s="67">
        <f>SUM(AI352:AI358)</f>
        <v>0</v>
      </c>
      <c r="AK359" s="67">
        <f>SUM(AK352:AK358)</f>
        <v>0</v>
      </c>
      <c r="AL359" s="68">
        <f t="shared" ref="AL359" si="695">IFERROR(+AM359/AK359,0)</f>
        <v>0</v>
      </c>
      <c r="AM359" s="67">
        <f>SUM(AM352:AM358)</f>
        <v>0</v>
      </c>
      <c r="AO359" s="67">
        <f>SUM(AO352:AO358)</f>
        <v>0</v>
      </c>
      <c r="AP359" s="68">
        <f t="shared" ref="AP359" si="696">IFERROR(+AQ359/AO359,0)</f>
        <v>0</v>
      </c>
      <c r="AQ359" s="67">
        <f>SUM(AQ352:AQ358)</f>
        <v>0</v>
      </c>
      <c r="AS359" s="67">
        <f>SUM(AS352:AS358)</f>
        <v>0</v>
      </c>
      <c r="AT359" s="68">
        <f t="shared" ref="AT359" si="697">IFERROR(+AU359/AS359,0)</f>
        <v>0</v>
      </c>
      <c r="AU359" s="67">
        <f>SUM(AU352:AU358)</f>
        <v>0</v>
      </c>
      <c r="AW359" s="67">
        <f>SUM(AW352:AW358)</f>
        <v>0</v>
      </c>
      <c r="AX359" s="68">
        <f t="shared" ref="AX359" si="698">IFERROR(+AY359/AW359,0)</f>
        <v>0</v>
      </c>
      <c r="AY359" s="67">
        <f>SUM(AY352:AY358)</f>
        <v>0</v>
      </c>
      <c r="BA359" s="67">
        <f>SUM(BA352:BA358)</f>
        <v>0</v>
      </c>
      <c r="BB359" s="68">
        <f t="shared" ref="BB359" si="699">IFERROR(+BC359/BA359,0)</f>
        <v>0</v>
      </c>
      <c r="BC359" s="67">
        <f>SUM(BC352:BC358)</f>
        <v>0</v>
      </c>
      <c r="BE359" s="67">
        <f>SUM(BE352:BE358)</f>
        <v>0</v>
      </c>
      <c r="BF359" s="68">
        <f t="shared" ref="BF359" si="700">IFERROR(+BG359/BE359,0)</f>
        <v>0</v>
      </c>
      <c r="BG359" s="67">
        <f>SUM(BG352:BG358)</f>
        <v>0</v>
      </c>
    </row>
    <row r="360" spans="1:59" hidden="1" x14ac:dyDescent="0.3"/>
    <row r="361" spans="1:59" ht="36" hidden="1" customHeight="1" x14ac:dyDescent="0.3">
      <c r="A361" s="11"/>
      <c r="B361" s="318" t="s">
        <v>757</v>
      </c>
      <c r="C361" s="318"/>
      <c r="D361" s="318"/>
      <c r="E361" s="318"/>
      <c r="F361" s="318"/>
      <c r="G361" s="318"/>
      <c r="H361" s="318"/>
      <c r="I361" s="318"/>
      <c r="J361" s="318"/>
    </row>
    <row r="362" spans="1:59" hidden="1" x14ac:dyDescent="0.3"/>
    <row r="363" spans="1:59" ht="21" hidden="1" customHeight="1" x14ac:dyDescent="0.3">
      <c r="A363" s="11"/>
      <c r="B363" s="302" t="s">
        <v>894</v>
      </c>
      <c r="C363" s="312" t="s">
        <v>895</v>
      </c>
      <c r="D363" s="281" t="s">
        <v>235</v>
      </c>
      <c r="E363" s="302" t="s">
        <v>232</v>
      </c>
      <c r="F363" s="312" t="s">
        <v>233</v>
      </c>
      <c r="G363" s="313" t="s">
        <v>234</v>
      </c>
      <c r="H363" s="36"/>
      <c r="I363" s="301" t="str">
        <f>+"Enero "&amp;$I$6&amp;""</f>
        <v>Enero 2025</v>
      </c>
      <c r="J363" s="301"/>
      <c r="K363" s="301"/>
      <c r="M363" s="301" t="str">
        <f>+"Febrero "&amp;$I$6&amp;""</f>
        <v>Febrero 2025</v>
      </c>
      <c r="N363" s="301"/>
      <c r="O363" s="301"/>
      <c r="Q363" s="301" t="str">
        <f>+"Marzo "&amp;$I$6&amp;""</f>
        <v>Marzo 2025</v>
      </c>
      <c r="R363" s="301"/>
      <c r="S363" s="301"/>
      <c r="U363" s="301" t="str">
        <f>+"Abril "&amp;$I$6&amp;""</f>
        <v>Abril 2025</v>
      </c>
      <c r="V363" s="301"/>
      <c r="W363" s="301"/>
      <c r="Y363" s="301" t="str">
        <f>+"Mayo "&amp;$I$6&amp;""</f>
        <v>Mayo 2025</v>
      </c>
      <c r="Z363" s="301"/>
      <c r="AA363" s="301"/>
      <c r="AC363" s="301" t="str">
        <f>+"Junio "&amp;$I$6&amp;""</f>
        <v>Junio 2025</v>
      </c>
      <c r="AD363" s="301"/>
      <c r="AE363" s="301"/>
      <c r="AG363" s="301" t="str">
        <f>+"Julio "&amp;$I$6&amp;""</f>
        <v>Julio 2025</v>
      </c>
      <c r="AH363" s="301"/>
      <c r="AI363" s="301"/>
      <c r="AK363" s="301" t="str">
        <f>+"Agosto "&amp;$I$6&amp;""</f>
        <v>Agosto 2025</v>
      </c>
      <c r="AL363" s="301"/>
      <c r="AM363" s="301"/>
      <c r="AO363" s="301" t="str">
        <f>+"Septiembre "&amp;$I$6&amp;""</f>
        <v>Septiembre 2025</v>
      </c>
      <c r="AP363" s="301"/>
      <c r="AQ363" s="301"/>
      <c r="AS363" s="301" t="str">
        <f>+"Octubre "&amp;$I$6&amp;""</f>
        <v>Octubre 2025</v>
      </c>
      <c r="AT363" s="301"/>
      <c r="AU363" s="301"/>
      <c r="AW363" s="301" t="str">
        <f>+"Noviembre "&amp;$I$6&amp;""</f>
        <v>Noviembre 2025</v>
      </c>
      <c r="AX363" s="301"/>
      <c r="AY363" s="301"/>
      <c r="BA363" s="301" t="str">
        <f>+"Diciembre "&amp;$I$6&amp;""</f>
        <v>Diciembre 2025</v>
      </c>
      <c r="BB363" s="301"/>
      <c r="BC363" s="301"/>
      <c r="BE363" s="301" t="str">
        <f>+"Acumulado "&amp;$I$6&amp;""</f>
        <v>Acumulado 2025</v>
      </c>
      <c r="BF363" s="301"/>
      <c r="BG363" s="301"/>
    </row>
    <row r="364" spans="1:59" ht="21" hidden="1" customHeight="1" x14ac:dyDescent="0.3">
      <c r="A364" s="11"/>
      <c r="B364" s="304"/>
      <c r="C364" s="312"/>
      <c r="D364" s="283"/>
      <c r="E364" s="304"/>
      <c r="F364" s="312"/>
      <c r="G364" s="312"/>
      <c r="H364" s="36"/>
      <c r="I364" s="225" t="s">
        <v>1017</v>
      </c>
      <c r="J364" s="65" t="s">
        <v>61</v>
      </c>
      <c r="K364" s="65" t="s">
        <v>62</v>
      </c>
      <c r="M364" s="225" t="s">
        <v>1017</v>
      </c>
      <c r="N364" s="65" t="s">
        <v>61</v>
      </c>
      <c r="O364" s="65" t="s">
        <v>62</v>
      </c>
      <c r="Q364" s="225" t="s">
        <v>1017</v>
      </c>
      <c r="R364" s="65" t="s">
        <v>61</v>
      </c>
      <c r="S364" s="65" t="s">
        <v>62</v>
      </c>
      <c r="U364" s="225" t="s">
        <v>1017</v>
      </c>
      <c r="V364" s="65" t="s">
        <v>61</v>
      </c>
      <c r="W364" s="65" t="s">
        <v>62</v>
      </c>
      <c r="Y364" s="225" t="s">
        <v>1017</v>
      </c>
      <c r="Z364" s="65" t="s">
        <v>61</v>
      </c>
      <c r="AA364" s="65" t="s">
        <v>62</v>
      </c>
      <c r="AC364" s="225" t="s">
        <v>1017</v>
      </c>
      <c r="AD364" s="65" t="s">
        <v>61</v>
      </c>
      <c r="AE364" s="65" t="s">
        <v>62</v>
      </c>
      <c r="AG364" s="225" t="s">
        <v>1017</v>
      </c>
      <c r="AH364" s="65" t="s">
        <v>61</v>
      </c>
      <c r="AI364" s="65" t="s">
        <v>62</v>
      </c>
      <c r="AK364" s="225" t="s">
        <v>1017</v>
      </c>
      <c r="AL364" s="65" t="s">
        <v>61</v>
      </c>
      <c r="AM364" s="65" t="s">
        <v>62</v>
      </c>
      <c r="AO364" s="225" t="s">
        <v>1017</v>
      </c>
      <c r="AP364" s="65" t="s">
        <v>61</v>
      </c>
      <c r="AQ364" s="65" t="s">
        <v>62</v>
      </c>
      <c r="AS364" s="225" t="s">
        <v>1017</v>
      </c>
      <c r="AT364" s="65" t="s">
        <v>61</v>
      </c>
      <c r="AU364" s="65" t="s">
        <v>62</v>
      </c>
      <c r="AW364" s="225" t="s">
        <v>1017</v>
      </c>
      <c r="AX364" s="65" t="s">
        <v>61</v>
      </c>
      <c r="AY364" s="65" t="s">
        <v>62</v>
      </c>
      <c r="BA364" s="225" t="s">
        <v>1017</v>
      </c>
      <c r="BB364" s="65" t="s">
        <v>61</v>
      </c>
      <c r="BC364" s="65" t="s">
        <v>62</v>
      </c>
      <c r="BE364" s="225" t="s">
        <v>1017</v>
      </c>
      <c r="BF364" s="65" t="s">
        <v>61</v>
      </c>
      <c r="BG364" s="65" t="s">
        <v>62</v>
      </c>
    </row>
    <row r="365" spans="1:59" ht="21" hidden="1" customHeight="1" x14ac:dyDescent="0.3">
      <c r="A365" s="11"/>
      <c r="B365" s="181"/>
      <c r="C365" s="34"/>
      <c r="D365" s="34"/>
      <c r="E365" s="34"/>
      <c r="F365" s="34"/>
      <c r="G365" s="64"/>
      <c r="H365" s="35"/>
      <c r="I365" s="34"/>
      <c r="J365" s="66">
        <f>IFERROR(+K365/I365,0)</f>
        <v>0</v>
      </c>
      <c r="K365" s="123"/>
      <c r="M365" s="34"/>
      <c r="N365" s="66">
        <f>IFERROR(+O365/M365,0)</f>
        <v>0</v>
      </c>
      <c r="O365" s="123"/>
      <c r="Q365" s="34"/>
      <c r="R365" s="66">
        <f>IFERROR(+S365/Q365,0)</f>
        <v>0</v>
      </c>
      <c r="S365" s="123"/>
      <c r="U365" s="34"/>
      <c r="V365" s="66">
        <f>IFERROR(+W365/U365,0)</f>
        <v>0</v>
      </c>
      <c r="W365" s="123"/>
      <c r="Y365" s="34"/>
      <c r="Z365" s="66">
        <f>IFERROR(+AA365/Y365,0)</f>
        <v>0</v>
      </c>
      <c r="AA365" s="123"/>
      <c r="AC365" s="34"/>
      <c r="AD365" s="66">
        <f>IFERROR(+AE365/AC365,0)</f>
        <v>0</v>
      </c>
      <c r="AE365" s="123"/>
      <c r="AG365" s="34"/>
      <c r="AH365" s="66">
        <f>IFERROR(+AI365/AG365,0)</f>
        <v>0</v>
      </c>
      <c r="AI365" s="123"/>
      <c r="AK365" s="34"/>
      <c r="AL365" s="66">
        <f>IFERROR(+AM365/AK365,0)</f>
        <v>0</v>
      </c>
      <c r="AM365" s="123"/>
      <c r="AO365" s="34"/>
      <c r="AP365" s="66">
        <f>IFERROR(+AQ365/AO365,0)</f>
        <v>0</v>
      </c>
      <c r="AQ365" s="123"/>
      <c r="AS365" s="34"/>
      <c r="AT365" s="66">
        <f>IFERROR(+AU365/AS365,0)</f>
        <v>0</v>
      </c>
      <c r="AU365" s="123"/>
      <c r="AW365" s="34"/>
      <c r="AX365" s="66">
        <f>IFERROR(+AY365/AW365,0)</f>
        <v>0</v>
      </c>
      <c r="AY365" s="123"/>
      <c r="BA365" s="34"/>
      <c r="BB365" s="66">
        <f>IFERROR(+BC365/BA365,0)</f>
        <v>0</v>
      </c>
      <c r="BC365" s="123"/>
      <c r="BE365" s="67">
        <f>+I365+M365+Q365++U365+Y365+AC365+AG365+AK365+AO365+AS365+AW365+BA365</f>
        <v>0</v>
      </c>
      <c r="BF365" s="68">
        <f>IFERROR(+BG365/BE365,0)</f>
        <v>0</v>
      </c>
      <c r="BG365" s="67">
        <f>+K365+O365+S365+W365+AA365+AE365+AI365+AM365+AQ365+AU365+AY365+BC365</f>
        <v>0</v>
      </c>
    </row>
    <row r="366" spans="1:59" ht="21" hidden="1" customHeight="1" x14ac:dyDescent="0.3">
      <c r="A366" s="11"/>
      <c r="B366" s="181"/>
      <c r="C366" s="34"/>
      <c r="D366" s="34"/>
      <c r="E366" s="34"/>
      <c r="F366" s="34"/>
      <c r="G366" s="64"/>
      <c r="H366" s="35"/>
      <c r="I366" s="34"/>
      <c r="J366" s="66">
        <f t="shared" ref="J366:J370" si="701">IFERROR(+K366/I366,0)</f>
        <v>0</v>
      </c>
      <c r="K366" s="123"/>
      <c r="M366" s="34"/>
      <c r="N366" s="66">
        <f t="shared" ref="N366:N370" si="702">IFERROR(+O366/M366,0)</f>
        <v>0</v>
      </c>
      <c r="O366" s="123"/>
      <c r="Q366" s="34"/>
      <c r="R366" s="66">
        <f t="shared" ref="R366:R370" si="703">IFERROR(+S366/Q366,0)</f>
        <v>0</v>
      </c>
      <c r="S366" s="123"/>
      <c r="U366" s="34"/>
      <c r="V366" s="66">
        <f t="shared" ref="V366:V370" si="704">IFERROR(+W366/U366,0)</f>
        <v>0</v>
      </c>
      <c r="W366" s="123"/>
      <c r="Y366" s="34"/>
      <c r="Z366" s="66">
        <f t="shared" ref="Z366:Z370" si="705">IFERROR(+AA366/Y366,0)</f>
        <v>0</v>
      </c>
      <c r="AA366" s="123"/>
      <c r="AC366" s="34"/>
      <c r="AD366" s="66">
        <f t="shared" ref="AD366:AD370" si="706">IFERROR(+AE366/AC366,0)</f>
        <v>0</v>
      </c>
      <c r="AE366" s="123"/>
      <c r="AG366" s="34"/>
      <c r="AH366" s="66">
        <f t="shared" ref="AH366:AH370" si="707">IFERROR(+AI366/AG366,0)</f>
        <v>0</v>
      </c>
      <c r="AI366" s="123"/>
      <c r="AK366" s="34"/>
      <c r="AL366" s="66">
        <f t="shared" ref="AL366:AL370" si="708">IFERROR(+AM366/AK366,0)</f>
        <v>0</v>
      </c>
      <c r="AM366" s="123"/>
      <c r="AO366" s="34"/>
      <c r="AP366" s="66">
        <f t="shared" ref="AP366:AP370" si="709">IFERROR(+AQ366/AO366,0)</f>
        <v>0</v>
      </c>
      <c r="AQ366" s="123"/>
      <c r="AS366" s="34"/>
      <c r="AT366" s="66">
        <f t="shared" ref="AT366:AT370" si="710">IFERROR(+AU366/AS366,0)</f>
        <v>0</v>
      </c>
      <c r="AU366" s="123"/>
      <c r="AW366" s="34"/>
      <c r="AX366" s="66">
        <f t="shared" ref="AX366:AX370" si="711">IFERROR(+AY366/AW366,0)</f>
        <v>0</v>
      </c>
      <c r="AY366" s="123"/>
      <c r="BA366" s="34"/>
      <c r="BB366" s="66">
        <f t="shared" ref="BB366:BB370" si="712">IFERROR(+BC366/BA366,0)</f>
        <v>0</v>
      </c>
      <c r="BC366" s="123"/>
      <c r="BE366" s="67">
        <f t="shared" ref="BE366:BE370" si="713">+I366+M366+Q366++U366+Y366+AC366+AG366+AK366+AO366+AS366+AW366+BA366</f>
        <v>0</v>
      </c>
      <c r="BF366" s="68">
        <f t="shared" ref="BF366:BF370" si="714">IFERROR(+BG366/BE366,0)</f>
        <v>0</v>
      </c>
      <c r="BG366" s="67">
        <f t="shared" ref="BG366:BG370" si="715">+K366+O366+S366+W366+AA366+AE366+AI366+AM366+AQ366+AU366+AY366+BC366</f>
        <v>0</v>
      </c>
    </row>
    <row r="367" spans="1:59" ht="21" hidden="1" customHeight="1" x14ac:dyDescent="0.3">
      <c r="A367" s="11"/>
      <c r="B367" s="181"/>
      <c r="C367" s="34"/>
      <c r="D367" s="34"/>
      <c r="E367" s="34"/>
      <c r="F367" s="34"/>
      <c r="G367" s="64"/>
      <c r="H367" s="35"/>
      <c r="I367" s="34"/>
      <c r="J367" s="66">
        <f t="shared" si="701"/>
        <v>0</v>
      </c>
      <c r="K367" s="123"/>
      <c r="M367" s="34"/>
      <c r="N367" s="66">
        <f t="shared" si="702"/>
        <v>0</v>
      </c>
      <c r="O367" s="123"/>
      <c r="Q367" s="34"/>
      <c r="R367" s="66">
        <f t="shared" si="703"/>
        <v>0</v>
      </c>
      <c r="S367" s="123"/>
      <c r="U367" s="34"/>
      <c r="V367" s="66">
        <f t="shared" si="704"/>
        <v>0</v>
      </c>
      <c r="W367" s="123"/>
      <c r="Y367" s="34"/>
      <c r="Z367" s="66">
        <f t="shared" si="705"/>
        <v>0</v>
      </c>
      <c r="AA367" s="123"/>
      <c r="AC367" s="34"/>
      <c r="AD367" s="66">
        <f t="shared" si="706"/>
        <v>0</v>
      </c>
      <c r="AE367" s="123"/>
      <c r="AG367" s="34"/>
      <c r="AH367" s="66">
        <f t="shared" si="707"/>
        <v>0</v>
      </c>
      <c r="AI367" s="123"/>
      <c r="AK367" s="34"/>
      <c r="AL367" s="66">
        <f t="shared" si="708"/>
        <v>0</v>
      </c>
      <c r="AM367" s="123"/>
      <c r="AO367" s="34"/>
      <c r="AP367" s="66">
        <f t="shared" si="709"/>
        <v>0</v>
      </c>
      <c r="AQ367" s="123"/>
      <c r="AS367" s="34"/>
      <c r="AT367" s="66">
        <f t="shared" si="710"/>
        <v>0</v>
      </c>
      <c r="AU367" s="123"/>
      <c r="AW367" s="34"/>
      <c r="AX367" s="66">
        <f t="shared" si="711"/>
        <v>0</v>
      </c>
      <c r="AY367" s="123"/>
      <c r="BA367" s="34"/>
      <c r="BB367" s="66">
        <f t="shared" si="712"/>
        <v>0</v>
      </c>
      <c r="BC367" s="123"/>
      <c r="BE367" s="67">
        <f t="shared" si="713"/>
        <v>0</v>
      </c>
      <c r="BF367" s="68">
        <f t="shared" si="714"/>
        <v>0</v>
      </c>
      <c r="BG367" s="67">
        <f t="shared" si="715"/>
        <v>0</v>
      </c>
    </row>
    <row r="368" spans="1:59" ht="21" hidden="1" customHeight="1" x14ac:dyDescent="0.3">
      <c r="A368" s="11"/>
      <c r="B368" s="181"/>
      <c r="C368" s="34"/>
      <c r="D368" s="34"/>
      <c r="E368" s="34"/>
      <c r="F368" s="34"/>
      <c r="G368" s="64"/>
      <c r="H368" s="35"/>
      <c r="I368" s="34"/>
      <c r="J368" s="66">
        <f t="shared" si="701"/>
        <v>0</v>
      </c>
      <c r="K368" s="123"/>
      <c r="M368" s="34"/>
      <c r="N368" s="66">
        <f t="shared" si="702"/>
        <v>0</v>
      </c>
      <c r="O368" s="123"/>
      <c r="Q368" s="34"/>
      <c r="R368" s="66">
        <f t="shared" si="703"/>
        <v>0</v>
      </c>
      <c r="S368" s="123"/>
      <c r="U368" s="34"/>
      <c r="V368" s="66">
        <f t="shared" si="704"/>
        <v>0</v>
      </c>
      <c r="W368" s="123"/>
      <c r="Y368" s="34"/>
      <c r="Z368" s="66">
        <f t="shared" si="705"/>
        <v>0</v>
      </c>
      <c r="AA368" s="123"/>
      <c r="AC368" s="34"/>
      <c r="AD368" s="66">
        <f t="shared" si="706"/>
        <v>0</v>
      </c>
      <c r="AE368" s="123"/>
      <c r="AG368" s="34"/>
      <c r="AH368" s="66">
        <f t="shared" si="707"/>
        <v>0</v>
      </c>
      <c r="AI368" s="123"/>
      <c r="AK368" s="34"/>
      <c r="AL368" s="66">
        <f t="shared" si="708"/>
        <v>0</v>
      </c>
      <c r="AM368" s="123"/>
      <c r="AO368" s="34"/>
      <c r="AP368" s="66">
        <f t="shared" si="709"/>
        <v>0</v>
      </c>
      <c r="AQ368" s="123"/>
      <c r="AS368" s="34"/>
      <c r="AT368" s="66">
        <f t="shared" si="710"/>
        <v>0</v>
      </c>
      <c r="AU368" s="123"/>
      <c r="AW368" s="34"/>
      <c r="AX368" s="66">
        <f t="shared" si="711"/>
        <v>0</v>
      </c>
      <c r="AY368" s="123"/>
      <c r="BA368" s="34"/>
      <c r="BB368" s="66">
        <f t="shared" si="712"/>
        <v>0</v>
      </c>
      <c r="BC368" s="123"/>
      <c r="BE368" s="67">
        <f t="shared" si="713"/>
        <v>0</v>
      </c>
      <c r="BF368" s="68">
        <f t="shared" si="714"/>
        <v>0</v>
      </c>
      <c r="BG368" s="67">
        <f t="shared" si="715"/>
        <v>0</v>
      </c>
    </row>
    <row r="369" spans="1:59" ht="21" hidden="1" customHeight="1" x14ac:dyDescent="0.3">
      <c r="A369" s="11"/>
      <c r="B369" s="181"/>
      <c r="C369" s="34"/>
      <c r="D369" s="34"/>
      <c r="E369" s="34"/>
      <c r="F369" s="34"/>
      <c r="G369" s="64"/>
      <c r="H369" s="35"/>
      <c r="I369" s="34"/>
      <c r="J369" s="66">
        <f t="shared" si="701"/>
        <v>0</v>
      </c>
      <c r="K369" s="123"/>
      <c r="M369" s="34"/>
      <c r="N369" s="66">
        <f t="shared" si="702"/>
        <v>0</v>
      </c>
      <c r="O369" s="123"/>
      <c r="Q369" s="34"/>
      <c r="R369" s="66">
        <f t="shared" si="703"/>
        <v>0</v>
      </c>
      <c r="S369" s="123"/>
      <c r="U369" s="34"/>
      <c r="V369" s="66">
        <f t="shared" si="704"/>
        <v>0</v>
      </c>
      <c r="W369" s="123"/>
      <c r="Y369" s="34"/>
      <c r="Z369" s="66">
        <f t="shared" si="705"/>
        <v>0</v>
      </c>
      <c r="AA369" s="123"/>
      <c r="AC369" s="34"/>
      <c r="AD369" s="66">
        <f t="shared" si="706"/>
        <v>0</v>
      </c>
      <c r="AE369" s="123"/>
      <c r="AG369" s="34"/>
      <c r="AH369" s="66">
        <f t="shared" si="707"/>
        <v>0</v>
      </c>
      <c r="AI369" s="123"/>
      <c r="AK369" s="34"/>
      <c r="AL369" s="66">
        <f t="shared" si="708"/>
        <v>0</v>
      </c>
      <c r="AM369" s="123"/>
      <c r="AO369" s="34"/>
      <c r="AP369" s="66">
        <f t="shared" si="709"/>
        <v>0</v>
      </c>
      <c r="AQ369" s="123"/>
      <c r="AS369" s="34"/>
      <c r="AT369" s="66">
        <f t="shared" si="710"/>
        <v>0</v>
      </c>
      <c r="AU369" s="123"/>
      <c r="AW369" s="34"/>
      <c r="AX369" s="66">
        <f t="shared" si="711"/>
        <v>0</v>
      </c>
      <c r="AY369" s="123"/>
      <c r="BA369" s="34"/>
      <c r="BB369" s="66">
        <f t="shared" si="712"/>
        <v>0</v>
      </c>
      <c r="BC369" s="123"/>
      <c r="BE369" s="67">
        <f t="shared" si="713"/>
        <v>0</v>
      </c>
      <c r="BF369" s="68">
        <f t="shared" si="714"/>
        <v>0</v>
      </c>
      <c r="BG369" s="67">
        <f t="shared" si="715"/>
        <v>0</v>
      </c>
    </row>
    <row r="370" spans="1:59" ht="21" hidden="1" customHeight="1" x14ac:dyDescent="0.3">
      <c r="A370" s="11"/>
      <c r="B370" s="181"/>
      <c r="C370" s="34"/>
      <c r="D370" s="34"/>
      <c r="E370" s="34"/>
      <c r="F370" s="34"/>
      <c r="G370" s="64"/>
      <c r="H370" s="35"/>
      <c r="I370" s="34"/>
      <c r="J370" s="66">
        <f t="shared" si="701"/>
        <v>0</v>
      </c>
      <c r="K370" s="123"/>
      <c r="M370" s="34"/>
      <c r="N370" s="66">
        <f t="shared" si="702"/>
        <v>0</v>
      </c>
      <c r="O370" s="123"/>
      <c r="Q370" s="34"/>
      <c r="R370" s="66">
        <f t="shared" si="703"/>
        <v>0</v>
      </c>
      <c r="S370" s="123"/>
      <c r="U370" s="34"/>
      <c r="V370" s="66">
        <f t="shared" si="704"/>
        <v>0</v>
      </c>
      <c r="W370" s="123"/>
      <c r="Y370" s="34"/>
      <c r="Z370" s="66">
        <f t="shared" si="705"/>
        <v>0</v>
      </c>
      <c r="AA370" s="123"/>
      <c r="AC370" s="34"/>
      <c r="AD370" s="66">
        <f t="shared" si="706"/>
        <v>0</v>
      </c>
      <c r="AE370" s="123"/>
      <c r="AG370" s="34"/>
      <c r="AH370" s="66">
        <f t="shared" si="707"/>
        <v>0</v>
      </c>
      <c r="AI370" s="123"/>
      <c r="AK370" s="34"/>
      <c r="AL370" s="66">
        <f t="shared" si="708"/>
        <v>0</v>
      </c>
      <c r="AM370" s="123"/>
      <c r="AO370" s="34"/>
      <c r="AP370" s="66">
        <f t="shared" si="709"/>
        <v>0</v>
      </c>
      <c r="AQ370" s="123"/>
      <c r="AS370" s="34"/>
      <c r="AT370" s="66">
        <f t="shared" si="710"/>
        <v>0</v>
      </c>
      <c r="AU370" s="123"/>
      <c r="AW370" s="34"/>
      <c r="AX370" s="66">
        <f t="shared" si="711"/>
        <v>0</v>
      </c>
      <c r="AY370" s="123"/>
      <c r="BA370" s="34"/>
      <c r="BB370" s="66">
        <f t="shared" si="712"/>
        <v>0</v>
      </c>
      <c r="BC370" s="123"/>
      <c r="BE370" s="67">
        <f t="shared" si="713"/>
        <v>0</v>
      </c>
      <c r="BF370" s="68">
        <f t="shared" si="714"/>
        <v>0</v>
      </c>
      <c r="BG370" s="67">
        <f t="shared" si="715"/>
        <v>0</v>
      </c>
    </row>
    <row r="371" spans="1:59" ht="21" hidden="1" customHeight="1" x14ac:dyDescent="0.3">
      <c r="A371" s="11"/>
      <c r="B371" s="181"/>
      <c r="C371" s="34"/>
      <c r="D371" s="34"/>
      <c r="E371" s="34"/>
      <c r="F371" s="34"/>
      <c r="G371" s="64"/>
      <c r="H371" s="35"/>
      <c r="I371" s="34"/>
      <c r="J371" s="66">
        <f>IFERROR(+K371/I371,0)</f>
        <v>0</v>
      </c>
      <c r="K371" s="123"/>
      <c r="M371" s="34"/>
      <c r="N371" s="66">
        <f>IFERROR(+O371/M371,0)</f>
        <v>0</v>
      </c>
      <c r="O371" s="123"/>
      <c r="Q371" s="34"/>
      <c r="R371" s="66">
        <f>IFERROR(+S371/Q371,0)</f>
        <v>0</v>
      </c>
      <c r="S371" s="123"/>
      <c r="U371" s="34"/>
      <c r="V371" s="66">
        <f>IFERROR(+W371/U371,0)</f>
        <v>0</v>
      </c>
      <c r="W371" s="123"/>
      <c r="Y371" s="34"/>
      <c r="Z371" s="66">
        <f>IFERROR(+AA371/Y371,0)</f>
        <v>0</v>
      </c>
      <c r="AA371" s="123"/>
      <c r="AC371" s="34"/>
      <c r="AD371" s="66">
        <f>IFERROR(+AE371/AC371,0)</f>
        <v>0</v>
      </c>
      <c r="AE371" s="123"/>
      <c r="AG371" s="34"/>
      <c r="AH371" s="66">
        <f>IFERROR(+AI371/AG371,0)</f>
        <v>0</v>
      </c>
      <c r="AI371" s="123"/>
      <c r="AK371" s="34"/>
      <c r="AL371" s="66">
        <f>IFERROR(+AM371/AK371,0)</f>
        <v>0</v>
      </c>
      <c r="AM371" s="123"/>
      <c r="AO371" s="34"/>
      <c r="AP371" s="66">
        <f>IFERROR(+AQ371/AO371,0)</f>
        <v>0</v>
      </c>
      <c r="AQ371" s="123"/>
      <c r="AS371" s="34"/>
      <c r="AT371" s="66">
        <f>IFERROR(+AU371/AS371,0)</f>
        <v>0</v>
      </c>
      <c r="AU371" s="123"/>
      <c r="AW371" s="34"/>
      <c r="AX371" s="66">
        <f>IFERROR(+AY371/AW371,0)</f>
        <v>0</v>
      </c>
      <c r="AY371" s="123"/>
      <c r="BA371" s="34"/>
      <c r="BB371" s="66">
        <f>IFERROR(+BC371/BA371,0)</f>
        <v>0</v>
      </c>
      <c r="BC371" s="123"/>
      <c r="BE371" s="67">
        <f>+I371+M371+Q371++U371+Y371+AC371+AG371+AK371+AO371+AS371+AW371+BA371</f>
        <v>0</v>
      </c>
      <c r="BF371" s="68">
        <f>IFERROR(+BG371/BE371,0)</f>
        <v>0</v>
      </c>
      <c r="BG371" s="67">
        <f>+K371+O371+S371+W371+AA371+AE371+AI371+AM371+AQ371+AU371+AY371+BC371</f>
        <v>0</v>
      </c>
    </row>
    <row r="372" spans="1:59" ht="21" hidden="1" customHeight="1" x14ac:dyDescent="0.3">
      <c r="A372" s="11"/>
      <c r="B372" s="314" t="s">
        <v>227</v>
      </c>
      <c r="C372" s="315"/>
      <c r="D372" s="315"/>
      <c r="E372" s="315"/>
      <c r="F372" s="315"/>
      <c r="G372" s="316"/>
      <c r="H372" s="35"/>
      <c r="I372" s="67">
        <f>SUM(I365:I371)</f>
        <v>0</v>
      </c>
      <c r="J372" s="68">
        <f t="shared" ref="J372" si="716">IFERROR(+K372/I372,0)</f>
        <v>0</v>
      </c>
      <c r="K372" s="67">
        <f>SUM(K365:K371)</f>
        <v>0</v>
      </c>
      <c r="M372" s="67">
        <f>SUM(M365:M371)</f>
        <v>0</v>
      </c>
      <c r="N372" s="68">
        <f t="shared" ref="N372" si="717">IFERROR(+O372/M372,0)</f>
        <v>0</v>
      </c>
      <c r="O372" s="67">
        <f>SUM(O365:O371)</f>
        <v>0</v>
      </c>
      <c r="Q372" s="67">
        <f>SUM(Q365:Q371)</f>
        <v>0</v>
      </c>
      <c r="R372" s="68">
        <f t="shared" ref="R372" si="718">IFERROR(+S372/Q372,0)</f>
        <v>0</v>
      </c>
      <c r="S372" s="67">
        <f>SUM(S365:S371)</f>
        <v>0</v>
      </c>
      <c r="U372" s="67">
        <f>SUM(U365:U371)</f>
        <v>0</v>
      </c>
      <c r="V372" s="68">
        <f t="shared" ref="V372" si="719">IFERROR(+W372/U372,0)</f>
        <v>0</v>
      </c>
      <c r="W372" s="67">
        <f>SUM(W365:W371)</f>
        <v>0</v>
      </c>
      <c r="Y372" s="67">
        <f>SUM(Y365:Y371)</f>
        <v>0</v>
      </c>
      <c r="Z372" s="68">
        <f t="shared" ref="Z372" si="720">IFERROR(+AA372/Y372,0)</f>
        <v>0</v>
      </c>
      <c r="AA372" s="67">
        <f>SUM(AA365:AA371)</f>
        <v>0</v>
      </c>
      <c r="AC372" s="67">
        <f>SUM(AC365:AC371)</f>
        <v>0</v>
      </c>
      <c r="AD372" s="68">
        <f t="shared" ref="AD372" si="721">IFERROR(+AE372/AC372,0)</f>
        <v>0</v>
      </c>
      <c r="AE372" s="67">
        <f>SUM(AE365:AE371)</f>
        <v>0</v>
      </c>
      <c r="AG372" s="67">
        <f>SUM(AG365:AG371)</f>
        <v>0</v>
      </c>
      <c r="AH372" s="68">
        <f t="shared" ref="AH372" si="722">IFERROR(+AI372/AG372,0)</f>
        <v>0</v>
      </c>
      <c r="AI372" s="67">
        <f>SUM(AI365:AI371)</f>
        <v>0</v>
      </c>
      <c r="AK372" s="67">
        <f>SUM(AK365:AK371)</f>
        <v>0</v>
      </c>
      <c r="AL372" s="68">
        <f t="shared" ref="AL372" si="723">IFERROR(+AM372/AK372,0)</f>
        <v>0</v>
      </c>
      <c r="AM372" s="67">
        <f>SUM(AM365:AM371)</f>
        <v>0</v>
      </c>
      <c r="AO372" s="67">
        <f>SUM(AO365:AO371)</f>
        <v>0</v>
      </c>
      <c r="AP372" s="68">
        <f t="shared" ref="AP372" si="724">IFERROR(+AQ372/AO372,0)</f>
        <v>0</v>
      </c>
      <c r="AQ372" s="67">
        <f>SUM(AQ365:AQ371)</f>
        <v>0</v>
      </c>
      <c r="AS372" s="67">
        <f>SUM(AS365:AS371)</f>
        <v>0</v>
      </c>
      <c r="AT372" s="68">
        <f t="shared" ref="AT372" si="725">IFERROR(+AU372/AS372,0)</f>
        <v>0</v>
      </c>
      <c r="AU372" s="67">
        <f>SUM(AU365:AU371)</f>
        <v>0</v>
      </c>
      <c r="AW372" s="67">
        <f>SUM(AW365:AW371)</f>
        <v>0</v>
      </c>
      <c r="AX372" s="68">
        <f t="shared" ref="AX372" si="726">IFERROR(+AY372/AW372,0)</f>
        <v>0</v>
      </c>
      <c r="AY372" s="67">
        <f>SUM(AY365:AY371)</f>
        <v>0</v>
      </c>
      <c r="BA372" s="67">
        <f>SUM(BA365:BA371)</f>
        <v>0</v>
      </c>
      <c r="BB372" s="68">
        <f t="shared" ref="BB372" si="727">IFERROR(+BC372/BA372,0)</f>
        <v>0</v>
      </c>
      <c r="BC372" s="67">
        <f>SUM(BC365:BC371)</f>
        <v>0</v>
      </c>
      <c r="BE372" s="67">
        <f>SUM(BE365:BE371)</f>
        <v>0</v>
      </c>
      <c r="BF372" s="68">
        <f t="shared" ref="BF372" si="728">IFERROR(+BG372/BE372,0)</f>
        <v>0</v>
      </c>
      <c r="BG372" s="67">
        <f>SUM(BG365:BG371)</f>
        <v>0</v>
      </c>
    </row>
    <row r="373" spans="1:59" hidden="1" x14ac:dyDescent="0.3"/>
    <row r="374" spans="1:59" ht="36" hidden="1" customHeight="1" x14ac:dyDescent="0.3">
      <c r="A374" s="11"/>
      <c r="B374" s="318" t="s">
        <v>758</v>
      </c>
      <c r="C374" s="318"/>
      <c r="D374" s="318"/>
      <c r="E374" s="318"/>
      <c r="F374" s="318"/>
      <c r="G374" s="318"/>
      <c r="H374" s="318"/>
      <c r="I374" s="318"/>
      <c r="J374" s="318"/>
    </row>
    <row r="375" spans="1:59" hidden="1" x14ac:dyDescent="0.3"/>
    <row r="376" spans="1:59" ht="21" hidden="1" customHeight="1" x14ac:dyDescent="0.3">
      <c r="A376" s="11"/>
      <c r="B376" s="312" t="s">
        <v>894</v>
      </c>
      <c r="C376" s="312" t="s">
        <v>895</v>
      </c>
      <c r="D376" s="281" t="s">
        <v>235</v>
      </c>
      <c r="E376" s="302" t="s">
        <v>232</v>
      </c>
      <c r="F376" s="305" t="s">
        <v>910</v>
      </c>
      <c r="G376" s="306"/>
      <c r="H376" s="36"/>
      <c r="I376" s="301" t="str">
        <f>+"Enero "&amp;$I$6&amp;""</f>
        <v>Enero 2025</v>
      </c>
      <c r="J376" s="301"/>
      <c r="K376" s="301"/>
      <c r="M376" s="301" t="str">
        <f>+"Febrero "&amp;$I$6&amp;""</f>
        <v>Febrero 2025</v>
      </c>
      <c r="N376" s="301"/>
      <c r="O376" s="301"/>
      <c r="Q376" s="301" t="str">
        <f>+"Marzo "&amp;$I$6&amp;""</f>
        <v>Marzo 2025</v>
      </c>
      <c r="R376" s="301"/>
      <c r="S376" s="301"/>
      <c r="U376" s="301" t="str">
        <f>+"Abril "&amp;$I$6&amp;""</f>
        <v>Abril 2025</v>
      </c>
      <c r="V376" s="301"/>
      <c r="W376" s="301"/>
      <c r="Y376" s="301" t="str">
        <f>+"Mayo "&amp;$I$6&amp;""</f>
        <v>Mayo 2025</v>
      </c>
      <c r="Z376" s="301"/>
      <c r="AA376" s="301"/>
      <c r="AC376" s="301" t="str">
        <f>+"Junio "&amp;$I$6&amp;""</f>
        <v>Junio 2025</v>
      </c>
      <c r="AD376" s="301"/>
      <c r="AE376" s="301"/>
      <c r="AG376" s="301" t="str">
        <f>+"Julio "&amp;$I$6&amp;""</f>
        <v>Julio 2025</v>
      </c>
      <c r="AH376" s="301"/>
      <c r="AI376" s="301"/>
      <c r="AK376" s="301" t="str">
        <f>+"Agosto "&amp;$I$6&amp;""</f>
        <v>Agosto 2025</v>
      </c>
      <c r="AL376" s="301"/>
      <c r="AM376" s="301"/>
      <c r="AO376" s="301" t="str">
        <f>+"Septiembre "&amp;$I$6&amp;""</f>
        <v>Septiembre 2025</v>
      </c>
      <c r="AP376" s="301"/>
      <c r="AQ376" s="301"/>
      <c r="AS376" s="301" t="str">
        <f>+"Octubre "&amp;$I$6&amp;""</f>
        <v>Octubre 2025</v>
      </c>
      <c r="AT376" s="301"/>
      <c r="AU376" s="301"/>
      <c r="AW376" s="301" t="str">
        <f>+"Noviembre "&amp;$I$6&amp;""</f>
        <v>Noviembre 2025</v>
      </c>
      <c r="AX376" s="301"/>
      <c r="AY376" s="301"/>
      <c r="BA376" s="301" t="str">
        <f>+"Diciembre "&amp;$I$6&amp;""</f>
        <v>Diciembre 2025</v>
      </c>
      <c r="BB376" s="301"/>
      <c r="BC376" s="301"/>
      <c r="BE376" s="301" t="str">
        <f>+"Acumulado "&amp;$I$6&amp;""</f>
        <v>Acumulado 2025</v>
      </c>
      <c r="BF376" s="301"/>
      <c r="BG376" s="301"/>
    </row>
    <row r="377" spans="1:59" ht="21" hidden="1" customHeight="1" x14ac:dyDescent="0.3">
      <c r="A377" s="11"/>
      <c r="B377" s="312"/>
      <c r="C377" s="312"/>
      <c r="D377" s="282"/>
      <c r="E377" s="303"/>
      <c r="F377" s="307"/>
      <c r="G377" s="308"/>
      <c r="H377" s="36"/>
      <c r="I377" s="223" t="s">
        <v>60</v>
      </c>
      <c r="J377" s="299" t="s">
        <v>61</v>
      </c>
      <c r="K377" s="223" t="s">
        <v>62</v>
      </c>
      <c r="L377" s="20"/>
      <c r="M377" s="223" t="s">
        <v>60</v>
      </c>
      <c r="N377" s="299" t="s">
        <v>61</v>
      </c>
      <c r="O377" s="223" t="s">
        <v>62</v>
      </c>
      <c r="P377" s="20"/>
      <c r="Q377" s="223" t="s">
        <v>60</v>
      </c>
      <c r="R377" s="299" t="s">
        <v>61</v>
      </c>
      <c r="S377" s="223" t="s">
        <v>62</v>
      </c>
      <c r="T377" s="20"/>
      <c r="U377" s="223" t="s">
        <v>60</v>
      </c>
      <c r="V377" s="299" t="s">
        <v>61</v>
      </c>
      <c r="W377" s="223" t="s">
        <v>62</v>
      </c>
      <c r="X377" s="20"/>
      <c r="Y377" s="223" t="s">
        <v>60</v>
      </c>
      <c r="Z377" s="299" t="s">
        <v>61</v>
      </c>
      <c r="AA377" s="223" t="s">
        <v>62</v>
      </c>
      <c r="AB377" s="20"/>
      <c r="AC377" s="223" t="s">
        <v>60</v>
      </c>
      <c r="AD377" s="299" t="s">
        <v>61</v>
      </c>
      <c r="AE377" s="223" t="s">
        <v>62</v>
      </c>
      <c r="AF377" s="20"/>
      <c r="AG377" s="223" t="s">
        <v>60</v>
      </c>
      <c r="AH377" s="299" t="s">
        <v>61</v>
      </c>
      <c r="AI377" s="223" t="s">
        <v>62</v>
      </c>
      <c r="AJ377" s="20"/>
      <c r="AK377" s="223" t="s">
        <v>60</v>
      </c>
      <c r="AL377" s="299" t="s">
        <v>61</v>
      </c>
      <c r="AM377" s="223" t="s">
        <v>62</v>
      </c>
      <c r="AN377" s="20"/>
      <c r="AO377" s="223" t="s">
        <v>60</v>
      </c>
      <c r="AP377" s="299" t="s">
        <v>61</v>
      </c>
      <c r="AQ377" s="223" t="s">
        <v>62</v>
      </c>
      <c r="AR377" s="20"/>
      <c r="AS377" s="223" t="s">
        <v>60</v>
      </c>
      <c r="AT377" s="299" t="s">
        <v>61</v>
      </c>
      <c r="AU377" s="223" t="s">
        <v>62</v>
      </c>
      <c r="AV377" s="20"/>
      <c r="AW377" s="223" t="s">
        <v>60</v>
      </c>
      <c r="AX377" s="299" t="s">
        <v>61</v>
      </c>
      <c r="AY377" s="223" t="s">
        <v>62</v>
      </c>
      <c r="AZ377" s="20"/>
      <c r="BA377" s="223" t="s">
        <v>60</v>
      </c>
      <c r="BB377" s="299" t="s">
        <v>61</v>
      </c>
      <c r="BC377" s="223" t="s">
        <v>62</v>
      </c>
      <c r="BD377" s="20"/>
      <c r="BE377" s="223" t="s">
        <v>60</v>
      </c>
      <c r="BF377" s="299" t="s">
        <v>61</v>
      </c>
      <c r="BG377" s="223" t="s">
        <v>62</v>
      </c>
    </row>
    <row r="378" spans="1:59" ht="21" hidden="1" customHeight="1" x14ac:dyDescent="0.3">
      <c r="A378" s="11"/>
      <c r="B378" s="312"/>
      <c r="C378" s="312"/>
      <c r="D378" s="283"/>
      <c r="E378" s="304"/>
      <c r="F378" s="309"/>
      <c r="G378" s="310"/>
      <c r="H378" s="36"/>
      <c r="I378" s="224" t="s">
        <v>1018</v>
      </c>
      <c r="J378" s="300"/>
      <c r="K378" s="224" t="s">
        <v>1019</v>
      </c>
      <c r="L378" s="20"/>
      <c r="M378" s="224" t="s">
        <v>1018</v>
      </c>
      <c r="N378" s="300"/>
      <c r="O378" s="224" t="s">
        <v>1019</v>
      </c>
      <c r="P378" s="20"/>
      <c r="Q378" s="224" t="s">
        <v>1018</v>
      </c>
      <c r="R378" s="300"/>
      <c r="S378" s="224" t="s">
        <v>1019</v>
      </c>
      <c r="T378" s="20"/>
      <c r="U378" s="224" t="s">
        <v>1018</v>
      </c>
      <c r="V378" s="300"/>
      <c r="W378" s="224" t="s">
        <v>1019</v>
      </c>
      <c r="X378" s="20"/>
      <c r="Y378" s="224" t="s">
        <v>1018</v>
      </c>
      <c r="Z378" s="300"/>
      <c r="AA378" s="224" t="s">
        <v>1019</v>
      </c>
      <c r="AB378" s="20"/>
      <c r="AC378" s="224" t="s">
        <v>1018</v>
      </c>
      <c r="AD378" s="300"/>
      <c r="AE378" s="224" t="s">
        <v>1019</v>
      </c>
      <c r="AF378" s="20"/>
      <c r="AG378" s="224" t="s">
        <v>1018</v>
      </c>
      <c r="AH378" s="300"/>
      <c r="AI378" s="224" t="s">
        <v>1019</v>
      </c>
      <c r="AJ378" s="20"/>
      <c r="AK378" s="224" t="s">
        <v>1018</v>
      </c>
      <c r="AL378" s="300"/>
      <c r="AM378" s="224" t="s">
        <v>1019</v>
      </c>
      <c r="AN378" s="20"/>
      <c r="AO378" s="224" t="s">
        <v>1018</v>
      </c>
      <c r="AP378" s="300"/>
      <c r="AQ378" s="224" t="s">
        <v>1019</v>
      </c>
      <c r="AR378" s="20"/>
      <c r="AS378" s="224" t="s">
        <v>1018</v>
      </c>
      <c r="AT378" s="300"/>
      <c r="AU378" s="224" t="s">
        <v>1019</v>
      </c>
      <c r="AV378" s="20"/>
      <c r="AW378" s="224" t="s">
        <v>1018</v>
      </c>
      <c r="AX378" s="300"/>
      <c r="AY378" s="224" t="s">
        <v>1019</v>
      </c>
      <c r="AZ378" s="20"/>
      <c r="BA378" s="224" t="s">
        <v>1018</v>
      </c>
      <c r="BB378" s="300"/>
      <c r="BC378" s="224" t="s">
        <v>1019</v>
      </c>
      <c r="BD378" s="20"/>
      <c r="BE378" s="224" t="s">
        <v>1018</v>
      </c>
      <c r="BF378" s="300"/>
      <c r="BG378" s="224" t="s">
        <v>1019</v>
      </c>
    </row>
    <row r="379" spans="1:59" ht="21" hidden="1" customHeight="1" x14ac:dyDescent="0.3">
      <c r="A379" s="11"/>
      <c r="B379" s="181"/>
      <c r="C379" s="34"/>
      <c r="D379" s="34"/>
      <c r="E379" s="34"/>
      <c r="F379" s="278" t="s">
        <v>911</v>
      </c>
      <c r="G379" s="279"/>
      <c r="H379" s="35"/>
      <c r="I379" s="34"/>
      <c r="J379" s="66">
        <f>IFERROR(+K379/I379,0)</f>
        <v>0</v>
      </c>
      <c r="K379" s="34"/>
      <c r="M379" s="34"/>
      <c r="N379" s="66">
        <f>IFERROR(+O379/M379,0)</f>
        <v>0</v>
      </c>
      <c r="O379" s="34"/>
      <c r="Q379" s="34"/>
      <c r="R379" s="66">
        <f>IFERROR(+S379/Q379,0)</f>
        <v>0</v>
      </c>
      <c r="S379" s="34"/>
      <c r="U379" s="34"/>
      <c r="V379" s="66">
        <f>IFERROR(+W379/U379,0)</f>
        <v>0</v>
      </c>
      <c r="W379" s="34"/>
      <c r="Y379" s="34"/>
      <c r="Z379" s="66">
        <f>IFERROR(+AA379/Y379,0)</f>
        <v>0</v>
      </c>
      <c r="AA379" s="34"/>
      <c r="AC379" s="34"/>
      <c r="AD379" s="66">
        <f>IFERROR(+AE379/AC379,0)</f>
        <v>0</v>
      </c>
      <c r="AE379" s="34"/>
      <c r="AG379" s="34"/>
      <c r="AH379" s="66">
        <f>IFERROR(+AI379/AG379,0)</f>
        <v>0</v>
      </c>
      <c r="AI379" s="34"/>
      <c r="AK379" s="34"/>
      <c r="AL379" s="66">
        <f>IFERROR(+AM379/AK379,0)</f>
        <v>0</v>
      </c>
      <c r="AM379" s="34"/>
      <c r="AO379" s="34"/>
      <c r="AP379" s="66">
        <f>IFERROR(+AQ379/AO379,0)</f>
        <v>0</v>
      </c>
      <c r="AQ379" s="34"/>
      <c r="AS379" s="34"/>
      <c r="AT379" s="66">
        <f>IFERROR(+AU379/AS379,0)</f>
        <v>0</v>
      </c>
      <c r="AU379" s="34"/>
      <c r="AW379" s="34"/>
      <c r="AX379" s="66">
        <f>IFERROR(+AY379/AW379,0)</f>
        <v>0</v>
      </c>
      <c r="AY379" s="34"/>
      <c r="BA379" s="34"/>
      <c r="BB379" s="66">
        <f>IFERROR(+BC379/BA379,0)</f>
        <v>0</v>
      </c>
      <c r="BC379" s="34"/>
      <c r="BE379" s="67">
        <f>+I379+M379+Q379++U379+Y379+AC379+AG379+AK379+AO379+AS379+AW379+BA379</f>
        <v>0</v>
      </c>
      <c r="BF379" s="68">
        <f>IFERROR(+BG379/BE379,0)</f>
        <v>0</v>
      </c>
      <c r="BG379" s="67">
        <f>+K379+O379+S379+W379+AA379+AE379+AI379+AM379+AQ379+AU379+AY379+BC379</f>
        <v>0</v>
      </c>
    </row>
    <row r="380" spans="1:59" ht="21" hidden="1" customHeight="1" x14ac:dyDescent="0.3">
      <c r="A380" s="11"/>
      <c r="B380" s="181"/>
      <c r="C380" s="34"/>
      <c r="D380" s="34"/>
      <c r="E380" s="34"/>
      <c r="F380" s="278" t="s">
        <v>911</v>
      </c>
      <c r="G380" s="279"/>
      <c r="H380" s="35"/>
      <c r="I380" s="34"/>
      <c r="J380" s="66">
        <f t="shared" ref="J380:J384" si="729">IFERROR(+K380/I380,0)</f>
        <v>0</v>
      </c>
      <c r="K380" s="34"/>
      <c r="M380" s="34"/>
      <c r="N380" s="66">
        <f t="shared" ref="N380:N384" si="730">IFERROR(+O380/M380,0)</f>
        <v>0</v>
      </c>
      <c r="O380" s="34"/>
      <c r="Q380" s="34"/>
      <c r="R380" s="66">
        <f t="shared" ref="R380:R384" si="731">IFERROR(+S380/Q380,0)</f>
        <v>0</v>
      </c>
      <c r="S380" s="34"/>
      <c r="U380" s="34"/>
      <c r="V380" s="66">
        <f t="shared" ref="V380:V384" si="732">IFERROR(+W380/U380,0)</f>
        <v>0</v>
      </c>
      <c r="W380" s="34"/>
      <c r="Y380" s="34"/>
      <c r="Z380" s="66">
        <f t="shared" ref="Z380:Z384" si="733">IFERROR(+AA380/Y380,0)</f>
        <v>0</v>
      </c>
      <c r="AA380" s="34"/>
      <c r="AC380" s="34"/>
      <c r="AD380" s="66">
        <f t="shared" ref="AD380:AD384" si="734">IFERROR(+AE380/AC380,0)</f>
        <v>0</v>
      </c>
      <c r="AE380" s="34"/>
      <c r="AG380" s="34"/>
      <c r="AH380" s="66">
        <f t="shared" ref="AH380:AH384" si="735">IFERROR(+AI380/AG380,0)</f>
        <v>0</v>
      </c>
      <c r="AI380" s="34"/>
      <c r="AK380" s="34"/>
      <c r="AL380" s="66">
        <f t="shared" ref="AL380:AL384" si="736">IFERROR(+AM380/AK380,0)</f>
        <v>0</v>
      </c>
      <c r="AM380" s="34"/>
      <c r="AO380" s="34"/>
      <c r="AP380" s="66">
        <f t="shared" ref="AP380:AP384" si="737">IFERROR(+AQ380/AO380,0)</f>
        <v>0</v>
      </c>
      <c r="AQ380" s="34"/>
      <c r="AS380" s="34"/>
      <c r="AT380" s="66">
        <f t="shared" ref="AT380:AT384" si="738">IFERROR(+AU380/AS380,0)</f>
        <v>0</v>
      </c>
      <c r="AU380" s="34"/>
      <c r="AW380" s="34"/>
      <c r="AX380" s="66">
        <f t="shared" ref="AX380:AX384" si="739">IFERROR(+AY380/AW380,0)</f>
        <v>0</v>
      </c>
      <c r="AY380" s="34"/>
      <c r="BA380" s="34"/>
      <c r="BB380" s="66">
        <f t="shared" ref="BB380:BB384" si="740">IFERROR(+BC380/BA380,0)</f>
        <v>0</v>
      </c>
      <c r="BC380" s="34"/>
      <c r="BE380" s="67">
        <f t="shared" ref="BE380:BE384" si="741">+I380+M380+Q380++U380+Y380+AC380+AG380+AK380+AO380+AS380+AW380+BA380</f>
        <v>0</v>
      </c>
      <c r="BF380" s="68">
        <f t="shared" ref="BF380:BF384" si="742">IFERROR(+BG380/BE380,0)</f>
        <v>0</v>
      </c>
      <c r="BG380" s="67">
        <f t="shared" ref="BG380:BG384" si="743">+K380+O380+S380+W380+AA380+AE380+AI380+AM380+AQ380+AU380+AY380+BC380</f>
        <v>0</v>
      </c>
    </row>
    <row r="381" spans="1:59" ht="21" hidden="1" customHeight="1" x14ac:dyDescent="0.3">
      <c r="A381" s="11"/>
      <c r="B381" s="181"/>
      <c r="C381" s="34"/>
      <c r="D381" s="34"/>
      <c r="E381" s="34"/>
      <c r="F381" s="278" t="s">
        <v>911</v>
      </c>
      <c r="G381" s="279"/>
      <c r="H381" s="35"/>
      <c r="I381" s="34"/>
      <c r="J381" s="66">
        <f t="shared" si="729"/>
        <v>0</v>
      </c>
      <c r="K381" s="34"/>
      <c r="M381" s="34"/>
      <c r="N381" s="66">
        <f t="shared" si="730"/>
        <v>0</v>
      </c>
      <c r="O381" s="34"/>
      <c r="Q381" s="34"/>
      <c r="R381" s="66">
        <f t="shared" si="731"/>
        <v>0</v>
      </c>
      <c r="S381" s="34"/>
      <c r="U381" s="34"/>
      <c r="V381" s="66">
        <f t="shared" si="732"/>
        <v>0</v>
      </c>
      <c r="W381" s="34"/>
      <c r="Y381" s="34"/>
      <c r="Z381" s="66">
        <f t="shared" si="733"/>
        <v>0</v>
      </c>
      <c r="AA381" s="34"/>
      <c r="AC381" s="34"/>
      <c r="AD381" s="66">
        <f t="shared" si="734"/>
        <v>0</v>
      </c>
      <c r="AE381" s="34"/>
      <c r="AG381" s="34"/>
      <c r="AH381" s="66">
        <f t="shared" si="735"/>
        <v>0</v>
      </c>
      <c r="AI381" s="34"/>
      <c r="AK381" s="34"/>
      <c r="AL381" s="66">
        <f t="shared" si="736"/>
        <v>0</v>
      </c>
      <c r="AM381" s="34"/>
      <c r="AO381" s="34"/>
      <c r="AP381" s="66">
        <f t="shared" si="737"/>
        <v>0</v>
      </c>
      <c r="AQ381" s="34"/>
      <c r="AS381" s="34"/>
      <c r="AT381" s="66">
        <f t="shared" si="738"/>
        <v>0</v>
      </c>
      <c r="AU381" s="34"/>
      <c r="AW381" s="34"/>
      <c r="AX381" s="66">
        <f t="shared" si="739"/>
        <v>0</v>
      </c>
      <c r="AY381" s="34"/>
      <c r="BA381" s="34"/>
      <c r="BB381" s="66">
        <f t="shared" si="740"/>
        <v>0</v>
      </c>
      <c r="BC381" s="34"/>
      <c r="BE381" s="67">
        <f t="shared" si="741"/>
        <v>0</v>
      </c>
      <c r="BF381" s="68">
        <f t="shared" si="742"/>
        <v>0</v>
      </c>
      <c r="BG381" s="67">
        <f t="shared" si="743"/>
        <v>0</v>
      </c>
    </row>
    <row r="382" spans="1:59" ht="21" hidden="1" customHeight="1" x14ac:dyDescent="0.3">
      <c r="A382" s="11"/>
      <c r="B382" s="181"/>
      <c r="C382" s="34"/>
      <c r="D382" s="34"/>
      <c r="E382" s="34"/>
      <c r="F382" s="278" t="s">
        <v>911</v>
      </c>
      <c r="G382" s="279"/>
      <c r="H382" s="35"/>
      <c r="I382" s="34"/>
      <c r="J382" s="66">
        <f t="shared" si="729"/>
        <v>0</v>
      </c>
      <c r="K382" s="34"/>
      <c r="M382" s="34"/>
      <c r="N382" s="66">
        <f t="shared" si="730"/>
        <v>0</v>
      </c>
      <c r="O382" s="34"/>
      <c r="Q382" s="34"/>
      <c r="R382" s="66">
        <f t="shared" si="731"/>
        <v>0</v>
      </c>
      <c r="S382" s="34"/>
      <c r="U382" s="34"/>
      <c r="V382" s="66">
        <f t="shared" si="732"/>
        <v>0</v>
      </c>
      <c r="W382" s="34"/>
      <c r="Y382" s="34"/>
      <c r="Z382" s="66">
        <f t="shared" si="733"/>
        <v>0</v>
      </c>
      <c r="AA382" s="34"/>
      <c r="AC382" s="34"/>
      <c r="AD382" s="66">
        <f t="shared" si="734"/>
        <v>0</v>
      </c>
      <c r="AE382" s="34"/>
      <c r="AG382" s="34"/>
      <c r="AH382" s="66">
        <f t="shared" si="735"/>
        <v>0</v>
      </c>
      <c r="AI382" s="34"/>
      <c r="AK382" s="34"/>
      <c r="AL382" s="66">
        <f t="shared" si="736"/>
        <v>0</v>
      </c>
      <c r="AM382" s="34"/>
      <c r="AO382" s="34"/>
      <c r="AP382" s="66">
        <f t="shared" si="737"/>
        <v>0</v>
      </c>
      <c r="AQ382" s="34"/>
      <c r="AS382" s="34"/>
      <c r="AT382" s="66">
        <f t="shared" si="738"/>
        <v>0</v>
      </c>
      <c r="AU382" s="34"/>
      <c r="AW382" s="34"/>
      <c r="AX382" s="66">
        <f t="shared" si="739"/>
        <v>0</v>
      </c>
      <c r="AY382" s="34"/>
      <c r="BA382" s="34"/>
      <c r="BB382" s="66">
        <f t="shared" si="740"/>
        <v>0</v>
      </c>
      <c r="BC382" s="34"/>
      <c r="BE382" s="67">
        <f t="shared" si="741"/>
        <v>0</v>
      </c>
      <c r="BF382" s="68">
        <f t="shared" si="742"/>
        <v>0</v>
      </c>
      <c r="BG382" s="67">
        <f t="shared" si="743"/>
        <v>0</v>
      </c>
    </row>
    <row r="383" spans="1:59" ht="21" hidden="1" customHeight="1" x14ac:dyDescent="0.3">
      <c r="A383" s="11"/>
      <c r="B383" s="181"/>
      <c r="C383" s="34"/>
      <c r="D383" s="34"/>
      <c r="E383" s="34"/>
      <c r="F383" s="278" t="s">
        <v>911</v>
      </c>
      <c r="G383" s="279"/>
      <c r="H383" s="35"/>
      <c r="I383" s="34"/>
      <c r="J383" s="66">
        <f t="shared" si="729"/>
        <v>0</v>
      </c>
      <c r="K383" s="34"/>
      <c r="M383" s="34"/>
      <c r="N383" s="66">
        <f t="shared" si="730"/>
        <v>0</v>
      </c>
      <c r="O383" s="34"/>
      <c r="Q383" s="34"/>
      <c r="R383" s="66">
        <f t="shared" si="731"/>
        <v>0</v>
      </c>
      <c r="S383" s="34"/>
      <c r="U383" s="34"/>
      <c r="V383" s="66">
        <f t="shared" si="732"/>
        <v>0</v>
      </c>
      <c r="W383" s="34"/>
      <c r="Y383" s="34"/>
      <c r="Z383" s="66">
        <f t="shared" si="733"/>
        <v>0</v>
      </c>
      <c r="AA383" s="34"/>
      <c r="AC383" s="34"/>
      <c r="AD383" s="66">
        <f t="shared" si="734"/>
        <v>0</v>
      </c>
      <c r="AE383" s="34"/>
      <c r="AG383" s="34"/>
      <c r="AH383" s="66">
        <f t="shared" si="735"/>
        <v>0</v>
      </c>
      <c r="AI383" s="34"/>
      <c r="AK383" s="34"/>
      <c r="AL383" s="66">
        <f t="shared" si="736"/>
        <v>0</v>
      </c>
      <c r="AM383" s="34"/>
      <c r="AO383" s="34"/>
      <c r="AP383" s="66">
        <f t="shared" si="737"/>
        <v>0</v>
      </c>
      <c r="AQ383" s="34"/>
      <c r="AS383" s="34"/>
      <c r="AT383" s="66">
        <f t="shared" si="738"/>
        <v>0</v>
      </c>
      <c r="AU383" s="34"/>
      <c r="AW383" s="34"/>
      <c r="AX383" s="66">
        <f t="shared" si="739"/>
        <v>0</v>
      </c>
      <c r="AY383" s="34"/>
      <c r="BA383" s="34"/>
      <c r="BB383" s="66">
        <f t="shared" si="740"/>
        <v>0</v>
      </c>
      <c r="BC383" s="34"/>
      <c r="BE383" s="67">
        <f t="shared" si="741"/>
        <v>0</v>
      </c>
      <c r="BF383" s="68">
        <f t="shared" si="742"/>
        <v>0</v>
      </c>
      <c r="BG383" s="67">
        <f t="shared" si="743"/>
        <v>0</v>
      </c>
    </row>
    <row r="384" spans="1:59" ht="21" hidden="1" customHeight="1" x14ac:dyDescent="0.3">
      <c r="A384" s="11"/>
      <c r="B384" s="181"/>
      <c r="C384" s="34"/>
      <c r="D384" s="34"/>
      <c r="E384" s="34"/>
      <c r="F384" s="278" t="s">
        <v>911</v>
      </c>
      <c r="G384" s="279"/>
      <c r="H384" s="35"/>
      <c r="I384" s="34"/>
      <c r="J384" s="66">
        <f t="shared" si="729"/>
        <v>0</v>
      </c>
      <c r="K384" s="34"/>
      <c r="M384" s="34"/>
      <c r="N384" s="66">
        <f t="shared" si="730"/>
        <v>0</v>
      </c>
      <c r="O384" s="34"/>
      <c r="Q384" s="34"/>
      <c r="R384" s="66">
        <f t="shared" si="731"/>
        <v>0</v>
      </c>
      <c r="S384" s="34"/>
      <c r="U384" s="34"/>
      <c r="V384" s="66">
        <f t="shared" si="732"/>
        <v>0</v>
      </c>
      <c r="W384" s="34"/>
      <c r="Y384" s="34"/>
      <c r="Z384" s="66">
        <f t="shared" si="733"/>
        <v>0</v>
      </c>
      <c r="AA384" s="34"/>
      <c r="AC384" s="34"/>
      <c r="AD384" s="66">
        <f t="shared" si="734"/>
        <v>0</v>
      </c>
      <c r="AE384" s="34"/>
      <c r="AG384" s="34"/>
      <c r="AH384" s="66">
        <f t="shared" si="735"/>
        <v>0</v>
      </c>
      <c r="AI384" s="34"/>
      <c r="AK384" s="34"/>
      <c r="AL384" s="66">
        <f t="shared" si="736"/>
        <v>0</v>
      </c>
      <c r="AM384" s="34"/>
      <c r="AO384" s="34"/>
      <c r="AP384" s="66">
        <f t="shared" si="737"/>
        <v>0</v>
      </c>
      <c r="AQ384" s="34"/>
      <c r="AS384" s="34"/>
      <c r="AT384" s="66">
        <f t="shared" si="738"/>
        <v>0</v>
      </c>
      <c r="AU384" s="34"/>
      <c r="AW384" s="34"/>
      <c r="AX384" s="66">
        <f t="shared" si="739"/>
        <v>0</v>
      </c>
      <c r="AY384" s="34"/>
      <c r="BA384" s="34"/>
      <c r="BB384" s="66">
        <f t="shared" si="740"/>
        <v>0</v>
      </c>
      <c r="BC384" s="34"/>
      <c r="BE384" s="67">
        <f t="shared" si="741"/>
        <v>0</v>
      </c>
      <c r="BF384" s="68">
        <f t="shared" si="742"/>
        <v>0</v>
      </c>
      <c r="BG384" s="67">
        <f t="shared" si="743"/>
        <v>0</v>
      </c>
    </row>
    <row r="385" spans="1:59" ht="21" hidden="1" customHeight="1" x14ac:dyDescent="0.3">
      <c r="A385" s="11"/>
      <c r="B385" s="181"/>
      <c r="C385" s="34"/>
      <c r="D385" s="34"/>
      <c r="E385" s="34"/>
      <c r="F385" s="34"/>
      <c r="G385" s="64"/>
      <c r="H385" s="35"/>
      <c r="I385" s="34"/>
      <c r="J385" s="66">
        <f>IFERROR(+K385/I385,0)</f>
        <v>0</v>
      </c>
      <c r="K385" s="34"/>
      <c r="M385" s="34"/>
      <c r="N385" s="66">
        <f>IFERROR(+O385/M385,0)</f>
        <v>0</v>
      </c>
      <c r="O385" s="34"/>
      <c r="Q385" s="34"/>
      <c r="R385" s="66">
        <f>IFERROR(+S385/Q385,0)</f>
        <v>0</v>
      </c>
      <c r="S385" s="34"/>
      <c r="U385" s="34"/>
      <c r="V385" s="66">
        <f>IFERROR(+W385/U385,0)</f>
        <v>0</v>
      </c>
      <c r="W385" s="34"/>
      <c r="Y385" s="34"/>
      <c r="Z385" s="66">
        <f>IFERROR(+AA385/Y385,0)</f>
        <v>0</v>
      </c>
      <c r="AA385" s="34"/>
      <c r="AC385" s="34"/>
      <c r="AD385" s="66">
        <f>IFERROR(+AE385/AC385,0)</f>
        <v>0</v>
      </c>
      <c r="AE385" s="34"/>
      <c r="AG385" s="34"/>
      <c r="AH385" s="66">
        <f>IFERROR(+AI385/AG385,0)</f>
        <v>0</v>
      </c>
      <c r="AI385" s="34"/>
      <c r="AK385" s="34"/>
      <c r="AL385" s="66">
        <f>IFERROR(+AM385/AK385,0)</f>
        <v>0</v>
      </c>
      <c r="AM385" s="34"/>
      <c r="AO385" s="34"/>
      <c r="AP385" s="66">
        <f>IFERROR(+AQ385/AO385,0)</f>
        <v>0</v>
      </c>
      <c r="AQ385" s="34"/>
      <c r="AS385" s="34"/>
      <c r="AT385" s="66">
        <f>IFERROR(+AU385/AS385,0)</f>
        <v>0</v>
      </c>
      <c r="AU385" s="34"/>
      <c r="AW385" s="34"/>
      <c r="AX385" s="66">
        <f>IFERROR(+AY385/AW385,0)</f>
        <v>0</v>
      </c>
      <c r="AY385" s="34"/>
      <c r="BA385" s="34"/>
      <c r="BB385" s="66">
        <f>IFERROR(+BC385/BA385,0)</f>
        <v>0</v>
      </c>
      <c r="BC385" s="34"/>
      <c r="BE385" s="67">
        <f>+I385+M385+Q385++U385+Y385+AC385+AG385+AK385+AO385+AS385+AW385+BA385</f>
        <v>0</v>
      </c>
      <c r="BF385" s="68">
        <f>IFERROR(+BG385/BE385,0)</f>
        <v>0</v>
      </c>
      <c r="BG385" s="67">
        <f>+K385+O385+S385+W385+AA385+AE385+AI385+AM385+AQ385+AU385+AY385+BC385</f>
        <v>0</v>
      </c>
    </row>
    <row r="386" spans="1:59" ht="21" hidden="1" customHeight="1" x14ac:dyDescent="0.3">
      <c r="A386" s="11"/>
      <c r="B386" s="314" t="s">
        <v>227</v>
      </c>
      <c r="C386" s="315"/>
      <c r="D386" s="315"/>
      <c r="E386" s="315"/>
      <c r="F386" s="315"/>
      <c r="G386" s="316"/>
      <c r="H386" s="35"/>
      <c r="I386" s="67">
        <f>SUM(I379:I385)</f>
        <v>0</v>
      </c>
      <c r="J386" s="68">
        <f t="shared" ref="J386" si="744">IFERROR(+K386/I386,0)</f>
        <v>0</v>
      </c>
      <c r="K386" s="67">
        <f>SUM(K379:K385)</f>
        <v>0</v>
      </c>
      <c r="M386" s="67">
        <f>SUM(M379:M385)</f>
        <v>0</v>
      </c>
      <c r="N386" s="68">
        <f t="shared" ref="N386" si="745">IFERROR(+O386/M386,0)</f>
        <v>0</v>
      </c>
      <c r="O386" s="67">
        <f>SUM(O379:O385)</f>
        <v>0</v>
      </c>
      <c r="Q386" s="67">
        <f>SUM(Q379:Q385)</f>
        <v>0</v>
      </c>
      <c r="R386" s="68">
        <f t="shared" ref="R386" si="746">IFERROR(+S386/Q386,0)</f>
        <v>0</v>
      </c>
      <c r="S386" s="67">
        <f>SUM(S379:S385)</f>
        <v>0</v>
      </c>
      <c r="U386" s="67">
        <f>SUM(U379:U385)</f>
        <v>0</v>
      </c>
      <c r="V386" s="68">
        <f t="shared" ref="V386" si="747">IFERROR(+W386/U386,0)</f>
        <v>0</v>
      </c>
      <c r="W386" s="67">
        <f>SUM(W379:W385)</f>
        <v>0</v>
      </c>
      <c r="Y386" s="67">
        <f>SUM(Y379:Y385)</f>
        <v>0</v>
      </c>
      <c r="Z386" s="68">
        <f t="shared" ref="Z386" si="748">IFERROR(+AA386/Y386,0)</f>
        <v>0</v>
      </c>
      <c r="AA386" s="67">
        <f>SUM(AA379:AA385)</f>
        <v>0</v>
      </c>
      <c r="AC386" s="67">
        <f>SUM(AC379:AC385)</f>
        <v>0</v>
      </c>
      <c r="AD386" s="68">
        <f t="shared" ref="AD386" si="749">IFERROR(+AE386/AC386,0)</f>
        <v>0</v>
      </c>
      <c r="AE386" s="67">
        <f>SUM(AE379:AE385)</f>
        <v>0</v>
      </c>
      <c r="AG386" s="67">
        <f>SUM(AG379:AG385)</f>
        <v>0</v>
      </c>
      <c r="AH386" s="68">
        <f t="shared" ref="AH386" si="750">IFERROR(+AI386/AG386,0)</f>
        <v>0</v>
      </c>
      <c r="AI386" s="67">
        <f>SUM(AI379:AI385)</f>
        <v>0</v>
      </c>
      <c r="AK386" s="67">
        <f>SUM(AK379:AK385)</f>
        <v>0</v>
      </c>
      <c r="AL386" s="68">
        <f t="shared" ref="AL386" si="751">IFERROR(+AM386/AK386,0)</f>
        <v>0</v>
      </c>
      <c r="AM386" s="67">
        <f>SUM(AM379:AM385)</f>
        <v>0</v>
      </c>
      <c r="AO386" s="67">
        <f>SUM(AO379:AO385)</f>
        <v>0</v>
      </c>
      <c r="AP386" s="68">
        <f t="shared" ref="AP386" si="752">IFERROR(+AQ386/AO386,0)</f>
        <v>0</v>
      </c>
      <c r="AQ386" s="67">
        <f>SUM(AQ379:AQ385)</f>
        <v>0</v>
      </c>
      <c r="AS386" s="67">
        <f>SUM(AS379:AS385)</f>
        <v>0</v>
      </c>
      <c r="AT386" s="68">
        <f t="shared" ref="AT386" si="753">IFERROR(+AU386/AS386,0)</f>
        <v>0</v>
      </c>
      <c r="AU386" s="67">
        <f>SUM(AU379:AU385)</f>
        <v>0</v>
      </c>
      <c r="AW386" s="67">
        <f>SUM(AW379:AW385)</f>
        <v>0</v>
      </c>
      <c r="AX386" s="68">
        <f t="shared" ref="AX386" si="754">IFERROR(+AY386/AW386,0)</f>
        <v>0</v>
      </c>
      <c r="AY386" s="67">
        <f>SUM(AY379:AY385)</f>
        <v>0</v>
      </c>
      <c r="BA386" s="67">
        <f>SUM(BA379:BA385)</f>
        <v>0</v>
      </c>
      <c r="BB386" s="68">
        <f t="shared" ref="BB386" si="755">IFERROR(+BC386/BA386,0)</f>
        <v>0</v>
      </c>
      <c r="BC386" s="67">
        <f>SUM(BC379:BC385)</f>
        <v>0</v>
      </c>
      <c r="BE386" s="67">
        <f>SUM(BE379:BE385)</f>
        <v>0</v>
      </c>
      <c r="BF386" s="68">
        <f t="shared" ref="BF386" si="756">IFERROR(+BG386/BE386,0)</f>
        <v>0</v>
      </c>
      <c r="BG386" s="67">
        <f>SUM(BG379:BG385)</f>
        <v>0</v>
      </c>
    </row>
    <row r="387" spans="1:59" hidden="1" x14ac:dyDescent="0.3"/>
    <row r="388" spans="1:59" ht="36" customHeight="1" x14ac:dyDescent="0.3">
      <c r="A388" s="11"/>
      <c r="B388" s="311" t="s">
        <v>759</v>
      </c>
      <c r="C388" s="311"/>
      <c r="D388" s="311"/>
      <c r="E388" s="311"/>
      <c r="F388" s="311"/>
      <c r="G388" s="311"/>
      <c r="H388" s="311"/>
      <c r="I388" s="311"/>
      <c r="J388" s="311"/>
    </row>
    <row r="390" spans="1:59" ht="36" hidden="1" customHeight="1" x14ac:dyDescent="0.3">
      <c r="A390" s="11"/>
      <c r="B390" s="267" t="s">
        <v>760</v>
      </c>
      <c r="C390" s="267"/>
      <c r="D390" s="267"/>
      <c r="E390" s="267"/>
      <c r="F390" s="267"/>
      <c r="G390" s="267"/>
      <c r="H390" s="267"/>
      <c r="I390" s="267"/>
      <c r="J390" s="267"/>
    </row>
    <row r="391" spans="1:59" hidden="1" x14ac:dyDescent="0.3"/>
    <row r="392" spans="1:59" ht="21" hidden="1" customHeight="1" x14ac:dyDescent="0.3">
      <c r="A392" s="11"/>
      <c r="B392" s="260" t="s">
        <v>894</v>
      </c>
      <c r="C392" s="260" t="s">
        <v>895</v>
      </c>
      <c r="D392" s="268" t="s">
        <v>235</v>
      </c>
      <c r="E392" s="264" t="s">
        <v>232</v>
      </c>
      <c r="F392" s="264" t="s">
        <v>233</v>
      </c>
      <c r="G392" s="261" t="s">
        <v>234</v>
      </c>
      <c r="H392" s="36"/>
      <c r="I392" s="271" t="str">
        <f>+"Enero "&amp;$I$6&amp;""</f>
        <v>Enero 2025</v>
      </c>
      <c r="J392" s="271"/>
      <c r="K392" s="271"/>
      <c r="M392" s="271" t="str">
        <f>+"Febrero "&amp;$I$6&amp;""</f>
        <v>Febrero 2025</v>
      </c>
      <c r="N392" s="271"/>
      <c r="O392" s="271"/>
      <c r="Q392" s="271" t="str">
        <f>+"Marzo "&amp;$I$6&amp;""</f>
        <v>Marzo 2025</v>
      </c>
      <c r="R392" s="271"/>
      <c r="S392" s="271"/>
      <c r="U392" s="271" t="str">
        <f>+"Abril "&amp;$I$6&amp;""</f>
        <v>Abril 2025</v>
      </c>
      <c r="V392" s="271"/>
      <c r="W392" s="271"/>
      <c r="Y392" s="271" t="str">
        <f>+"Mayo "&amp;$I$6&amp;""</f>
        <v>Mayo 2025</v>
      </c>
      <c r="Z392" s="271"/>
      <c r="AA392" s="271"/>
      <c r="AC392" s="271" t="str">
        <f>+"Junio "&amp;$I$6&amp;""</f>
        <v>Junio 2025</v>
      </c>
      <c r="AD392" s="271"/>
      <c r="AE392" s="271"/>
      <c r="AG392" s="271" t="str">
        <f>+"Julio "&amp;$I$6&amp;""</f>
        <v>Julio 2025</v>
      </c>
      <c r="AH392" s="271"/>
      <c r="AI392" s="271"/>
      <c r="AK392" s="271" t="str">
        <f>+"Agosto "&amp;$I$6&amp;""</f>
        <v>Agosto 2025</v>
      </c>
      <c r="AL392" s="271"/>
      <c r="AM392" s="271"/>
      <c r="AO392" s="271" t="str">
        <f>+"Septiembre "&amp;$I$6&amp;""</f>
        <v>Septiembre 2025</v>
      </c>
      <c r="AP392" s="271"/>
      <c r="AQ392" s="271"/>
      <c r="AS392" s="271" t="str">
        <f>+"Octubre "&amp;$I$6&amp;""</f>
        <v>Octubre 2025</v>
      </c>
      <c r="AT392" s="271"/>
      <c r="AU392" s="271"/>
      <c r="AW392" s="271" t="str">
        <f>+"Noviembre "&amp;$I$6&amp;""</f>
        <v>Noviembre 2025</v>
      </c>
      <c r="AX392" s="271"/>
      <c r="AY392" s="271"/>
      <c r="BA392" s="271" t="str">
        <f>+"Diciembre "&amp;$I$6&amp;""</f>
        <v>Diciembre 2025</v>
      </c>
      <c r="BB392" s="271"/>
      <c r="BC392" s="271"/>
      <c r="BE392" s="271" t="str">
        <f>+"Acumulado "&amp;$I$6&amp;""</f>
        <v>Acumulado 2025</v>
      </c>
      <c r="BF392" s="271"/>
      <c r="BG392" s="271"/>
    </row>
    <row r="393" spans="1:59" ht="21" hidden="1" customHeight="1" x14ac:dyDescent="0.3">
      <c r="A393" s="11"/>
      <c r="B393" s="260"/>
      <c r="C393" s="260"/>
      <c r="D393" s="269"/>
      <c r="E393" s="265"/>
      <c r="F393" s="265"/>
      <c r="G393" s="262"/>
      <c r="H393" s="36"/>
      <c r="I393" s="261" t="s">
        <v>60</v>
      </c>
      <c r="J393" s="261" t="s">
        <v>61</v>
      </c>
      <c r="K393" s="226" t="s">
        <v>62</v>
      </c>
      <c r="L393" s="20"/>
      <c r="M393" s="261" t="s">
        <v>60</v>
      </c>
      <c r="N393" s="261" t="s">
        <v>61</v>
      </c>
      <c r="O393" s="226" t="s">
        <v>62</v>
      </c>
      <c r="P393" s="20"/>
      <c r="Q393" s="261" t="s">
        <v>60</v>
      </c>
      <c r="R393" s="261" t="s">
        <v>61</v>
      </c>
      <c r="S393" s="226" t="s">
        <v>62</v>
      </c>
      <c r="T393" s="20"/>
      <c r="U393" s="261" t="s">
        <v>60</v>
      </c>
      <c r="V393" s="261" t="s">
        <v>61</v>
      </c>
      <c r="W393" s="226" t="s">
        <v>62</v>
      </c>
      <c r="X393" s="20"/>
      <c r="Y393" s="261" t="s">
        <v>60</v>
      </c>
      <c r="Z393" s="261" t="s">
        <v>61</v>
      </c>
      <c r="AA393" s="226" t="s">
        <v>62</v>
      </c>
      <c r="AB393" s="20"/>
      <c r="AC393" s="261" t="s">
        <v>60</v>
      </c>
      <c r="AD393" s="261" t="s">
        <v>61</v>
      </c>
      <c r="AE393" s="226" t="s">
        <v>62</v>
      </c>
      <c r="AF393" s="20"/>
      <c r="AG393" s="261" t="s">
        <v>60</v>
      </c>
      <c r="AH393" s="261" t="s">
        <v>61</v>
      </c>
      <c r="AI393" s="226" t="s">
        <v>62</v>
      </c>
      <c r="AJ393" s="20"/>
      <c r="AK393" s="261" t="s">
        <v>60</v>
      </c>
      <c r="AL393" s="261" t="s">
        <v>61</v>
      </c>
      <c r="AM393" s="226" t="s">
        <v>62</v>
      </c>
      <c r="AN393" s="20"/>
      <c r="AO393" s="261" t="s">
        <v>60</v>
      </c>
      <c r="AP393" s="261" t="s">
        <v>61</v>
      </c>
      <c r="AQ393" s="226" t="s">
        <v>62</v>
      </c>
      <c r="AR393" s="20"/>
      <c r="AS393" s="261" t="s">
        <v>60</v>
      </c>
      <c r="AT393" s="261" t="s">
        <v>61</v>
      </c>
      <c r="AU393" s="226" t="s">
        <v>62</v>
      </c>
      <c r="AV393" s="20"/>
      <c r="AW393" s="261" t="s">
        <v>60</v>
      </c>
      <c r="AX393" s="261" t="s">
        <v>61</v>
      </c>
      <c r="AY393" s="226" t="s">
        <v>62</v>
      </c>
      <c r="AZ393" s="20"/>
      <c r="BA393" s="261" t="s">
        <v>60</v>
      </c>
      <c r="BB393" s="261" t="s">
        <v>61</v>
      </c>
      <c r="BC393" s="226" t="s">
        <v>62</v>
      </c>
      <c r="BD393" s="20"/>
      <c r="BE393" s="261" t="s">
        <v>60</v>
      </c>
      <c r="BF393" s="261" t="s">
        <v>61</v>
      </c>
      <c r="BG393" s="226" t="s">
        <v>62</v>
      </c>
    </row>
    <row r="394" spans="1:59" ht="21" hidden="1" customHeight="1" x14ac:dyDescent="0.3">
      <c r="A394" s="11"/>
      <c r="B394" s="260"/>
      <c r="C394" s="260"/>
      <c r="D394" s="270"/>
      <c r="E394" s="266"/>
      <c r="F394" s="266"/>
      <c r="G394" s="263"/>
      <c r="H394" s="36"/>
      <c r="I394" s="263"/>
      <c r="J394" s="263"/>
      <c r="K394" s="227" t="s">
        <v>1020</v>
      </c>
      <c r="L394" s="20"/>
      <c r="M394" s="263"/>
      <c r="N394" s="263"/>
      <c r="O394" s="227" t="s">
        <v>1020</v>
      </c>
      <c r="P394" s="20"/>
      <c r="Q394" s="263"/>
      <c r="R394" s="263"/>
      <c r="S394" s="227" t="s">
        <v>1020</v>
      </c>
      <c r="T394" s="20"/>
      <c r="U394" s="263"/>
      <c r="V394" s="263"/>
      <c r="W394" s="227" t="s">
        <v>1020</v>
      </c>
      <c r="X394" s="20"/>
      <c r="Y394" s="263"/>
      <c r="Z394" s="263"/>
      <c r="AA394" s="227" t="s">
        <v>1020</v>
      </c>
      <c r="AB394" s="20"/>
      <c r="AC394" s="263"/>
      <c r="AD394" s="263"/>
      <c r="AE394" s="227" t="s">
        <v>1020</v>
      </c>
      <c r="AF394" s="20"/>
      <c r="AG394" s="263"/>
      <c r="AH394" s="263"/>
      <c r="AI394" s="227" t="s">
        <v>1020</v>
      </c>
      <c r="AJ394" s="20"/>
      <c r="AK394" s="263"/>
      <c r="AL394" s="263"/>
      <c r="AM394" s="227" t="s">
        <v>1020</v>
      </c>
      <c r="AN394" s="20"/>
      <c r="AO394" s="263"/>
      <c r="AP394" s="263"/>
      <c r="AQ394" s="227" t="s">
        <v>1020</v>
      </c>
      <c r="AR394" s="20"/>
      <c r="AS394" s="263"/>
      <c r="AT394" s="263"/>
      <c r="AU394" s="227" t="s">
        <v>1020</v>
      </c>
      <c r="AV394" s="20"/>
      <c r="AW394" s="263"/>
      <c r="AX394" s="263"/>
      <c r="AY394" s="227" t="s">
        <v>1020</v>
      </c>
      <c r="AZ394" s="20"/>
      <c r="BA394" s="263"/>
      <c r="BB394" s="263"/>
      <c r="BC394" s="227" t="s">
        <v>1020</v>
      </c>
      <c r="BD394" s="20"/>
      <c r="BE394" s="263"/>
      <c r="BF394" s="263"/>
      <c r="BG394" s="227" t="s">
        <v>1020</v>
      </c>
    </row>
    <row r="395" spans="1:59" ht="21" hidden="1" customHeight="1" x14ac:dyDescent="0.3">
      <c r="A395" s="11"/>
      <c r="B395" s="181"/>
      <c r="C395" s="34"/>
      <c r="D395" s="34"/>
      <c r="E395" s="34"/>
      <c r="F395" s="34"/>
      <c r="G395" s="70"/>
      <c r="H395" s="35"/>
      <c r="I395" s="34"/>
      <c r="J395" s="71">
        <f>IFERROR(+K395/I395,0)</f>
        <v>0</v>
      </c>
      <c r="K395" s="34"/>
      <c r="M395" s="34"/>
      <c r="N395" s="71">
        <f>IFERROR(+O395/M395,0)</f>
        <v>0</v>
      </c>
      <c r="O395" s="34"/>
      <c r="Q395" s="34"/>
      <c r="R395" s="71">
        <f>IFERROR(+S395/Q395,0)</f>
        <v>0</v>
      </c>
      <c r="S395" s="34"/>
      <c r="U395" s="34"/>
      <c r="V395" s="71">
        <f>IFERROR(+W395/U395,0)</f>
        <v>0</v>
      </c>
      <c r="W395" s="34"/>
      <c r="Y395" s="34"/>
      <c r="Z395" s="71">
        <f>IFERROR(+AA395/Y395,0)</f>
        <v>0</v>
      </c>
      <c r="AA395" s="69"/>
      <c r="AC395" s="34"/>
      <c r="AD395" s="71">
        <f>IFERROR(+AE395/AC395,0)</f>
        <v>0</v>
      </c>
      <c r="AE395" s="34"/>
      <c r="AG395" s="34"/>
      <c r="AH395" s="71">
        <f>IFERROR(+AI395/AG395,0)</f>
        <v>0</v>
      </c>
      <c r="AI395" s="34"/>
      <c r="AK395" s="34"/>
      <c r="AL395" s="71">
        <f>IFERROR(+AM395/AK395,0)</f>
        <v>0</v>
      </c>
      <c r="AM395" s="34"/>
      <c r="AO395" s="34"/>
      <c r="AP395" s="71">
        <f>IFERROR(+AQ395/AO395,0)</f>
        <v>0</v>
      </c>
      <c r="AQ395" s="34"/>
      <c r="AS395" s="34"/>
      <c r="AT395" s="71">
        <f>IFERROR(+AU395/AS395,0)</f>
        <v>0</v>
      </c>
      <c r="AU395" s="34"/>
      <c r="AW395" s="34"/>
      <c r="AX395" s="71">
        <f>IFERROR(+AY395/AW395,0)</f>
        <v>0</v>
      </c>
      <c r="AY395" s="34"/>
      <c r="BA395" s="34"/>
      <c r="BB395" s="71">
        <f>IFERROR(+BC395/BA395,0)</f>
        <v>0</v>
      </c>
      <c r="BC395" s="34"/>
      <c r="BE395" s="72">
        <f>+I395+M395+Q395++U395+Y395+AC395+AG395+AK395+AO395+AS395+AW395+BA395</f>
        <v>0</v>
      </c>
      <c r="BF395" s="73">
        <f>IFERROR(+BG395/BE395,0)</f>
        <v>0</v>
      </c>
      <c r="BG395" s="72">
        <f>+K395+O395+S395+W395+AA395+AE395+AI395+AM395+AQ395+AU395+AY395+BC395</f>
        <v>0</v>
      </c>
    </row>
    <row r="396" spans="1:59" ht="21" hidden="1" customHeight="1" x14ac:dyDescent="0.3">
      <c r="A396" s="11"/>
      <c r="B396" s="181"/>
      <c r="C396" s="34"/>
      <c r="D396" s="34"/>
      <c r="E396" s="34"/>
      <c r="F396" s="34"/>
      <c r="G396" s="70"/>
      <c r="H396" s="35"/>
      <c r="I396" s="34"/>
      <c r="J396" s="71">
        <f t="shared" ref="J396:J400" si="757">IFERROR(+K396/I396,0)</f>
        <v>0</v>
      </c>
      <c r="K396" s="34"/>
      <c r="M396" s="34"/>
      <c r="N396" s="71">
        <f t="shared" ref="N396:N400" si="758">IFERROR(+O396/M396,0)</f>
        <v>0</v>
      </c>
      <c r="O396" s="34"/>
      <c r="Q396" s="34"/>
      <c r="R396" s="71">
        <f t="shared" ref="R396:R400" si="759">IFERROR(+S396/Q396,0)</f>
        <v>0</v>
      </c>
      <c r="S396" s="34"/>
      <c r="U396" s="34"/>
      <c r="V396" s="71">
        <f t="shared" ref="V396:V400" si="760">IFERROR(+W396/U396,0)</f>
        <v>0</v>
      </c>
      <c r="W396" s="34"/>
      <c r="Y396" s="34"/>
      <c r="Z396" s="71">
        <f t="shared" ref="Z396:Z400" si="761">IFERROR(+AA396/Y396,0)</f>
        <v>0</v>
      </c>
      <c r="AA396" s="69"/>
      <c r="AC396" s="34"/>
      <c r="AD396" s="71">
        <f t="shared" ref="AD396:AD400" si="762">IFERROR(+AE396/AC396,0)</f>
        <v>0</v>
      </c>
      <c r="AE396" s="34"/>
      <c r="AG396" s="34"/>
      <c r="AH396" s="71">
        <f t="shared" ref="AH396:AH400" si="763">IFERROR(+AI396/AG396,0)</f>
        <v>0</v>
      </c>
      <c r="AI396" s="34"/>
      <c r="AK396" s="34"/>
      <c r="AL396" s="71">
        <f t="shared" ref="AL396:AL400" si="764">IFERROR(+AM396/AK396,0)</f>
        <v>0</v>
      </c>
      <c r="AM396" s="34"/>
      <c r="AO396" s="34"/>
      <c r="AP396" s="71">
        <f t="shared" ref="AP396:AP400" si="765">IFERROR(+AQ396/AO396,0)</f>
        <v>0</v>
      </c>
      <c r="AQ396" s="34"/>
      <c r="AS396" s="34"/>
      <c r="AT396" s="71">
        <f t="shared" ref="AT396:AT400" si="766">IFERROR(+AU396/AS396,0)</f>
        <v>0</v>
      </c>
      <c r="AU396" s="34"/>
      <c r="AW396" s="34"/>
      <c r="AX396" s="71">
        <f t="shared" ref="AX396:AX400" si="767">IFERROR(+AY396/AW396,0)</f>
        <v>0</v>
      </c>
      <c r="AY396" s="34"/>
      <c r="BA396" s="34"/>
      <c r="BB396" s="71">
        <f t="shared" ref="BB396:BB400" si="768">IFERROR(+BC396/BA396,0)</f>
        <v>0</v>
      </c>
      <c r="BC396" s="34"/>
      <c r="BE396" s="72">
        <f t="shared" ref="BE396:BE400" si="769">+I396+M396+Q396++U396+Y396+AC396+AG396+AK396+AO396+AS396+AW396+BA396</f>
        <v>0</v>
      </c>
      <c r="BF396" s="73">
        <f t="shared" ref="BF396:BF400" si="770">IFERROR(+BG396/BE396,0)</f>
        <v>0</v>
      </c>
      <c r="BG396" s="72">
        <f t="shared" ref="BG396:BG400" si="771">+K396+O396+S396+W396+AA396+AE396+AI396+AM396+AQ396+AU396+AY396+BC396</f>
        <v>0</v>
      </c>
    </row>
    <row r="397" spans="1:59" ht="21" hidden="1" customHeight="1" x14ac:dyDescent="0.3">
      <c r="A397" s="11"/>
      <c r="B397" s="181"/>
      <c r="C397" s="34"/>
      <c r="D397" s="34"/>
      <c r="E397" s="34"/>
      <c r="F397" s="34"/>
      <c r="G397" s="70"/>
      <c r="H397" s="35"/>
      <c r="I397" s="34"/>
      <c r="J397" s="71">
        <f t="shared" si="757"/>
        <v>0</v>
      </c>
      <c r="K397" s="34"/>
      <c r="M397" s="34"/>
      <c r="N397" s="71">
        <f t="shared" si="758"/>
        <v>0</v>
      </c>
      <c r="O397" s="34"/>
      <c r="Q397" s="34"/>
      <c r="R397" s="71">
        <f t="shared" si="759"/>
        <v>0</v>
      </c>
      <c r="S397" s="34"/>
      <c r="U397" s="34"/>
      <c r="V397" s="71">
        <f t="shared" si="760"/>
        <v>0</v>
      </c>
      <c r="W397" s="34"/>
      <c r="Y397" s="34"/>
      <c r="Z397" s="71">
        <f t="shared" si="761"/>
        <v>0</v>
      </c>
      <c r="AA397" s="69"/>
      <c r="AC397" s="34"/>
      <c r="AD397" s="71">
        <f t="shared" si="762"/>
        <v>0</v>
      </c>
      <c r="AE397" s="34"/>
      <c r="AG397" s="34"/>
      <c r="AH397" s="71">
        <f t="shared" si="763"/>
        <v>0</v>
      </c>
      <c r="AI397" s="34"/>
      <c r="AK397" s="34"/>
      <c r="AL397" s="71">
        <f t="shared" si="764"/>
        <v>0</v>
      </c>
      <c r="AM397" s="34"/>
      <c r="AO397" s="34"/>
      <c r="AP397" s="71">
        <f t="shared" si="765"/>
        <v>0</v>
      </c>
      <c r="AQ397" s="34"/>
      <c r="AS397" s="34"/>
      <c r="AT397" s="71">
        <f t="shared" si="766"/>
        <v>0</v>
      </c>
      <c r="AU397" s="34"/>
      <c r="AW397" s="34"/>
      <c r="AX397" s="71">
        <f t="shared" si="767"/>
        <v>0</v>
      </c>
      <c r="AY397" s="34"/>
      <c r="BA397" s="34"/>
      <c r="BB397" s="71">
        <f t="shared" si="768"/>
        <v>0</v>
      </c>
      <c r="BC397" s="34"/>
      <c r="BE397" s="72">
        <f t="shared" si="769"/>
        <v>0</v>
      </c>
      <c r="BF397" s="73">
        <f t="shared" si="770"/>
        <v>0</v>
      </c>
      <c r="BG397" s="72">
        <f t="shared" si="771"/>
        <v>0</v>
      </c>
    </row>
    <row r="398" spans="1:59" ht="21" hidden="1" customHeight="1" x14ac:dyDescent="0.3">
      <c r="A398" s="11"/>
      <c r="B398" s="181"/>
      <c r="C398" s="34"/>
      <c r="D398" s="34"/>
      <c r="E398" s="34"/>
      <c r="F398" s="34"/>
      <c r="G398" s="70"/>
      <c r="H398" s="35"/>
      <c r="I398" s="34"/>
      <c r="J398" s="71">
        <f t="shared" si="757"/>
        <v>0</v>
      </c>
      <c r="K398" s="34"/>
      <c r="M398" s="34"/>
      <c r="N398" s="71">
        <f t="shared" si="758"/>
        <v>0</v>
      </c>
      <c r="O398" s="34"/>
      <c r="Q398" s="34"/>
      <c r="R398" s="71">
        <f t="shared" si="759"/>
        <v>0</v>
      </c>
      <c r="S398" s="34"/>
      <c r="U398" s="34"/>
      <c r="V398" s="71">
        <f t="shared" si="760"/>
        <v>0</v>
      </c>
      <c r="W398" s="34"/>
      <c r="Y398" s="34"/>
      <c r="Z398" s="71">
        <f t="shared" si="761"/>
        <v>0</v>
      </c>
      <c r="AA398" s="69"/>
      <c r="AC398" s="34"/>
      <c r="AD398" s="71">
        <f t="shared" si="762"/>
        <v>0</v>
      </c>
      <c r="AE398" s="34"/>
      <c r="AG398" s="34"/>
      <c r="AH398" s="71">
        <f t="shared" si="763"/>
        <v>0</v>
      </c>
      <c r="AI398" s="34"/>
      <c r="AK398" s="34"/>
      <c r="AL398" s="71">
        <f t="shared" si="764"/>
        <v>0</v>
      </c>
      <c r="AM398" s="34"/>
      <c r="AO398" s="34"/>
      <c r="AP398" s="71">
        <f t="shared" si="765"/>
        <v>0</v>
      </c>
      <c r="AQ398" s="34"/>
      <c r="AS398" s="34"/>
      <c r="AT398" s="71">
        <f t="shared" si="766"/>
        <v>0</v>
      </c>
      <c r="AU398" s="34"/>
      <c r="AW398" s="34"/>
      <c r="AX398" s="71">
        <f t="shared" si="767"/>
        <v>0</v>
      </c>
      <c r="AY398" s="34"/>
      <c r="BA398" s="34"/>
      <c r="BB398" s="71">
        <f t="shared" si="768"/>
        <v>0</v>
      </c>
      <c r="BC398" s="34"/>
      <c r="BE398" s="72">
        <f t="shared" si="769"/>
        <v>0</v>
      </c>
      <c r="BF398" s="73">
        <f t="shared" si="770"/>
        <v>0</v>
      </c>
      <c r="BG398" s="72">
        <f t="shared" si="771"/>
        <v>0</v>
      </c>
    </row>
    <row r="399" spans="1:59" ht="21" hidden="1" customHeight="1" x14ac:dyDescent="0.3">
      <c r="A399" s="11"/>
      <c r="B399" s="181"/>
      <c r="C399" s="34"/>
      <c r="D399" s="34"/>
      <c r="E399" s="34"/>
      <c r="F399" s="34"/>
      <c r="G399" s="70"/>
      <c r="H399" s="35"/>
      <c r="I399" s="34"/>
      <c r="J399" s="71">
        <f t="shared" si="757"/>
        <v>0</v>
      </c>
      <c r="K399" s="34"/>
      <c r="M399" s="34"/>
      <c r="N399" s="71">
        <f t="shared" si="758"/>
        <v>0</v>
      </c>
      <c r="O399" s="34"/>
      <c r="Q399" s="34"/>
      <c r="R399" s="71">
        <f t="shared" si="759"/>
        <v>0</v>
      </c>
      <c r="S399" s="34"/>
      <c r="U399" s="34"/>
      <c r="V399" s="71">
        <f t="shared" si="760"/>
        <v>0</v>
      </c>
      <c r="W399" s="34"/>
      <c r="Y399" s="34"/>
      <c r="Z399" s="71">
        <f t="shared" si="761"/>
        <v>0</v>
      </c>
      <c r="AA399" s="69"/>
      <c r="AC399" s="34"/>
      <c r="AD399" s="71">
        <f t="shared" si="762"/>
        <v>0</v>
      </c>
      <c r="AE399" s="34"/>
      <c r="AG399" s="34"/>
      <c r="AH399" s="71">
        <f t="shared" si="763"/>
        <v>0</v>
      </c>
      <c r="AI399" s="34"/>
      <c r="AK399" s="34"/>
      <c r="AL399" s="71">
        <f t="shared" si="764"/>
        <v>0</v>
      </c>
      <c r="AM399" s="34"/>
      <c r="AO399" s="34"/>
      <c r="AP399" s="71">
        <f t="shared" si="765"/>
        <v>0</v>
      </c>
      <c r="AQ399" s="34"/>
      <c r="AS399" s="34"/>
      <c r="AT399" s="71">
        <f t="shared" si="766"/>
        <v>0</v>
      </c>
      <c r="AU399" s="34"/>
      <c r="AW399" s="34"/>
      <c r="AX399" s="71">
        <f t="shared" si="767"/>
        <v>0</v>
      </c>
      <c r="AY399" s="34"/>
      <c r="BA399" s="34"/>
      <c r="BB399" s="71">
        <f t="shared" si="768"/>
        <v>0</v>
      </c>
      <c r="BC399" s="34"/>
      <c r="BE399" s="72">
        <f t="shared" si="769"/>
        <v>0</v>
      </c>
      <c r="BF399" s="73">
        <f t="shared" si="770"/>
        <v>0</v>
      </c>
      <c r="BG399" s="72">
        <f t="shared" si="771"/>
        <v>0</v>
      </c>
    </row>
    <row r="400" spans="1:59" ht="21" hidden="1" customHeight="1" x14ac:dyDescent="0.3">
      <c r="A400" s="11"/>
      <c r="B400" s="181"/>
      <c r="C400" s="34"/>
      <c r="D400" s="34"/>
      <c r="E400" s="34"/>
      <c r="F400" s="34"/>
      <c r="G400" s="70"/>
      <c r="H400" s="35"/>
      <c r="I400" s="34"/>
      <c r="J400" s="71">
        <f t="shared" si="757"/>
        <v>0</v>
      </c>
      <c r="K400" s="34"/>
      <c r="M400" s="34"/>
      <c r="N400" s="71">
        <f t="shared" si="758"/>
        <v>0</v>
      </c>
      <c r="O400" s="34"/>
      <c r="Q400" s="34"/>
      <c r="R400" s="71">
        <f t="shared" si="759"/>
        <v>0</v>
      </c>
      <c r="S400" s="34"/>
      <c r="U400" s="34"/>
      <c r="V400" s="71">
        <f t="shared" si="760"/>
        <v>0</v>
      </c>
      <c r="W400" s="34"/>
      <c r="Y400" s="34"/>
      <c r="Z400" s="71">
        <f t="shared" si="761"/>
        <v>0</v>
      </c>
      <c r="AA400" s="69"/>
      <c r="AC400" s="34"/>
      <c r="AD400" s="71">
        <f t="shared" si="762"/>
        <v>0</v>
      </c>
      <c r="AE400" s="34"/>
      <c r="AG400" s="34"/>
      <c r="AH400" s="71">
        <f t="shared" si="763"/>
        <v>0</v>
      </c>
      <c r="AI400" s="34"/>
      <c r="AK400" s="34"/>
      <c r="AL400" s="71">
        <f t="shared" si="764"/>
        <v>0</v>
      </c>
      <c r="AM400" s="34"/>
      <c r="AO400" s="34"/>
      <c r="AP400" s="71">
        <f t="shared" si="765"/>
        <v>0</v>
      </c>
      <c r="AQ400" s="34"/>
      <c r="AS400" s="34"/>
      <c r="AT400" s="71">
        <f t="shared" si="766"/>
        <v>0</v>
      </c>
      <c r="AU400" s="34"/>
      <c r="AW400" s="34"/>
      <c r="AX400" s="71">
        <f t="shared" si="767"/>
        <v>0</v>
      </c>
      <c r="AY400" s="34"/>
      <c r="BA400" s="34"/>
      <c r="BB400" s="71">
        <f t="shared" si="768"/>
        <v>0</v>
      </c>
      <c r="BC400" s="34"/>
      <c r="BE400" s="72">
        <f t="shared" si="769"/>
        <v>0</v>
      </c>
      <c r="BF400" s="73">
        <f t="shared" si="770"/>
        <v>0</v>
      </c>
      <c r="BG400" s="72">
        <f t="shared" si="771"/>
        <v>0</v>
      </c>
    </row>
    <row r="401" spans="1:59" ht="21" hidden="1" customHeight="1" x14ac:dyDescent="0.3">
      <c r="A401" s="11"/>
      <c r="B401" s="181"/>
      <c r="C401" s="34"/>
      <c r="D401" s="34"/>
      <c r="E401" s="34"/>
      <c r="F401" s="34"/>
      <c r="G401" s="70"/>
      <c r="H401" s="35"/>
      <c r="I401" s="34"/>
      <c r="J401" s="71">
        <f>IFERROR(+K401/I401,0)</f>
        <v>0</v>
      </c>
      <c r="K401" s="34"/>
      <c r="M401" s="34"/>
      <c r="N401" s="71">
        <f>IFERROR(+O401/M401,0)</f>
        <v>0</v>
      </c>
      <c r="O401" s="34"/>
      <c r="Q401" s="34"/>
      <c r="R401" s="71">
        <f>IFERROR(+S401/Q401,0)</f>
        <v>0</v>
      </c>
      <c r="S401" s="34"/>
      <c r="U401" s="34"/>
      <c r="V401" s="71">
        <f>IFERROR(+W401/U401,0)</f>
        <v>0</v>
      </c>
      <c r="W401" s="34"/>
      <c r="Y401" s="34"/>
      <c r="Z401" s="71">
        <f>IFERROR(+AA401/Y401,0)</f>
        <v>0</v>
      </c>
      <c r="AA401" s="69"/>
      <c r="AC401" s="34"/>
      <c r="AD401" s="71">
        <f>IFERROR(+AE401/AC401,0)</f>
        <v>0</v>
      </c>
      <c r="AE401" s="34"/>
      <c r="AG401" s="34"/>
      <c r="AH401" s="71">
        <f>IFERROR(+AI401/AG401,0)</f>
        <v>0</v>
      </c>
      <c r="AI401" s="34"/>
      <c r="AK401" s="34"/>
      <c r="AL401" s="71">
        <f>IFERROR(+AM401/AK401,0)</f>
        <v>0</v>
      </c>
      <c r="AM401" s="34"/>
      <c r="AO401" s="34"/>
      <c r="AP401" s="71">
        <f>IFERROR(+AQ401/AO401,0)</f>
        <v>0</v>
      </c>
      <c r="AQ401" s="34"/>
      <c r="AS401" s="34"/>
      <c r="AT401" s="71">
        <f>IFERROR(+AU401/AS401,0)</f>
        <v>0</v>
      </c>
      <c r="AU401" s="34"/>
      <c r="AW401" s="34"/>
      <c r="AX401" s="71">
        <f>IFERROR(+AY401/AW401,0)</f>
        <v>0</v>
      </c>
      <c r="AY401" s="34"/>
      <c r="BA401" s="34"/>
      <c r="BB401" s="71">
        <f>IFERROR(+BC401/BA401,0)</f>
        <v>0</v>
      </c>
      <c r="BC401" s="34"/>
      <c r="BE401" s="72">
        <f>+I401+M401+Q401++U401+Y401+AC401+AG401+AK401+AO401+AS401+AW401+BA401</f>
        <v>0</v>
      </c>
      <c r="BF401" s="73">
        <f>IFERROR(+BG401/BE401,0)</f>
        <v>0</v>
      </c>
      <c r="BG401" s="72">
        <f>+K401+O401+S401+W401+AA401+AE401+AI401+AM401+AQ401+AU401+AY401+BC401</f>
        <v>0</v>
      </c>
    </row>
    <row r="402" spans="1:59" ht="21" hidden="1" customHeight="1" x14ac:dyDescent="0.3">
      <c r="A402" s="11"/>
      <c r="B402" s="272" t="s">
        <v>227</v>
      </c>
      <c r="C402" s="273"/>
      <c r="D402" s="273"/>
      <c r="E402" s="273"/>
      <c r="F402" s="273"/>
      <c r="G402" s="274"/>
      <c r="H402" s="35"/>
      <c r="I402" s="72">
        <f>SUM(I395:I401)</f>
        <v>0</v>
      </c>
      <c r="J402" s="73">
        <f t="shared" ref="J402" si="772">IFERROR(+K402/I402,0)</f>
        <v>0</v>
      </c>
      <c r="K402" s="72">
        <f>SUM(K395:K401)</f>
        <v>0</v>
      </c>
      <c r="M402" s="72">
        <f>SUM(M395:M401)</f>
        <v>0</v>
      </c>
      <c r="N402" s="73">
        <f t="shared" ref="N402" si="773">IFERROR(+O402/M402,0)</f>
        <v>0</v>
      </c>
      <c r="O402" s="72">
        <f>SUM(O395:O401)</f>
        <v>0</v>
      </c>
      <c r="Q402" s="72">
        <f>SUM(Q395:Q401)</f>
        <v>0</v>
      </c>
      <c r="R402" s="73">
        <f t="shared" ref="R402" si="774">IFERROR(+S402/Q402,0)</f>
        <v>0</v>
      </c>
      <c r="S402" s="72">
        <f>SUM(S395:S401)</f>
        <v>0</v>
      </c>
      <c r="U402" s="72">
        <f>SUM(U395:U401)</f>
        <v>0</v>
      </c>
      <c r="V402" s="73">
        <f t="shared" ref="V402" si="775">IFERROR(+W402/U402,0)</f>
        <v>0</v>
      </c>
      <c r="W402" s="72">
        <f>SUM(W395:W401)</f>
        <v>0</v>
      </c>
      <c r="Y402" s="72">
        <f>SUM(Y395:Y401)</f>
        <v>0</v>
      </c>
      <c r="Z402" s="73">
        <f t="shared" ref="Z402" si="776">IFERROR(+AA402/Y402,0)</f>
        <v>0</v>
      </c>
      <c r="AA402" s="72">
        <f>SUM(AA395:AA401)</f>
        <v>0</v>
      </c>
      <c r="AC402" s="72">
        <f>SUM(AC395:AC401)</f>
        <v>0</v>
      </c>
      <c r="AD402" s="73">
        <f t="shared" ref="AD402" si="777">IFERROR(+AE402/AC402,0)</f>
        <v>0</v>
      </c>
      <c r="AE402" s="72">
        <f>SUM(AE395:AE401)</f>
        <v>0</v>
      </c>
      <c r="AG402" s="72">
        <f>SUM(AG395:AG401)</f>
        <v>0</v>
      </c>
      <c r="AH402" s="73">
        <f t="shared" ref="AH402" si="778">IFERROR(+AI402/AG402,0)</f>
        <v>0</v>
      </c>
      <c r="AI402" s="72">
        <f>SUM(AI395:AI401)</f>
        <v>0</v>
      </c>
      <c r="AK402" s="72">
        <f>SUM(AK395:AK401)</f>
        <v>0</v>
      </c>
      <c r="AL402" s="73">
        <f t="shared" ref="AL402" si="779">IFERROR(+AM402/AK402,0)</f>
        <v>0</v>
      </c>
      <c r="AM402" s="72">
        <f>SUM(AM395:AM401)</f>
        <v>0</v>
      </c>
      <c r="AO402" s="72">
        <f>SUM(AO395:AO401)</f>
        <v>0</v>
      </c>
      <c r="AP402" s="73">
        <f t="shared" ref="AP402" si="780">IFERROR(+AQ402/AO402,0)</f>
        <v>0</v>
      </c>
      <c r="AQ402" s="72">
        <f>SUM(AQ395:AQ401)</f>
        <v>0</v>
      </c>
      <c r="AS402" s="72">
        <f>SUM(AS395:AS401)</f>
        <v>0</v>
      </c>
      <c r="AT402" s="73">
        <f t="shared" ref="AT402" si="781">IFERROR(+AU402/AS402,0)</f>
        <v>0</v>
      </c>
      <c r="AU402" s="72">
        <f>SUM(AU395:AU401)</f>
        <v>0</v>
      </c>
      <c r="AW402" s="72">
        <f>SUM(AW395:AW401)</f>
        <v>0</v>
      </c>
      <c r="AX402" s="73">
        <f t="shared" ref="AX402" si="782">IFERROR(+AY402/AW402,0)</f>
        <v>0</v>
      </c>
      <c r="AY402" s="72">
        <f>SUM(AY395:AY401)</f>
        <v>0</v>
      </c>
      <c r="BA402" s="72">
        <f>SUM(BA395:BA401)</f>
        <v>0</v>
      </c>
      <c r="BB402" s="73">
        <f t="shared" ref="BB402" si="783">IFERROR(+BC402/BA402,0)</f>
        <v>0</v>
      </c>
      <c r="BC402" s="72">
        <f>SUM(BC395:BC401)</f>
        <v>0</v>
      </c>
      <c r="BE402" s="72">
        <f>SUM(BE395:BE401)</f>
        <v>0</v>
      </c>
      <c r="BF402" s="73">
        <f t="shared" ref="BF402" si="784">IFERROR(+BG402/BE402,0)</f>
        <v>0</v>
      </c>
      <c r="BG402" s="72">
        <f>SUM(BG395:BG401)</f>
        <v>0</v>
      </c>
    </row>
    <row r="403" spans="1:59" hidden="1" x14ac:dyDescent="0.3"/>
    <row r="404" spans="1:59" ht="36" hidden="1" customHeight="1" x14ac:dyDescent="0.3">
      <c r="A404" s="11"/>
      <c r="B404" s="267" t="s">
        <v>830</v>
      </c>
      <c r="C404" s="267"/>
      <c r="D404" s="267"/>
      <c r="E404" s="267"/>
      <c r="F404" s="267"/>
      <c r="G404" s="267"/>
      <c r="H404" s="267"/>
      <c r="I404" s="267"/>
      <c r="J404" s="267"/>
    </row>
    <row r="405" spans="1:59" hidden="1" x14ac:dyDescent="0.3"/>
    <row r="406" spans="1:59" ht="21" hidden="1" customHeight="1" x14ac:dyDescent="0.3">
      <c r="A406" s="11"/>
      <c r="B406" s="260" t="s">
        <v>894</v>
      </c>
      <c r="C406" s="260" t="s">
        <v>895</v>
      </c>
      <c r="D406" s="268" t="s">
        <v>235</v>
      </c>
      <c r="E406" s="264" t="s">
        <v>232</v>
      </c>
      <c r="F406" s="264" t="s">
        <v>233</v>
      </c>
      <c r="G406" s="261" t="s">
        <v>234</v>
      </c>
      <c r="H406" s="36"/>
      <c r="I406" s="271" t="str">
        <f>+"Enero "&amp;$I$6&amp;""</f>
        <v>Enero 2025</v>
      </c>
      <c r="J406" s="271"/>
      <c r="K406" s="271"/>
      <c r="M406" s="271" t="str">
        <f>+"Febrero "&amp;$I$6&amp;""</f>
        <v>Febrero 2025</v>
      </c>
      <c r="N406" s="271"/>
      <c r="O406" s="271"/>
      <c r="Q406" s="271" t="str">
        <f>+"Marzo "&amp;$I$6&amp;""</f>
        <v>Marzo 2025</v>
      </c>
      <c r="R406" s="271"/>
      <c r="S406" s="271"/>
      <c r="U406" s="271" t="str">
        <f>+"Abril "&amp;$I$6&amp;""</f>
        <v>Abril 2025</v>
      </c>
      <c r="V406" s="271"/>
      <c r="W406" s="271"/>
      <c r="Y406" s="271" t="str">
        <f>+"Mayo "&amp;$I$6&amp;""</f>
        <v>Mayo 2025</v>
      </c>
      <c r="Z406" s="271"/>
      <c r="AA406" s="271"/>
      <c r="AC406" s="271" t="str">
        <f>+"Junio "&amp;$I$6&amp;""</f>
        <v>Junio 2025</v>
      </c>
      <c r="AD406" s="271"/>
      <c r="AE406" s="271"/>
      <c r="AG406" s="271" t="str">
        <f>+"Julio "&amp;$I$6&amp;""</f>
        <v>Julio 2025</v>
      </c>
      <c r="AH406" s="271"/>
      <c r="AI406" s="271"/>
      <c r="AK406" s="271" t="str">
        <f>+"Agosto "&amp;$I$6&amp;""</f>
        <v>Agosto 2025</v>
      </c>
      <c r="AL406" s="271"/>
      <c r="AM406" s="271"/>
      <c r="AO406" s="271" t="str">
        <f>+"Septiembre "&amp;$I$6&amp;""</f>
        <v>Septiembre 2025</v>
      </c>
      <c r="AP406" s="271"/>
      <c r="AQ406" s="271"/>
      <c r="AS406" s="271" t="str">
        <f>+"Octubre "&amp;$I$6&amp;""</f>
        <v>Octubre 2025</v>
      </c>
      <c r="AT406" s="271"/>
      <c r="AU406" s="271"/>
      <c r="AW406" s="271" t="str">
        <f>+"Noviembre "&amp;$I$6&amp;""</f>
        <v>Noviembre 2025</v>
      </c>
      <c r="AX406" s="271"/>
      <c r="AY406" s="271"/>
      <c r="BA406" s="271" t="str">
        <f>+"Diciembre "&amp;$I$6&amp;""</f>
        <v>Diciembre 2025</v>
      </c>
      <c r="BB406" s="271"/>
      <c r="BC406" s="271"/>
      <c r="BE406" s="271" t="str">
        <f>+"Acumulado "&amp;$I$6&amp;""</f>
        <v>Acumulado 2025</v>
      </c>
      <c r="BF406" s="271"/>
      <c r="BG406" s="271"/>
    </row>
    <row r="407" spans="1:59" ht="21" hidden="1" customHeight="1" x14ac:dyDescent="0.3">
      <c r="A407" s="11"/>
      <c r="B407" s="260"/>
      <c r="C407" s="260"/>
      <c r="D407" s="269"/>
      <c r="E407" s="265"/>
      <c r="F407" s="265"/>
      <c r="G407" s="262"/>
      <c r="H407" s="36"/>
      <c r="I407" s="261" t="s">
        <v>60</v>
      </c>
      <c r="J407" s="261" t="s">
        <v>61</v>
      </c>
      <c r="K407" s="226" t="s">
        <v>62</v>
      </c>
      <c r="L407" s="20"/>
      <c r="M407" s="261" t="s">
        <v>60</v>
      </c>
      <c r="N407" s="261" t="s">
        <v>61</v>
      </c>
      <c r="O407" s="226" t="s">
        <v>62</v>
      </c>
      <c r="P407" s="20"/>
      <c r="Q407" s="261" t="s">
        <v>60</v>
      </c>
      <c r="R407" s="261" t="s">
        <v>61</v>
      </c>
      <c r="S407" s="226" t="s">
        <v>62</v>
      </c>
      <c r="T407" s="20"/>
      <c r="U407" s="261" t="s">
        <v>60</v>
      </c>
      <c r="V407" s="261" t="s">
        <v>61</v>
      </c>
      <c r="W407" s="226" t="s">
        <v>62</v>
      </c>
      <c r="X407" s="20"/>
      <c r="Y407" s="261" t="s">
        <v>60</v>
      </c>
      <c r="Z407" s="261" t="s">
        <v>61</v>
      </c>
      <c r="AA407" s="226" t="s">
        <v>62</v>
      </c>
      <c r="AB407" s="20"/>
      <c r="AC407" s="261" t="s">
        <v>60</v>
      </c>
      <c r="AD407" s="261" t="s">
        <v>61</v>
      </c>
      <c r="AE407" s="226" t="s">
        <v>62</v>
      </c>
      <c r="AF407" s="20"/>
      <c r="AG407" s="261" t="s">
        <v>60</v>
      </c>
      <c r="AH407" s="261" t="s">
        <v>61</v>
      </c>
      <c r="AI407" s="226" t="s">
        <v>62</v>
      </c>
      <c r="AJ407" s="20"/>
      <c r="AK407" s="261" t="s">
        <v>60</v>
      </c>
      <c r="AL407" s="261" t="s">
        <v>61</v>
      </c>
      <c r="AM407" s="226" t="s">
        <v>62</v>
      </c>
      <c r="AN407" s="20"/>
      <c r="AO407" s="261" t="s">
        <v>60</v>
      </c>
      <c r="AP407" s="261" t="s">
        <v>61</v>
      </c>
      <c r="AQ407" s="226" t="s">
        <v>62</v>
      </c>
      <c r="AR407" s="20"/>
      <c r="AS407" s="261" t="s">
        <v>60</v>
      </c>
      <c r="AT407" s="261" t="s">
        <v>61</v>
      </c>
      <c r="AU407" s="226" t="s">
        <v>62</v>
      </c>
      <c r="AV407" s="20"/>
      <c r="AW407" s="261" t="s">
        <v>60</v>
      </c>
      <c r="AX407" s="261" t="s">
        <v>61</v>
      </c>
      <c r="AY407" s="226" t="s">
        <v>62</v>
      </c>
      <c r="AZ407" s="20"/>
      <c r="BA407" s="261" t="s">
        <v>60</v>
      </c>
      <c r="BB407" s="261" t="s">
        <v>61</v>
      </c>
      <c r="BC407" s="226" t="s">
        <v>62</v>
      </c>
      <c r="BD407" s="20"/>
      <c r="BE407" s="261" t="s">
        <v>60</v>
      </c>
      <c r="BF407" s="261" t="s">
        <v>61</v>
      </c>
      <c r="BG407" s="226" t="s">
        <v>62</v>
      </c>
    </row>
    <row r="408" spans="1:59" ht="21" hidden="1" customHeight="1" x14ac:dyDescent="0.3">
      <c r="A408" s="11"/>
      <c r="B408" s="260"/>
      <c r="C408" s="260"/>
      <c r="D408" s="270"/>
      <c r="E408" s="266"/>
      <c r="F408" s="266"/>
      <c r="G408" s="263"/>
      <c r="H408" s="36"/>
      <c r="I408" s="263"/>
      <c r="J408" s="263"/>
      <c r="K408" s="227" t="s">
        <v>1021</v>
      </c>
      <c r="L408" s="20"/>
      <c r="M408" s="263"/>
      <c r="N408" s="263"/>
      <c r="O408" s="227" t="s">
        <v>1021</v>
      </c>
      <c r="P408" s="20"/>
      <c r="Q408" s="263"/>
      <c r="R408" s="263"/>
      <c r="S408" s="227" t="s">
        <v>1021</v>
      </c>
      <c r="T408" s="20"/>
      <c r="U408" s="263"/>
      <c r="V408" s="263"/>
      <c r="W408" s="227" t="s">
        <v>1021</v>
      </c>
      <c r="X408" s="20"/>
      <c r="Y408" s="263"/>
      <c r="Z408" s="263"/>
      <c r="AA408" s="227" t="s">
        <v>1021</v>
      </c>
      <c r="AB408" s="20"/>
      <c r="AC408" s="263"/>
      <c r="AD408" s="263"/>
      <c r="AE408" s="227" t="s">
        <v>1021</v>
      </c>
      <c r="AF408" s="20"/>
      <c r="AG408" s="263"/>
      <c r="AH408" s="263"/>
      <c r="AI408" s="227" t="s">
        <v>1021</v>
      </c>
      <c r="AJ408" s="20"/>
      <c r="AK408" s="263"/>
      <c r="AL408" s="263"/>
      <c r="AM408" s="227" t="s">
        <v>1021</v>
      </c>
      <c r="AN408" s="20"/>
      <c r="AO408" s="263"/>
      <c r="AP408" s="263"/>
      <c r="AQ408" s="227" t="s">
        <v>1021</v>
      </c>
      <c r="AR408" s="20"/>
      <c r="AS408" s="263"/>
      <c r="AT408" s="263"/>
      <c r="AU408" s="227" t="s">
        <v>1021</v>
      </c>
      <c r="AV408" s="20"/>
      <c r="AW408" s="263"/>
      <c r="AX408" s="263"/>
      <c r="AY408" s="227" t="s">
        <v>1021</v>
      </c>
      <c r="AZ408" s="20"/>
      <c r="BA408" s="263"/>
      <c r="BB408" s="263"/>
      <c r="BC408" s="227" t="s">
        <v>1021</v>
      </c>
      <c r="BD408" s="20"/>
      <c r="BE408" s="263"/>
      <c r="BF408" s="263"/>
      <c r="BG408" s="227" t="s">
        <v>1021</v>
      </c>
    </row>
    <row r="409" spans="1:59" ht="21" hidden="1" customHeight="1" x14ac:dyDescent="0.3">
      <c r="A409" s="11"/>
      <c r="B409" s="181"/>
      <c r="C409" s="34"/>
      <c r="D409" s="34"/>
      <c r="E409" s="34"/>
      <c r="F409" s="34"/>
      <c r="G409" s="70"/>
      <c r="H409" s="35"/>
      <c r="I409" s="34"/>
      <c r="J409" s="71">
        <f>IFERROR(+K409/I409,0)</f>
        <v>0</v>
      </c>
      <c r="K409" s="34"/>
      <c r="M409" s="34"/>
      <c r="N409" s="71">
        <f>IFERROR(+O409/M409,0)</f>
        <v>0</v>
      </c>
      <c r="O409" s="34"/>
      <c r="Q409" s="34"/>
      <c r="R409" s="71">
        <f>IFERROR(+S409/Q409,0)</f>
        <v>0</v>
      </c>
      <c r="S409" s="34"/>
      <c r="U409" s="34"/>
      <c r="V409" s="71">
        <f>IFERROR(+W409/U409,0)</f>
        <v>0</v>
      </c>
      <c r="W409" s="34"/>
      <c r="Y409" s="34"/>
      <c r="Z409" s="71">
        <f>IFERROR(+AA409/Y409,0)</f>
        <v>0</v>
      </c>
      <c r="AA409" s="69"/>
      <c r="AC409" s="34"/>
      <c r="AD409" s="71">
        <f>IFERROR(+AE409/AC409,0)</f>
        <v>0</v>
      </c>
      <c r="AE409" s="34"/>
      <c r="AG409" s="34"/>
      <c r="AH409" s="71">
        <f>IFERROR(+AI409/AG409,0)</f>
        <v>0</v>
      </c>
      <c r="AI409" s="34"/>
      <c r="AK409" s="34"/>
      <c r="AL409" s="71">
        <f>IFERROR(+AM409/AK409,0)</f>
        <v>0</v>
      </c>
      <c r="AM409" s="34"/>
      <c r="AO409" s="34"/>
      <c r="AP409" s="71">
        <f>IFERROR(+AQ409/AO409,0)</f>
        <v>0</v>
      </c>
      <c r="AQ409" s="34"/>
      <c r="AS409" s="34"/>
      <c r="AT409" s="71">
        <f>IFERROR(+AU409/AS409,0)</f>
        <v>0</v>
      </c>
      <c r="AU409" s="34"/>
      <c r="AW409" s="34"/>
      <c r="AX409" s="71">
        <f>IFERROR(+AY409/AW409,0)</f>
        <v>0</v>
      </c>
      <c r="AY409" s="34"/>
      <c r="BA409" s="34"/>
      <c r="BB409" s="71">
        <f>IFERROR(+BC409/BA409,0)</f>
        <v>0</v>
      </c>
      <c r="BC409" s="34"/>
      <c r="BE409" s="72">
        <f>+I409+M409+Q409++U409+Y409+AC409+AG409+AK409+AO409+AS409+AW409+BA409</f>
        <v>0</v>
      </c>
      <c r="BF409" s="73">
        <f>IFERROR(+BG409/BE409,0)</f>
        <v>0</v>
      </c>
      <c r="BG409" s="72">
        <f>+K409+O409+S409+W409+AA409+AE409+AI409+AM409+AQ409+AU409+AY409+BC409</f>
        <v>0</v>
      </c>
    </row>
    <row r="410" spans="1:59" ht="21" hidden="1" customHeight="1" x14ac:dyDescent="0.3">
      <c r="A410" s="11"/>
      <c r="B410" s="181"/>
      <c r="C410" s="34"/>
      <c r="D410" s="34"/>
      <c r="E410" s="34"/>
      <c r="F410" s="34"/>
      <c r="G410" s="70"/>
      <c r="H410" s="35"/>
      <c r="I410" s="34"/>
      <c r="J410" s="71">
        <f t="shared" ref="J410:J415" si="785">IFERROR(+K410/I410,0)</f>
        <v>0</v>
      </c>
      <c r="K410" s="34"/>
      <c r="M410" s="34"/>
      <c r="N410" s="71">
        <f t="shared" ref="N410:N415" si="786">IFERROR(+O410/M410,0)</f>
        <v>0</v>
      </c>
      <c r="O410" s="34"/>
      <c r="Q410" s="34"/>
      <c r="R410" s="71">
        <f t="shared" ref="R410:R415" si="787">IFERROR(+S410/Q410,0)</f>
        <v>0</v>
      </c>
      <c r="S410" s="34"/>
      <c r="U410" s="34"/>
      <c r="V410" s="71">
        <f t="shared" ref="V410:V415" si="788">IFERROR(+W410/U410,0)</f>
        <v>0</v>
      </c>
      <c r="W410" s="34"/>
      <c r="Y410" s="34"/>
      <c r="Z410" s="71">
        <f t="shared" ref="Z410:Z415" si="789">IFERROR(+AA410/Y410,0)</f>
        <v>0</v>
      </c>
      <c r="AA410" s="69"/>
      <c r="AC410" s="34"/>
      <c r="AD410" s="71">
        <f t="shared" ref="AD410:AD415" si="790">IFERROR(+AE410/AC410,0)</f>
        <v>0</v>
      </c>
      <c r="AE410" s="34"/>
      <c r="AG410" s="34"/>
      <c r="AH410" s="71">
        <f t="shared" ref="AH410:AH415" si="791">IFERROR(+AI410/AG410,0)</f>
        <v>0</v>
      </c>
      <c r="AI410" s="34"/>
      <c r="AK410" s="34"/>
      <c r="AL410" s="71">
        <f t="shared" ref="AL410:AL415" si="792">IFERROR(+AM410/AK410,0)</f>
        <v>0</v>
      </c>
      <c r="AM410" s="34"/>
      <c r="AO410" s="34"/>
      <c r="AP410" s="71">
        <f t="shared" ref="AP410:AP415" si="793">IFERROR(+AQ410/AO410,0)</f>
        <v>0</v>
      </c>
      <c r="AQ410" s="34"/>
      <c r="AS410" s="34"/>
      <c r="AT410" s="71">
        <f t="shared" ref="AT410:AT415" si="794">IFERROR(+AU410/AS410,0)</f>
        <v>0</v>
      </c>
      <c r="AU410" s="34"/>
      <c r="AW410" s="34"/>
      <c r="AX410" s="71">
        <f t="shared" ref="AX410:AX415" si="795">IFERROR(+AY410/AW410,0)</f>
        <v>0</v>
      </c>
      <c r="AY410" s="34"/>
      <c r="BA410" s="34"/>
      <c r="BB410" s="71">
        <f t="shared" ref="BB410:BB415" si="796">IFERROR(+BC410/BA410,0)</f>
        <v>0</v>
      </c>
      <c r="BC410" s="34"/>
      <c r="BE410" s="72">
        <f t="shared" ref="BE410:BE414" si="797">+I410+M410+Q410++U410+Y410+AC410+AG410+AK410+AO410+AS410+AW410+BA410</f>
        <v>0</v>
      </c>
      <c r="BF410" s="73">
        <f t="shared" ref="BF410:BF414" si="798">IFERROR(+BG410/BE410,0)</f>
        <v>0</v>
      </c>
      <c r="BG410" s="72">
        <f t="shared" ref="BG410:BG414" si="799">+K410+O410+S410+W410+AA410+AE410+AI410+AM410+AQ410+AU410+AY410+BC410</f>
        <v>0</v>
      </c>
    </row>
    <row r="411" spans="1:59" ht="21" hidden="1" customHeight="1" x14ac:dyDescent="0.3">
      <c r="A411" s="11"/>
      <c r="B411" s="181"/>
      <c r="C411" s="34"/>
      <c r="D411" s="34"/>
      <c r="E411" s="34"/>
      <c r="F411" s="34"/>
      <c r="G411" s="70"/>
      <c r="H411" s="35"/>
      <c r="I411" s="34"/>
      <c r="J411" s="71">
        <f t="shared" si="785"/>
        <v>0</v>
      </c>
      <c r="K411" s="34"/>
      <c r="M411" s="34"/>
      <c r="N411" s="71">
        <f t="shared" si="786"/>
        <v>0</v>
      </c>
      <c r="O411" s="34"/>
      <c r="Q411" s="34"/>
      <c r="R411" s="71">
        <f t="shared" si="787"/>
        <v>0</v>
      </c>
      <c r="S411" s="34"/>
      <c r="U411" s="34"/>
      <c r="V411" s="71">
        <f t="shared" si="788"/>
        <v>0</v>
      </c>
      <c r="W411" s="34"/>
      <c r="Y411" s="34"/>
      <c r="Z411" s="71">
        <f t="shared" si="789"/>
        <v>0</v>
      </c>
      <c r="AA411" s="69"/>
      <c r="AC411" s="34"/>
      <c r="AD411" s="71">
        <f t="shared" si="790"/>
        <v>0</v>
      </c>
      <c r="AE411" s="34"/>
      <c r="AG411" s="34"/>
      <c r="AH411" s="71">
        <f t="shared" si="791"/>
        <v>0</v>
      </c>
      <c r="AI411" s="34"/>
      <c r="AK411" s="34"/>
      <c r="AL411" s="71">
        <f t="shared" si="792"/>
        <v>0</v>
      </c>
      <c r="AM411" s="34"/>
      <c r="AO411" s="34"/>
      <c r="AP411" s="71">
        <f t="shared" si="793"/>
        <v>0</v>
      </c>
      <c r="AQ411" s="34"/>
      <c r="AS411" s="34"/>
      <c r="AT411" s="71">
        <f t="shared" si="794"/>
        <v>0</v>
      </c>
      <c r="AU411" s="34"/>
      <c r="AW411" s="34"/>
      <c r="AX411" s="71">
        <f t="shared" si="795"/>
        <v>0</v>
      </c>
      <c r="AY411" s="34"/>
      <c r="BA411" s="34"/>
      <c r="BB411" s="71">
        <f t="shared" si="796"/>
        <v>0</v>
      </c>
      <c r="BC411" s="34"/>
      <c r="BE411" s="72">
        <f t="shared" si="797"/>
        <v>0</v>
      </c>
      <c r="BF411" s="73">
        <f t="shared" si="798"/>
        <v>0</v>
      </c>
      <c r="BG411" s="72">
        <f t="shared" si="799"/>
        <v>0</v>
      </c>
    </row>
    <row r="412" spans="1:59" ht="21" hidden="1" customHeight="1" x14ac:dyDescent="0.3">
      <c r="A412" s="11"/>
      <c r="B412" s="181"/>
      <c r="C412" s="34"/>
      <c r="D412" s="34"/>
      <c r="E412" s="34"/>
      <c r="F412" s="34"/>
      <c r="G412" s="70"/>
      <c r="H412" s="35"/>
      <c r="I412" s="34"/>
      <c r="J412" s="71">
        <f t="shared" si="785"/>
        <v>0</v>
      </c>
      <c r="K412" s="34"/>
      <c r="M412" s="34"/>
      <c r="N412" s="71">
        <f t="shared" si="786"/>
        <v>0</v>
      </c>
      <c r="O412" s="34"/>
      <c r="Q412" s="34"/>
      <c r="R412" s="71">
        <f t="shared" si="787"/>
        <v>0</v>
      </c>
      <c r="S412" s="34"/>
      <c r="U412" s="34"/>
      <c r="V412" s="71">
        <f t="shared" si="788"/>
        <v>0</v>
      </c>
      <c r="W412" s="34"/>
      <c r="Y412" s="34"/>
      <c r="Z412" s="71">
        <f t="shared" si="789"/>
        <v>0</v>
      </c>
      <c r="AA412" s="69"/>
      <c r="AC412" s="34"/>
      <c r="AD412" s="71">
        <f t="shared" si="790"/>
        <v>0</v>
      </c>
      <c r="AE412" s="34"/>
      <c r="AG412" s="34"/>
      <c r="AH412" s="71">
        <f t="shared" si="791"/>
        <v>0</v>
      </c>
      <c r="AI412" s="34"/>
      <c r="AK412" s="34"/>
      <c r="AL412" s="71">
        <f t="shared" si="792"/>
        <v>0</v>
      </c>
      <c r="AM412" s="34"/>
      <c r="AO412" s="34"/>
      <c r="AP412" s="71">
        <f t="shared" si="793"/>
        <v>0</v>
      </c>
      <c r="AQ412" s="34"/>
      <c r="AS412" s="34"/>
      <c r="AT412" s="71">
        <f t="shared" si="794"/>
        <v>0</v>
      </c>
      <c r="AU412" s="34"/>
      <c r="AW412" s="34"/>
      <c r="AX412" s="71">
        <f t="shared" si="795"/>
        <v>0</v>
      </c>
      <c r="AY412" s="34"/>
      <c r="BA412" s="34"/>
      <c r="BB412" s="71">
        <f t="shared" si="796"/>
        <v>0</v>
      </c>
      <c r="BC412" s="34"/>
      <c r="BE412" s="72">
        <f t="shared" si="797"/>
        <v>0</v>
      </c>
      <c r="BF412" s="73">
        <f t="shared" si="798"/>
        <v>0</v>
      </c>
      <c r="BG412" s="72">
        <f t="shared" si="799"/>
        <v>0</v>
      </c>
    </row>
    <row r="413" spans="1:59" ht="21" hidden="1" customHeight="1" x14ac:dyDescent="0.3">
      <c r="A413" s="11"/>
      <c r="B413" s="181"/>
      <c r="C413" s="34"/>
      <c r="D413" s="34"/>
      <c r="E413" s="34"/>
      <c r="F413" s="34"/>
      <c r="G413" s="70"/>
      <c r="H413" s="35"/>
      <c r="I413" s="34"/>
      <c r="J413" s="71">
        <f t="shared" si="785"/>
        <v>0</v>
      </c>
      <c r="K413" s="34"/>
      <c r="M413" s="34"/>
      <c r="N413" s="71">
        <f t="shared" si="786"/>
        <v>0</v>
      </c>
      <c r="O413" s="34"/>
      <c r="Q413" s="34"/>
      <c r="R413" s="71">
        <f t="shared" si="787"/>
        <v>0</v>
      </c>
      <c r="S413" s="34"/>
      <c r="U413" s="34"/>
      <c r="V413" s="71">
        <f t="shared" si="788"/>
        <v>0</v>
      </c>
      <c r="W413" s="34"/>
      <c r="Y413" s="34"/>
      <c r="Z413" s="71">
        <f t="shared" si="789"/>
        <v>0</v>
      </c>
      <c r="AA413" s="69"/>
      <c r="AC413" s="34"/>
      <c r="AD413" s="71">
        <f t="shared" si="790"/>
        <v>0</v>
      </c>
      <c r="AE413" s="34"/>
      <c r="AG413" s="34"/>
      <c r="AH413" s="71">
        <f t="shared" si="791"/>
        <v>0</v>
      </c>
      <c r="AI413" s="34"/>
      <c r="AK413" s="34"/>
      <c r="AL413" s="71">
        <f t="shared" si="792"/>
        <v>0</v>
      </c>
      <c r="AM413" s="34"/>
      <c r="AO413" s="34"/>
      <c r="AP413" s="71">
        <f t="shared" si="793"/>
        <v>0</v>
      </c>
      <c r="AQ413" s="34"/>
      <c r="AS413" s="34"/>
      <c r="AT413" s="71">
        <f t="shared" si="794"/>
        <v>0</v>
      </c>
      <c r="AU413" s="34"/>
      <c r="AW413" s="34"/>
      <c r="AX413" s="71">
        <f t="shared" si="795"/>
        <v>0</v>
      </c>
      <c r="AY413" s="34"/>
      <c r="BA413" s="34"/>
      <c r="BB413" s="71">
        <f t="shared" si="796"/>
        <v>0</v>
      </c>
      <c r="BC413" s="34"/>
      <c r="BE413" s="72">
        <f t="shared" si="797"/>
        <v>0</v>
      </c>
      <c r="BF413" s="73">
        <f t="shared" si="798"/>
        <v>0</v>
      </c>
      <c r="BG413" s="72">
        <f t="shared" si="799"/>
        <v>0</v>
      </c>
    </row>
    <row r="414" spans="1:59" ht="21" hidden="1" customHeight="1" x14ac:dyDescent="0.3">
      <c r="A414" s="11"/>
      <c r="B414" s="181"/>
      <c r="C414" s="34"/>
      <c r="D414" s="34"/>
      <c r="E414" s="34"/>
      <c r="F414" s="34"/>
      <c r="G414" s="70"/>
      <c r="H414" s="35"/>
      <c r="I414" s="34"/>
      <c r="J414" s="71">
        <f>IFERROR(+K414/I414,0)</f>
        <v>0</v>
      </c>
      <c r="K414" s="34"/>
      <c r="M414" s="34"/>
      <c r="N414" s="71">
        <f>IFERROR(+O414/M414,0)</f>
        <v>0</v>
      </c>
      <c r="O414" s="34"/>
      <c r="Q414" s="34"/>
      <c r="R414" s="71">
        <f>IFERROR(+S414/Q414,0)</f>
        <v>0</v>
      </c>
      <c r="S414" s="34"/>
      <c r="U414" s="34"/>
      <c r="V414" s="71">
        <f>IFERROR(+W414/U414,0)</f>
        <v>0</v>
      </c>
      <c r="W414" s="34"/>
      <c r="Y414" s="34"/>
      <c r="Z414" s="71">
        <f>IFERROR(+AA414/Y414,0)</f>
        <v>0</v>
      </c>
      <c r="AA414" s="69"/>
      <c r="AC414" s="34"/>
      <c r="AD414" s="71">
        <f>IFERROR(+AE414/AC414,0)</f>
        <v>0</v>
      </c>
      <c r="AE414" s="34"/>
      <c r="AG414" s="34"/>
      <c r="AH414" s="71">
        <f>IFERROR(+AI414/AG414,0)</f>
        <v>0</v>
      </c>
      <c r="AI414" s="34"/>
      <c r="AK414" s="34"/>
      <c r="AL414" s="71">
        <f>IFERROR(+AM414/AK414,0)</f>
        <v>0</v>
      </c>
      <c r="AM414" s="34"/>
      <c r="AO414" s="34"/>
      <c r="AP414" s="71">
        <f>IFERROR(+AQ414/AO414,0)</f>
        <v>0</v>
      </c>
      <c r="AQ414" s="34"/>
      <c r="AS414" s="34"/>
      <c r="AT414" s="71">
        <f>IFERROR(+AU414/AS414,0)</f>
        <v>0</v>
      </c>
      <c r="AU414" s="34"/>
      <c r="AW414" s="34"/>
      <c r="AX414" s="71">
        <f>IFERROR(+AY414/AW414,0)</f>
        <v>0</v>
      </c>
      <c r="AY414" s="34"/>
      <c r="BA414" s="34"/>
      <c r="BB414" s="71">
        <f>IFERROR(+BC414/BA414,0)</f>
        <v>0</v>
      </c>
      <c r="BC414" s="34"/>
      <c r="BE414" s="72">
        <f t="shared" si="797"/>
        <v>0</v>
      </c>
      <c r="BF414" s="73">
        <f t="shared" si="798"/>
        <v>0</v>
      </c>
      <c r="BG414" s="72">
        <f t="shared" si="799"/>
        <v>0</v>
      </c>
    </row>
    <row r="415" spans="1:59" ht="21" hidden="1" customHeight="1" x14ac:dyDescent="0.3">
      <c r="A415" s="11"/>
      <c r="B415" s="181"/>
      <c r="C415" s="34"/>
      <c r="D415" s="34"/>
      <c r="E415" s="34"/>
      <c r="F415" s="34"/>
      <c r="G415" s="70"/>
      <c r="H415" s="35"/>
      <c r="I415" s="34"/>
      <c r="J415" s="71">
        <f t="shared" si="785"/>
        <v>0</v>
      </c>
      <c r="K415" s="34"/>
      <c r="M415" s="34"/>
      <c r="N415" s="71">
        <f t="shared" si="786"/>
        <v>0</v>
      </c>
      <c r="O415" s="34"/>
      <c r="Q415" s="34"/>
      <c r="R415" s="71">
        <f t="shared" si="787"/>
        <v>0</v>
      </c>
      <c r="S415" s="34"/>
      <c r="U415" s="34"/>
      <c r="V415" s="71">
        <f t="shared" si="788"/>
        <v>0</v>
      </c>
      <c r="W415" s="34"/>
      <c r="Y415" s="34"/>
      <c r="Z415" s="71">
        <f t="shared" si="789"/>
        <v>0</v>
      </c>
      <c r="AA415" s="69"/>
      <c r="AC415" s="34"/>
      <c r="AD415" s="71">
        <f t="shared" si="790"/>
        <v>0</v>
      </c>
      <c r="AE415" s="34"/>
      <c r="AG415" s="34"/>
      <c r="AH415" s="71">
        <f t="shared" si="791"/>
        <v>0</v>
      </c>
      <c r="AI415" s="34"/>
      <c r="AK415" s="34"/>
      <c r="AL415" s="71">
        <f t="shared" si="792"/>
        <v>0</v>
      </c>
      <c r="AM415" s="34"/>
      <c r="AO415" s="34"/>
      <c r="AP415" s="71">
        <f t="shared" si="793"/>
        <v>0</v>
      </c>
      <c r="AQ415" s="34"/>
      <c r="AS415" s="34"/>
      <c r="AT415" s="71">
        <f t="shared" si="794"/>
        <v>0</v>
      </c>
      <c r="AU415" s="34"/>
      <c r="AW415" s="34"/>
      <c r="AX415" s="71">
        <f t="shared" si="795"/>
        <v>0</v>
      </c>
      <c r="AY415" s="34"/>
      <c r="BA415" s="34"/>
      <c r="BB415" s="71">
        <f t="shared" si="796"/>
        <v>0</v>
      </c>
      <c r="BC415" s="34"/>
      <c r="BE415" s="72">
        <f>+I415+M415+Q415++U415+Y415+AC415+AG415+AK415+AO415+AS415+AW415+BA415</f>
        <v>0</v>
      </c>
      <c r="BF415" s="73">
        <f>IFERROR(+BG415/BE415,0)</f>
        <v>0</v>
      </c>
      <c r="BG415" s="72">
        <f>+K415+O415+S415+W415+AA415+AE415+AI415+AM415+AQ415+AU415+AY415+BC415</f>
        <v>0</v>
      </c>
    </row>
    <row r="416" spans="1:59" ht="21" hidden="1" customHeight="1" x14ac:dyDescent="0.3">
      <c r="A416" s="11"/>
      <c r="B416" s="272" t="s">
        <v>227</v>
      </c>
      <c r="C416" s="273"/>
      <c r="D416" s="273"/>
      <c r="E416" s="273"/>
      <c r="F416" s="273"/>
      <c r="G416" s="274"/>
      <c r="H416" s="35"/>
      <c r="I416" s="72">
        <f>SUM(I409:I415)</f>
        <v>0</v>
      </c>
      <c r="J416" s="73">
        <f t="shared" ref="J416" si="800">IFERROR(+K416/I416,0)</f>
        <v>0</v>
      </c>
      <c r="K416" s="72">
        <f>SUM(K409:K415)</f>
        <v>0</v>
      </c>
      <c r="M416" s="72">
        <f>SUM(M409:M415)</f>
        <v>0</v>
      </c>
      <c r="N416" s="73">
        <f t="shared" ref="N416" si="801">IFERROR(+O416/M416,0)</f>
        <v>0</v>
      </c>
      <c r="O416" s="72">
        <f>SUM(O409:O415)</f>
        <v>0</v>
      </c>
      <c r="Q416" s="72">
        <f>SUM(Q409:Q415)</f>
        <v>0</v>
      </c>
      <c r="R416" s="73">
        <f t="shared" ref="R416" si="802">IFERROR(+S416/Q416,0)</f>
        <v>0</v>
      </c>
      <c r="S416" s="72">
        <f>SUM(S409:S415)</f>
        <v>0</v>
      </c>
      <c r="U416" s="72">
        <f>SUM(U409:U415)</f>
        <v>0</v>
      </c>
      <c r="V416" s="73">
        <f t="shared" ref="V416" si="803">IFERROR(+W416/U416,0)</f>
        <v>0</v>
      </c>
      <c r="W416" s="72">
        <f>SUM(W409:W415)</f>
        <v>0</v>
      </c>
      <c r="Y416" s="72">
        <f>SUM(Y409:Y415)</f>
        <v>0</v>
      </c>
      <c r="Z416" s="73">
        <f t="shared" ref="Z416" si="804">IFERROR(+AA416/Y416,0)</f>
        <v>0</v>
      </c>
      <c r="AA416" s="72">
        <f>SUM(AA409:AA415)</f>
        <v>0</v>
      </c>
      <c r="AC416" s="72">
        <f>SUM(AC409:AC415)</f>
        <v>0</v>
      </c>
      <c r="AD416" s="73">
        <f t="shared" ref="AD416" si="805">IFERROR(+AE416/AC416,0)</f>
        <v>0</v>
      </c>
      <c r="AE416" s="72">
        <f>SUM(AE409:AE415)</f>
        <v>0</v>
      </c>
      <c r="AG416" s="72">
        <f>SUM(AG409:AG415)</f>
        <v>0</v>
      </c>
      <c r="AH416" s="73">
        <f t="shared" ref="AH416" si="806">IFERROR(+AI416/AG416,0)</f>
        <v>0</v>
      </c>
      <c r="AI416" s="72">
        <f>SUM(AI409:AI415)</f>
        <v>0</v>
      </c>
      <c r="AK416" s="72">
        <f>SUM(AK409:AK415)</f>
        <v>0</v>
      </c>
      <c r="AL416" s="73">
        <f t="shared" ref="AL416" si="807">IFERROR(+AM416/AK416,0)</f>
        <v>0</v>
      </c>
      <c r="AM416" s="72">
        <f>SUM(AM409:AM415)</f>
        <v>0</v>
      </c>
      <c r="AO416" s="72">
        <f>SUM(AO409:AO415)</f>
        <v>0</v>
      </c>
      <c r="AP416" s="73">
        <f t="shared" ref="AP416" si="808">IFERROR(+AQ416/AO416,0)</f>
        <v>0</v>
      </c>
      <c r="AQ416" s="72">
        <f>SUM(AQ409:AQ415)</f>
        <v>0</v>
      </c>
      <c r="AS416" s="72">
        <f>SUM(AS409:AS415)</f>
        <v>0</v>
      </c>
      <c r="AT416" s="73">
        <f t="shared" ref="AT416" si="809">IFERROR(+AU416/AS416,0)</f>
        <v>0</v>
      </c>
      <c r="AU416" s="72">
        <f>SUM(AU409:AU415)</f>
        <v>0</v>
      </c>
      <c r="AW416" s="72">
        <f>SUM(AW409:AW415)</f>
        <v>0</v>
      </c>
      <c r="AX416" s="73">
        <f t="shared" ref="AX416" si="810">IFERROR(+AY416/AW416,0)</f>
        <v>0</v>
      </c>
      <c r="AY416" s="72">
        <f>SUM(AY409:AY415)</f>
        <v>0</v>
      </c>
      <c r="BA416" s="72">
        <f>SUM(BA409:BA415)</f>
        <v>0</v>
      </c>
      <c r="BB416" s="73">
        <f t="shared" ref="BB416" si="811">IFERROR(+BC416/BA416,0)</f>
        <v>0</v>
      </c>
      <c r="BC416" s="72">
        <f>SUM(BC409:BC415)</f>
        <v>0</v>
      </c>
      <c r="BE416" s="72">
        <f>SUM(BE409:BE415)</f>
        <v>0</v>
      </c>
      <c r="BF416" s="73">
        <f t="shared" ref="BF416" si="812">IFERROR(+BG416/BE416,0)</f>
        <v>0</v>
      </c>
      <c r="BG416" s="72">
        <f>SUM(BG409:BG415)</f>
        <v>0</v>
      </c>
    </row>
    <row r="417" spans="1:59" hidden="1" x14ac:dyDescent="0.3"/>
    <row r="418" spans="1:59" ht="36" hidden="1" customHeight="1" x14ac:dyDescent="0.3">
      <c r="A418" s="11"/>
      <c r="B418" s="267" t="s">
        <v>829</v>
      </c>
      <c r="C418" s="267"/>
      <c r="D418" s="267"/>
      <c r="E418" s="267"/>
      <c r="F418" s="267"/>
      <c r="G418" s="267"/>
      <c r="H418" s="267"/>
      <c r="I418" s="267"/>
      <c r="J418" s="267"/>
    </row>
    <row r="419" spans="1:59" hidden="1" x14ac:dyDescent="0.3"/>
    <row r="420" spans="1:59" ht="21" hidden="1" customHeight="1" x14ac:dyDescent="0.3">
      <c r="A420" s="11"/>
      <c r="B420" s="260" t="s">
        <v>894</v>
      </c>
      <c r="C420" s="260" t="s">
        <v>895</v>
      </c>
      <c r="D420" s="268" t="s">
        <v>235</v>
      </c>
      <c r="E420" s="264" t="s">
        <v>232</v>
      </c>
      <c r="F420" s="264" t="s">
        <v>233</v>
      </c>
      <c r="G420" s="261" t="s">
        <v>234</v>
      </c>
      <c r="H420" s="36"/>
      <c r="I420" s="271" t="str">
        <f>+"Enero "&amp;$I$6&amp;""</f>
        <v>Enero 2025</v>
      </c>
      <c r="J420" s="271"/>
      <c r="K420" s="271"/>
      <c r="M420" s="271" t="str">
        <f>+"Febrero "&amp;$I$6&amp;""</f>
        <v>Febrero 2025</v>
      </c>
      <c r="N420" s="271"/>
      <c r="O420" s="271"/>
      <c r="Q420" s="271" t="str">
        <f>+"Marzo "&amp;$I$6&amp;""</f>
        <v>Marzo 2025</v>
      </c>
      <c r="R420" s="271"/>
      <c r="S420" s="271"/>
      <c r="U420" s="271" t="str">
        <f>+"Abril "&amp;$I$6&amp;""</f>
        <v>Abril 2025</v>
      </c>
      <c r="V420" s="271"/>
      <c r="W420" s="271"/>
      <c r="Y420" s="271" t="str">
        <f>+"Mayo "&amp;$I$6&amp;""</f>
        <v>Mayo 2025</v>
      </c>
      <c r="Z420" s="271"/>
      <c r="AA420" s="271"/>
      <c r="AC420" s="271" t="str">
        <f>+"Junio "&amp;$I$6&amp;""</f>
        <v>Junio 2025</v>
      </c>
      <c r="AD420" s="271"/>
      <c r="AE420" s="271"/>
      <c r="AG420" s="271" t="str">
        <f>+"Julio "&amp;$I$6&amp;""</f>
        <v>Julio 2025</v>
      </c>
      <c r="AH420" s="271"/>
      <c r="AI420" s="271"/>
      <c r="AK420" s="271" t="str">
        <f>+"Agosto "&amp;$I$6&amp;""</f>
        <v>Agosto 2025</v>
      </c>
      <c r="AL420" s="271"/>
      <c r="AM420" s="271"/>
      <c r="AO420" s="271" t="str">
        <f>+"Septiembre "&amp;$I$6&amp;""</f>
        <v>Septiembre 2025</v>
      </c>
      <c r="AP420" s="271"/>
      <c r="AQ420" s="271"/>
      <c r="AS420" s="271" t="str">
        <f>+"Octubre "&amp;$I$6&amp;""</f>
        <v>Octubre 2025</v>
      </c>
      <c r="AT420" s="271"/>
      <c r="AU420" s="271"/>
      <c r="AW420" s="271" t="str">
        <f>+"Noviembre "&amp;$I$6&amp;""</f>
        <v>Noviembre 2025</v>
      </c>
      <c r="AX420" s="271"/>
      <c r="AY420" s="271"/>
      <c r="BA420" s="271" t="str">
        <f>+"Diciembre "&amp;$I$6&amp;""</f>
        <v>Diciembre 2025</v>
      </c>
      <c r="BB420" s="271"/>
      <c r="BC420" s="271"/>
      <c r="BE420" s="271" t="str">
        <f>+"Acumulado "&amp;$I$6&amp;""</f>
        <v>Acumulado 2025</v>
      </c>
      <c r="BF420" s="271"/>
      <c r="BG420" s="271"/>
    </row>
    <row r="421" spans="1:59" ht="21" hidden="1" customHeight="1" x14ac:dyDescent="0.3">
      <c r="A421" s="11"/>
      <c r="B421" s="260"/>
      <c r="C421" s="260"/>
      <c r="D421" s="269"/>
      <c r="E421" s="265"/>
      <c r="F421" s="265"/>
      <c r="G421" s="262"/>
      <c r="H421" s="36"/>
      <c r="I421" s="261" t="s">
        <v>60</v>
      </c>
      <c r="J421" s="261" t="s">
        <v>61</v>
      </c>
      <c r="K421" s="226" t="s">
        <v>62</v>
      </c>
      <c r="L421" s="20"/>
      <c r="M421" s="261" t="s">
        <v>60</v>
      </c>
      <c r="N421" s="261" t="s">
        <v>61</v>
      </c>
      <c r="O421" s="226" t="s">
        <v>62</v>
      </c>
      <c r="P421" s="20"/>
      <c r="Q421" s="261" t="s">
        <v>60</v>
      </c>
      <c r="R421" s="261" t="s">
        <v>61</v>
      </c>
      <c r="S421" s="226" t="s">
        <v>62</v>
      </c>
      <c r="T421" s="20"/>
      <c r="U421" s="261" t="s">
        <v>60</v>
      </c>
      <c r="V421" s="261" t="s">
        <v>61</v>
      </c>
      <c r="W421" s="226" t="s">
        <v>62</v>
      </c>
      <c r="X421" s="20"/>
      <c r="Y421" s="261" t="s">
        <v>60</v>
      </c>
      <c r="Z421" s="261" t="s">
        <v>61</v>
      </c>
      <c r="AA421" s="226" t="s">
        <v>62</v>
      </c>
      <c r="AB421" s="20"/>
      <c r="AC421" s="261" t="s">
        <v>60</v>
      </c>
      <c r="AD421" s="261" t="s">
        <v>61</v>
      </c>
      <c r="AE421" s="226" t="s">
        <v>62</v>
      </c>
      <c r="AF421" s="20"/>
      <c r="AG421" s="261" t="s">
        <v>60</v>
      </c>
      <c r="AH421" s="261" t="s">
        <v>61</v>
      </c>
      <c r="AI421" s="226" t="s">
        <v>62</v>
      </c>
      <c r="AJ421" s="20"/>
      <c r="AK421" s="261" t="s">
        <v>60</v>
      </c>
      <c r="AL421" s="261" t="s">
        <v>61</v>
      </c>
      <c r="AM421" s="226" t="s">
        <v>62</v>
      </c>
      <c r="AN421" s="20"/>
      <c r="AO421" s="261" t="s">
        <v>60</v>
      </c>
      <c r="AP421" s="261" t="s">
        <v>61</v>
      </c>
      <c r="AQ421" s="226" t="s">
        <v>62</v>
      </c>
      <c r="AR421" s="20"/>
      <c r="AS421" s="261" t="s">
        <v>60</v>
      </c>
      <c r="AT421" s="261" t="s">
        <v>61</v>
      </c>
      <c r="AU421" s="226" t="s">
        <v>62</v>
      </c>
      <c r="AV421" s="20"/>
      <c r="AW421" s="261" t="s">
        <v>60</v>
      </c>
      <c r="AX421" s="261" t="s">
        <v>61</v>
      </c>
      <c r="AY421" s="226" t="s">
        <v>62</v>
      </c>
      <c r="AZ421" s="20"/>
      <c r="BA421" s="261" t="s">
        <v>60</v>
      </c>
      <c r="BB421" s="261" t="s">
        <v>61</v>
      </c>
      <c r="BC421" s="226" t="s">
        <v>62</v>
      </c>
      <c r="BD421" s="20"/>
      <c r="BE421" s="261" t="s">
        <v>60</v>
      </c>
      <c r="BF421" s="261" t="s">
        <v>61</v>
      </c>
      <c r="BG421" s="226" t="s">
        <v>62</v>
      </c>
    </row>
    <row r="422" spans="1:59" ht="21" hidden="1" customHeight="1" x14ac:dyDescent="0.3">
      <c r="A422" s="11"/>
      <c r="B422" s="260"/>
      <c r="C422" s="260"/>
      <c r="D422" s="270"/>
      <c r="E422" s="266"/>
      <c r="F422" s="266"/>
      <c r="G422" s="263"/>
      <c r="H422" s="36"/>
      <c r="I422" s="263"/>
      <c r="J422" s="263"/>
      <c r="K422" s="227" t="s">
        <v>1022</v>
      </c>
      <c r="L422" s="20"/>
      <c r="M422" s="263"/>
      <c r="N422" s="263"/>
      <c r="O422" s="227" t="s">
        <v>1022</v>
      </c>
      <c r="P422" s="20"/>
      <c r="Q422" s="263"/>
      <c r="R422" s="263"/>
      <c r="S422" s="227" t="s">
        <v>1022</v>
      </c>
      <c r="T422" s="20"/>
      <c r="U422" s="263"/>
      <c r="V422" s="263"/>
      <c r="W422" s="227" t="s">
        <v>1022</v>
      </c>
      <c r="X422" s="20"/>
      <c r="Y422" s="263"/>
      <c r="Z422" s="263"/>
      <c r="AA422" s="227" t="s">
        <v>1022</v>
      </c>
      <c r="AB422" s="20"/>
      <c r="AC422" s="263"/>
      <c r="AD422" s="263"/>
      <c r="AE422" s="227" t="s">
        <v>1022</v>
      </c>
      <c r="AF422" s="20"/>
      <c r="AG422" s="263"/>
      <c r="AH422" s="263"/>
      <c r="AI422" s="227" t="s">
        <v>1022</v>
      </c>
      <c r="AJ422" s="20"/>
      <c r="AK422" s="263"/>
      <c r="AL422" s="263"/>
      <c r="AM422" s="227" t="s">
        <v>1022</v>
      </c>
      <c r="AN422" s="20"/>
      <c r="AO422" s="263"/>
      <c r="AP422" s="263"/>
      <c r="AQ422" s="227" t="s">
        <v>1022</v>
      </c>
      <c r="AR422" s="20"/>
      <c r="AS422" s="263"/>
      <c r="AT422" s="263"/>
      <c r="AU422" s="227" t="s">
        <v>1022</v>
      </c>
      <c r="AV422" s="20"/>
      <c r="AW422" s="263"/>
      <c r="AX422" s="263"/>
      <c r="AY422" s="227" t="s">
        <v>1022</v>
      </c>
      <c r="AZ422" s="20"/>
      <c r="BA422" s="263"/>
      <c r="BB422" s="263"/>
      <c r="BC422" s="227" t="s">
        <v>1022</v>
      </c>
      <c r="BD422" s="20"/>
      <c r="BE422" s="263"/>
      <c r="BF422" s="263"/>
      <c r="BG422" s="227" t="s">
        <v>1022</v>
      </c>
    </row>
    <row r="423" spans="1:59" ht="21" hidden="1" customHeight="1" x14ac:dyDescent="0.3">
      <c r="A423" s="11"/>
      <c r="B423" s="181"/>
      <c r="C423" s="34"/>
      <c r="D423" s="34"/>
      <c r="E423" s="34"/>
      <c r="F423" s="34"/>
      <c r="G423" s="70"/>
      <c r="H423" s="35"/>
      <c r="I423" s="34"/>
      <c r="J423" s="71">
        <f>IFERROR(+K423/I423,0)</f>
        <v>0</v>
      </c>
      <c r="K423" s="34"/>
      <c r="M423" s="34"/>
      <c r="N423" s="71">
        <f>IFERROR(+O423/M423,0)</f>
        <v>0</v>
      </c>
      <c r="O423" s="34"/>
      <c r="Q423" s="34"/>
      <c r="R423" s="71">
        <f>IFERROR(+S423/Q423,0)</f>
        <v>0</v>
      </c>
      <c r="S423" s="34"/>
      <c r="U423" s="34"/>
      <c r="V423" s="71">
        <f>IFERROR(+W423/U423,0)</f>
        <v>0</v>
      </c>
      <c r="W423" s="34"/>
      <c r="Y423" s="34"/>
      <c r="Z423" s="71">
        <f>IFERROR(+AA423/Y423,0)</f>
        <v>0</v>
      </c>
      <c r="AA423" s="69"/>
      <c r="AC423" s="34"/>
      <c r="AD423" s="71">
        <f>IFERROR(+AE423/AC423,0)</f>
        <v>0</v>
      </c>
      <c r="AE423" s="34"/>
      <c r="AG423" s="34"/>
      <c r="AH423" s="71">
        <f>IFERROR(+AI423/AG423,0)</f>
        <v>0</v>
      </c>
      <c r="AI423" s="34"/>
      <c r="AK423" s="34"/>
      <c r="AL423" s="71">
        <f>IFERROR(+AM423/AK423,0)</f>
        <v>0</v>
      </c>
      <c r="AM423" s="34"/>
      <c r="AO423" s="34"/>
      <c r="AP423" s="71">
        <f>IFERROR(+AQ423/AO423,0)</f>
        <v>0</v>
      </c>
      <c r="AQ423" s="34"/>
      <c r="AS423" s="34"/>
      <c r="AT423" s="71">
        <f>IFERROR(+AU423/AS423,0)</f>
        <v>0</v>
      </c>
      <c r="AU423" s="34"/>
      <c r="AW423" s="34"/>
      <c r="AX423" s="71">
        <f>IFERROR(+AY423/AW423,0)</f>
        <v>0</v>
      </c>
      <c r="AY423" s="34"/>
      <c r="BA423" s="34"/>
      <c r="BB423" s="71">
        <f>IFERROR(+BC423/BA423,0)</f>
        <v>0</v>
      </c>
      <c r="BC423" s="34"/>
      <c r="BE423" s="72">
        <f>+I423+M423+Q423++U423+Y423+AC423+AG423+AK423+AO423+AS423+AW423+BA423</f>
        <v>0</v>
      </c>
      <c r="BF423" s="73">
        <f>IFERROR(+BG423/BE423,0)</f>
        <v>0</v>
      </c>
      <c r="BG423" s="72">
        <f>+K423+O423+S423+W423+AA423+AE423+AI423+AM423+AQ423+AU423+AY423+BC423</f>
        <v>0</v>
      </c>
    </row>
    <row r="424" spans="1:59" ht="21" hidden="1" customHeight="1" x14ac:dyDescent="0.3">
      <c r="A424" s="11"/>
      <c r="B424" s="181"/>
      <c r="C424" s="34"/>
      <c r="D424" s="34"/>
      <c r="E424" s="34"/>
      <c r="F424" s="34"/>
      <c r="G424" s="70"/>
      <c r="H424" s="35"/>
      <c r="I424" s="34"/>
      <c r="J424" s="71">
        <f t="shared" ref="J424:J429" si="813">IFERROR(+K424/I424,0)</f>
        <v>0</v>
      </c>
      <c r="K424" s="34"/>
      <c r="M424" s="34"/>
      <c r="N424" s="71">
        <f t="shared" ref="N424:N429" si="814">IFERROR(+O424/M424,0)</f>
        <v>0</v>
      </c>
      <c r="O424" s="34"/>
      <c r="Q424" s="34"/>
      <c r="R424" s="71">
        <f t="shared" ref="R424:R429" si="815">IFERROR(+S424/Q424,0)</f>
        <v>0</v>
      </c>
      <c r="S424" s="34"/>
      <c r="U424" s="34"/>
      <c r="V424" s="71">
        <f t="shared" ref="V424:V429" si="816">IFERROR(+W424/U424,0)</f>
        <v>0</v>
      </c>
      <c r="W424" s="34"/>
      <c r="Y424" s="34"/>
      <c r="Z424" s="71">
        <f t="shared" ref="Z424:Z429" si="817">IFERROR(+AA424/Y424,0)</f>
        <v>0</v>
      </c>
      <c r="AA424" s="69"/>
      <c r="AC424" s="34"/>
      <c r="AD424" s="71">
        <f t="shared" ref="AD424:AD429" si="818">IFERROR(+AE424/AC424,0)</f>
        <v>0</v>
      </c>
      <c r="AE424" s="34"/>
      <c r="AG424" s="34"/>
      <c r="AH424" s="71">
        <f t="shared" ref="AH424:AH429" si="819">IFERROR(+AI424/AG424,0)</f>
        <v>0</v>
      </c>
      <c r="AI424" s="34"/>
      <c r="AK424" s="34"/>
      <c r="AL424" s="71">
        <f t="shared" ref="AL424:AL429" si="820">IFERROR(+AM424/AK424,0)</f>
        <v>0</v>
      </c>
      <c r="AM424" s="34"/>
      <c r="AO424" s="34"/>
      <c r="AP424" s="71">
        <f t="shared" ref="AP424:AP429" si="821">IFERROR(+AQ424/AO424,0)</f>
        <v>0</v>
      </c>
      <c r="AQ424" s="34"/>
      <c r="AS424" s="34"/>
      <c r="AT424" s="71">
        <f t="shared" ref="AT424:AT429" si="822">IFERROR(+AU424/AS424,0)</f>
        <v>0</v>
      </c>
      <c r="AU424" s="34"/>
      <c r="AW424" s="34"/>
      <c r="AX424" s="71">
        <f t="shared" ref="AX424:AX429" si="823">IFERROR(+AY424/AW424,0)</f>
        <v>0</v>
      </c>
      <c r="AY424" s="34"/>
      <c r="BA424" s="34"/>
      <c r="BB424" s="71">
        <f t="shared" ref="BB424:BB429" si="824">IFERROR(+BC424/BA424,0)</f>
        <v>0</v>
      </c>
      <c r="BC424" s="34"/>
      <c r="BE424" s="72">
        <f t="shared" ref="BE424:BE428" si="825">+I424+M424+Q424++U424+Y424+AC424+AG424+AK424+AO424+AS424+AW424+BA424</f>
        <v>0</v>
      </c>
      <c r="BF424" s="73">
        <f t="shared" ref="BF424:BF428" si="826">IFERROR(+BG424/BE424,0)</f>
        <v>0</v>
      </c>
      <c r="BG424" s="72">
        <f t="shared" ref="BG424:BG428" si="827">+K424+O424+S424+W424+AA424+AE424+AI424+AM424+AQ424+AU424+AY424+BC424</f>
        <v>0</v>
      </c>
    </row>
    <row r="425" spans="1:59" ht="21" hidden="1" customHeight="1" x14ac:dyDescent="0.3">
      <c r="A425" s="11"/>
      <c r="B425" s="181"/>
      <c r="C425" s="34"/>
      <c r="D425" s="34"/>
      <c r="E425" s="34"/>
      <c r="F425" s="34"/>
      <c r="G425" s="70"/>
      <c r="H425" s="35"/>
      <c r="I425" s="34"/>
      <c r="J425" s="71">
        <f t="shared" si="813"/>
        <v>0</v>
      </c>
      <c r="K425" s="34"/>
      <c r="M425" s="34"/>
      <c r="N425" s="71">
        <f t="shared" si="814"/>
        <v>0</v>
      </c>
      <c r="O425" s="34"/>
      <c r="Q425" s="34"/>
      <c r="R425" s="71">
        <f t="shared" si="815"/>
        <v>0</v>
      </c>
      <c r="S425" s="34"/>
      <c r="U425" s="34"/>
      <c r="V425" s="71">
        <f t="shared" si="816"/>
        <v>0</v>
      </c>
      <c r="W425" s="34"/>
      <c r="Y425" s="34"/>
      <c r="Z425" s="71">
        <f t="shared" si="817"/>
        <v>0</v>
      </c>
      <c r="AA425" s="69"/>
      <c r="AC425" s="34"/>
      <c r="AD425" s="71">
        <f t="shared" si="818"/>
        <v>0</v>
      </c>
      <c r="AE425" s="34"/>
      <c r="AG425" s="34"/>
      <c r="AH425" s="71">
        <f t="shared" si="819"/>
        <v>0</v>
      </c>
      <c r="AI425" s="34"/>
      <c r="AK425" s="34"/>
      <c r="AL425" s="71">
        <f t="shared" si="820"/>
        <v>0</v>
      </c>
      <c r="AM425" s="34"/>
      <c r="AO425" s="34"/>
      <c r="AP425" s="71">
        <f t="shared" si="821"/>
        <v>0</v>
      </c>
      <c r="AQ425" s="34"/>
      <c r="AS425" s="34"/>
      <c r="AT425" s="71">
        <f t="shared" si="822"/>
        <v>0</v>
      </c>
      <c r="AU425" s="34"/>
      <c r="AW425" s="34"/>
      <c r="AX425" s="71">
        <f t="shared" si="823"/>
        <v>0</v>
      </c>
      <c r="AY425" s="34"/>
      <c r="BA425" s="34"/>
      <c r="BB425" s="71">
        <f t="shared" si="824"/>
        <v>0</v>
      </c>
      <c r="BC425" s="34"/>
      <c r="BE425" s="72">
        <f t="shared" si="825"/>
        <v>0</v>
      </c>
      <c r="BF425" s="73">
        <f t="shared" si="826"/>
        <v>0</v>
      </c>
      <c r="BG425" s="72">
        <f t="shared" si="827"/>
        <v>0</v>
      </c>
    </row>
    <row r="426" spans="1:59" ht="21" hidden="1" customHeight="1" x14ac:dyDescent="0.3">
      <c r="A426" s="11"/>
      <c r="B426" s="181"/>
      <c r="C426" s="34"/>
      <c r="D426" s="34"/>
      <c r="E426" s="34"/>
      <c r="F426" s="34"/>
      <c r="G426" s="70"/>
      <c r="H426" s="35"/>
      <c r="I426" s="34"/>
      <c r="J426" s="71">
        <f t="shared" si="813"/>
        <v>0</v>
      </c>
      <c r="K426" s="34"/>
      <c r="M426" s="34"/>
      <c r="N426" s="71">
        <f t="shared" si="814"/>
        <v>0</v>
      </c>
      <c r="O426" s="34"/>
      <c r="Q426" s="34"/>
      <c r="R426" s="71">
        <f t="shared" si="815"/>
        <v>0</v>
      </c>
      <c r="S426" s="34"/>
      <c r="U426" s="34"/>
      <c r="V426" s="71">
        <f t="shared" si="816"/>
        <v>0</v>
      </c>
      <c r="W426" s="34"/>
      <c r="Y426" s="34"/>
      <c r="Z426" s="71">
        <f t="shared" si="817"/>
        <v>0</v>
      </c>
      <c r="AA426" s="69"/>
      <c r="AC426" s="34"/>
      <c r="AD426" s="71">
        <f t="shared" si="818"/>
        <v>0</v>
      </c>
      <c r="AE426" s="34"/>
      <c r="AG426" s="34"/>
      <c r="AH426" s="71">
        <f t="shared" si="819"/>
        <v>0</v>
      </c>
      <c r="AI426" s="34"/>
      <c r="AK426" s="34"/>
      <c r="AL426" s="71">
        <f t="shared" si="820"/>
        <v>0</v>
      </c>
      <c r="AM426" s="34"/>
      <c r="AO426" s="34"/>
      <c r="AP426" s="71">
        <f t="shared" si="821"/>
        <v>0</v>
      </c>
      <c r="AQ426" s="34"/>
      <c r="AS426" s="34"/>
      <c r="AT426" s="71">
        <f t="shared" si="822"/>
        <v>0</v>
      </c>
      <c r="AU426" s="34"/>
      <c r="AW426" s="34"/>
      <c r="AX426" s="71">
        <f t="shared" si="823"/>
        <v>0</v>
      </c>
      <c r="AY426" s="34"/>
      <c r="BA426" s="34"/>
      <c r="BB426" s="71">
        <f t="shared" si="824"/>
        <v>0</v>
      </c>
      <c r="BC426" s="34"/>
      <c r="BE426" s="72">
        <f t="shared" si="825"/>
        <v>0</v>
      </c>
      <c r="BF426" s="73">
        <f t="shared" si="826"/>
        <v>0</v>
      </c>
      <c r="BG426" s="72">
        <f t="shared" si="827"/>
        <v>0</v>
      </c>
    </row>
    <row r="427" spans="1:59" ht="21" hidden="1" customHeight="1" x14ac:dyDescent="0.3">
      <c r="A427" s="11"/>
      <c r="B427" s="181"/>
      <c r="C427" s="34"/>
      <c r="D427" s="34"/>
      <c r="E427" s="34"/>
      <c r="F427" s="34"/>
      <c r="G427" s="70"/>
      <c r="H427" s="35"/>
      <c r="I427" s="34"/>
      <c r="J427" s="71">
        <f t="shared" si="813"/>
        <v>0</v>
      </c>
      <c r="K427" s="34"/>
      <c r="M427" s="34"/>
      <c r="N427" s="71">
        <f t="shared" si="814"/>
        <v>0</v>
      </c>
      <c r="O427" s="34"/>
      <c r="Q427" s="34"/>
      <c r="R427" s="71">
        <f t="shared" si="815"/>
        <v>0</v>
      </c>
      <c r="S427" s="34"/>
      <c r="U427" s="34"/>
      <c r="V427" s="71">
        <f t="shared" si="816"/>
        <v>0</v>
      </c>
      <c r="W427" s="34"/>
      <c r="Y427" s="34"/>
      <c r="Z427" s="71">
        <f t="shared" si="817"/>
        <v>0</v>
      </c>
      <c r="AA427" s="69"/>
      <c r="AC427" s="34"/>
      <c r="AD427" s="71">
        <f t="shared" si="818"/>
        <v>0</v>
      </c>
      <c r="AE427" s="34"/>
      <c r="AG427" s="34"/>
      <c r="AH427" s="71">
        <f t="shared" si="819"/>
        <v>0</v>
      </c>
      <c r="AI427" s="34"/>
      <c r="AK427" s="34"/>
      <c r="AL427" s="71">
        <f t="shared" si="820"/>
        <v>0</v>
      </c>
      <c r="AM427" s="34"/>
      <c r="AO427" s="34"/>
      <c r="AP427" s="71">
        <f t="shared" si="821"/>
        <v>0</v>
      </c>
      <c r="AQ427" s="34"/>
      <c r="AS427" s="34"/>
      <c r="AT427" s="71">
        <f t="shared" si="822"/>
        <v>0</v>
      </c>
      <c r="AU427" s="34"/>
      <c r="AW427" s="34"/>
      <c r="AX427" s="71">
        <f t="shared" si="823"/>
        <v>0</v>
      </c>
      <c r="AY427" s="34"/>
      <c r="BA427" s="34"/>
      <c r="BB427" s="71">
        <f t="shared" si="824"/>
        <v>0</v>
      </c>
      <c r="BC427" s="34"/>
      <c r="BE427" s="72">
        <f t="shared" si="825"/>
        <v>0</v>
      </c>
      <c r="BF427" s="73">
        <f t="shared" si="826"/>
        <v>0</v>
      </c>
      <c r="BG427" s="72">
        <f t="shared" si="827"/>
        <v>0</v>
      </c>
    </row>
    <row r="428" spans="1:59" ht="21" hidden="1" customHeight="1" x14ac:dyDescent="0.3">
      <c r="A428" s="11"/>
      <c r="B428" s="181"/>
      <c r="C428" s="34"/>
      <c r="D428" s="34"/>
      <c r="E428" s="34"/>
      <c r="F428" s="34"/>
      <c r="G428" s="70"/>
      <c r="H428" s="35"/>
      <c r="I428" s="34"/>
      <c r="J428" s="71">
        <f>IFERROR(+K428/I428,0)</f>
        <v>0</v>
      </c>
      <c r="K428" s="34"/>
      <c r="M428" s="34"/>
      <c r="N428" s="71">
        <f>IFERROR(+O428/M428,0)</f>
        <v>0</v>
      </c>
      <c r="O428" s="34"/>
      <c r="Q428" s="34"/>
      <c r="R428" s="71">
        <f>IFERROR(+S428/Q428,0)</f>
        <v>0</v>
      </c>
      <c r="S428" s="34"/>
      <c r="U428" s="34"/>
      <c r="V428" s="71">
        <f>IFERROR(+W428/U428,0)</f>
        <v>0</v>
      </c>
      <c r="W428" s="34"/>
      <c r="Y428" s="34"/>
      <c r="Z428" s="71">
        <f>IFERROR(+AA428/Y428,0)</f>
        <v>0</v>
      </c>
      <c r="AA428" s="69"/>
      <c r="AC428" s="34"/>
      <c r="AD428" s="71">
        <f>IFERROR(+AE428/AC428,0)</f>
        <v>0</v>
      </c>
      <c r="AE428" s="34"/>
      <c r="AG428" s="34"/>
      <c r="AH428" s="71">
        <f>IFERROR(+AI428/AG428,0)</f>
        <v>0</v>
      </c>
      <c r="AI428" s="34"/>
      <c r="AK428" s="34"/>
      <c r="AL428" s="71">
        <f>IFERROR(+AM428/AK428,0)</f>
        <v>0</v>
      </c>
      <c r="AM428" s="34"/>
      <c r="AO428" s="34"/>
      <c r="AP428" s="71">
        <f>IFERROR(+AQ428/AO428,0)</f>
        <v>0</v>
      </c>
      <c r="AQ428" s="34"/>
      <c r="AS428" s="34"/>
      <c r="AT428" s="71">
        <f>IFERROR(+AU428/AS428,0)</f>
        <v>0</v>
      </c>
      <c r="AU428" s="34"/>
      <c r="AW428" s="34"/>
      <c r="AX428" s="71">
        <f>IFERROR(+AY428/AW428,0)</f>
        <v>0</v>
      </c>
      <c r="AY428" s="34"/>
      <c r="BA428" s="34"/>
      <c r="BB428" s="71">
        <f>IFERROR(+BC428/BA428,0)</f>
        <v>0</v>
      </c>
      <c r="BC428" s="34"/>
      <c r="BE428" s="72">
        <f t="shared" si="825"/>
        <v>0</v>
      </c>
      <c r="BF428" s="73">
        <f t="shared" si="826"/>
        <v>0</v>
      </c>
      <c r="BG428" s="72">
        <f t="shared" si="827"/>
        <v>0</v>
      </c>
    </row>
    <row r="429" spans="1:59" ht="21" hidden="1" customHeight="1" x14ac:dyDescent="0.3">
      <c r="A429" s="11"/>
      <c r="B429" s="181"/>
      <c r="C429" s="34"/>
      <c r="D429" s="34"/>
      <c r="E429" s="34"/>
      <c r="F429" s="34"/>
      <c r="G429" s="70"/>
      <c r="H429" s="35"/>
      <c r="I429" s="34"/>
      <c r="J429" s="71">
        <f t="shared" si="813"/>
        <v>0</v>
      </c>
      <c r="K429" s="34"/>
      <c r="M429" s="34"/>
      <c r="N429" s="71">
        <f t="shared" si="814"/>
        <v>0</v>
      </c>
      <c r="O429" s="34"/>
      <c r="Q429" s="34"/>
      <c r="R429" s="71">
        <f t="shared" si="815"/>
        <v>0</v>
      </c>
      <c r="S429" s="34"/>
      <c r="U429" s="34"/>
      <c r="V429" s="71">
        <f t="shared" si="816"/>
        <v>0</v>
      </c>
      <c r="W429" s="34"/>
      <c r="Y429" s="34"/>
      <c r="Z429" s="71">
        <f t="shared" si="817"/>
        <v>0</v>
      </c>
      <c r="AA429" s="69"/>
      <c r="AC429" s="34"/>
      <c r="AD429" s="71">
        <f t="shared" si="818"/>
        <v>0</v>
      </c>
      <c r="AE429" s="34"/>
      <c r="AG429" s="34"/>
      <c r="AH429" s="71">
        <f t="shared" si="819"/>
        <v>0</v>
      </c>
      <c r="AI429" s="34"/>
      <c r="AK429" s="34"/>
      <c r="AL429" s="71">
        <f t="shared" si="820"/>
        <v>0</v>
      </c>
      <c r="AM429" s="34"/>
      <c r="AO429" s="34"/>
      <c r="AP429" s="71">
        <f t="shared" si="821"/>
        <v>0</v>
      </c>
      <c r="AQ429" s="34"/>
      <c r="AS429" s="34"/>
      <c r="AT429" s="71">
        <f t="shared" si="822"/>
        <v>0</v>
      </c>
      <c r="AU429" s="34"/>
      <c r="AW429" s="34"/>
      <c r="AX429" s="71">
        <f t="shared" si="823"/>
        <v>0</v>
      </c>
      <c r="AY429" s="34"/>
      <c r="BA429" s="34"/>
      <c r="BB429" s="71">
        <f t="shared" si="824"/>
        <v>0</v>
      </c>
      <c r="BC429" s="34"/>
      <c r="BE429" s="72">
        <f>+I429+M429+Q429++U429+Y429+AC429+AG429+AK429+AO429+AS429+AW429+BA429</f>
        <v>0</v>
      </c>
      <c r="BF429" s="73">
        <f>IFERROR(+BG429/BE429,0)</f>
        <v>0</v>
      </c>
      <c r="BG429" s="72">
        <f>+K429+O429+S429+W429+AA429+AE429+AI429+AM429+AQ429+AU429+AY429+BC429</f>
        <v>0</v>
      </c>
    </row>
    <row r="430" spans="1:59" ht="21" hidden="1" customHeight="1" x14ac:dyDescent="0.3">
      <c r="A430" s="11"/>
      <c r="B430" s="272" t="s">
        <v>227</v>
      </c>
      <c r="C430" s="273"/>
      <c r="D430" s="273"/>
      <c r="E430" s="273"/>
      <c r="F430" s="273"/>
      <c r="G430" s="274"/>
      <c r="H430" s="35"/>
      <c r="I430" s="72">
        <f>SUM(I423:I429)</f>
        <v>0</v>
      </c>
      <c r="J430" s="73">
        <f t="shared" ref="J430" si="828">IFERROR(+K430/I430,0)</f>
        <v>0</v>
      </c>
      <c r="K430" s="72">
        <f>SUM(K423:K429)</f>
        <v>0</v>
      </c>
      <c r="M430" s="72">
        <f>SUM(M423:M429)</f>
        <v>0</v>
      </c>
      <c r="N430" s="73">
        <f t="shared" ref="N430" si="829">IFERROR(+O430/M430,0)</f>
        <v>0</v>
      </c>
      <c r="O430" s="72">
        <f>SUM(O423:O429)</f>
        <v>0</v>
      </c>
      <c r="Q430" s="72">
        <f>SUM(Q423:Q429)</f>
        <v>0</v>
      </c>
      <c r="R430" s="73">
        <f t="shared" ref="R430" si="830">IFERROR(+S430/Q430,0)</f>
        <v>0</v>
      </c>
      <c r="S430" s="72">
        <f>SUM(S423:S429)</f>
        <v>0</v>
      </c>
      <c r="U430" s="72">
        <f>SUM(U423:U429)</f>
        <v>0</v>
      </c>
      <c r="V430" s="73">
        <f t="shared" ref="V430" si="831">IFERROR(+W430/U430,0)</f>
        <v>0</v>
      </c>
      <c r="W430" s="72">
        <f>SUM(W423:W429)</f>
        <v>0</v>
      </c>
      <c r="Y430" s="72">
        <f>SUM(Y423:Y429)</f>
        <v>0</v>
      </c>
      <c r="Z430" s="73">
        <f t="shared" ref="Z430" si="832">IFERROR(+AA430/Y430,0)</f>
        <v>0</v>
      </c>
      <c r="AA430" s="72">
        <f>SUM(AA423:AA429)</f>
        <v>0</v>
      </c>
      <c r="AC430" s="72">
        <f>SUM(AC423:AC429)</f>
        <v>0</v>
      </c>
      <c r="AD430" s="73">
        <f t="shared" ref="AD430" si="833">IFERROR(+AE430/AC430,0)</f>
        <v>0</v>
      </c>
      <c r="AE430" s="72">
        <f>SUM(AE423:AE429)</f>
        <v>0</v>
      </c>
      <c r="AG430" s="72">
        <f>SUM(AG423:AG429)</f>
        <v>0</v>
      </c>
      <c r="AH430" s="73">
        <f t="shared" ref="AH430" si="834">IFERROR(+AI430/AG430,0)</f>
        <v>0</v>
      </c>
      <c r="AI430" s="72">
        <f>SUM(AI423:AI429)</f>
        <v>0</v>
      </c>
      <c r="AK430" s="72">
        <f>SUM(AK423:AK429)</f>
        <v>0</v>
      </c>
      <c r="AL430" s="73">
        <f t="shared" ref="AL430" si="835">IFERROR(+AM430/AK430,0)</f>
        <v>0</v>
      </c>
      <c r="AM430" s="72">
        <f>SUM(AM423:AM429)</f>
        <v>0</v>
      </c>
      <c r="AO430" s="72">
        <f>SUM(AO423:AO429)</f>
        <v>0</v>
      </c>
      <c r="AP430" s="73">
        <f t="shared" ref="AP430" si="836">IFERROR(+AQ430/AO430,0)</f>
        <v>0</v>
      </c>
      <c r="AQ430" s="72">
        <f>SUM(AQ423:AQ429)</f>
        <v>0</v>
      </c>
      <c r="AS430" s="72">
        <f>SUM(AS423:AS429)</f>
        <v>0</v>
      </c>
      <c r="AT430" s="73">
        <f t="shared" ref="AT430" si="837">IFERROR(+AU430/AS430,0)</f>
        <v>0</v>
      </c>
      <c r="AU430" s="72">
        <f>SUM(AU423:AU429)</f>
        <v>0</v>
      </c>
      <c r="AW430" s="72">
        <f>SUM(AW423:AW429)</f>
        <v>0</v>
      </c>
      <c r="AX430" s="73">
        <f t="shared" ref="AX430" si="838">IFERROR(+AY430/AW430,0)</f>
        <v>0</v>
      </c>
      <c r="AY430" s="72">
        <f>SUM(AY423:AY429)</f>
        <v>0</v>
      </c>
      <c r="BA430" s="72">
        <f>SUM(BA423:BA429)</f>
        <v>0</v>
      </c>
      <c r="BB430" s="73">
        <f t="shared" ref="BB430" si="839">IFERROR(+BC430/BA430,0)</f>
        <v>0</v>
      </c>
      <c r="BC430" s="72">
        <f>SUM(BC423:BC429)</f>
        <v>0</v>
      </c>
      <c r="BE430" s="72">
        <f>SUM(BE423:BE429)</f>
        <v>0</v>
      </c>
      <c r="BF430" s="73">
        <f t="shared" ref="BF430" si="840">IFERROR(+BG430/BE430,0)</f>
        <v>0</v>
      </c>
      <c r="BG430" s="72">
        <f>SUM(BG423:BG429)</f>
        <v>0</v>
      </c>
    </row>
    <row r="431" spans="1:59" hidden="1" x14ac:dyDescent="0.3"/>
    <row r="432" spans="1:59" ht="36" hidden="1" customHeight="1" x14ac:dyDescent="0.3">
      <c r="A432" s="11"/>
      <c r="B432" s="267" t="s">
        <v>897</v>
      </c>
      <c r="C432" s="267"/>
      <c r="D432" s="267"/>
      <c r="E432" s="267"/>
      <c r="F432" s="267"/>
      <c r="G432" s="267"/>
      <c r="H432" s="267"/>
      <c r="I432" s="267"/>
      <c r="J432" s="267"/>
    </row>
    <row r="433" spans="1:59" hidden="1" x14ac:dyDescent="0.3"/>
    <row r="434" spans="1:59" ht="21" hidden="1" customHeight="1" x14ac:dyDescent="0.3">
      <c r="A434" s="11"/>
      <c r="B434" s="260" t="s">
        <v>894</v>
      </c>
      <c r="C434" s="260" t="s">
        <v>895</v>
      </c>
      <c r="D434" s="268" t="s">
        <v>235</v>
      </c>
      <c r="E434" s="264" t="s">
        <v>232</v>
      </c>
      <c r="F434" s="264" t="s">
        <v>233</v>
      </c>
      <c r="G434" s="261" t="s">
        <v>234</v>
      </c>
      <c r="H434" s="36"/>
      <c r="I434" s="271" t="str">
        <f>+"Enero "&amp;$I$6&amp;""</f>
        <v>Enero 2025</v>
      </c>
      <c r="J434" s="271"/>
      <c r="K434" s="271"/>
      <c r="M434" s="271" t="str">
        <f>+"Febrero "&amp;$I$6&amp;""</f>
        <v>Febrero 2025</v>
      </c>
      <c r="N434" s="271"/>
      <c r="O434" s="271"/>
      <c r="Q434" s="271" t="str">
        <f>+"Marzo "&amp;$I$6&amp;""</f>
        <v>Marzo 2025</v>
      </c>
      <c r="R434" s="271"/>
      <c r="S434" s="271"/>
      <c r="U434" s="271" t="str">
        <f>+"Abril "&amp;$I$6&amp;""</f>
        <v>Abril 2025</v>
      </c>
      <c r="V434" s="271"/>
      <c r="W434" s="271"/>
      <c r="Y434" s="271" t="str">
        <f>+"Mayo "&amp;$I$6&amp;""</f>
        <v>Mayo 2025</v>
      </c>
      <c r="Z434" s="271"/>
      <c r="AA434" s="271"/>
      <c r="AC434" s="271" t="str">
        <f>+"Junio "&amp;$I$6&amp;""</f>
        <v>Junio 2025</v>
      </c>
      <c r="AD434" s="271"/>
      <c r="AE434" s="271"/>
      <c r="AG434" s="271" t="str">
        <f>+"Julio "&amp;$I$6&amp;""</f>
        <v>Julio 2025</v>
      </c>
      <c r="AH434" s="271"/>
      <c r="AI434" s="271"/>
      <c r="AK434" s="271" t="str">
        <f>+"Agosto "&amp;$I$6&amp;""</f>
        <v>Agosto 2025</v>
      </c>
      <c r="AL434" s="271"/>
      <c r="AM434" s="271"/>
      <c r="AO434" s="271" t="str">
        <f>+"Septiembre "&amp;$I$6&amp;""</f>
        <v>Septiembre 2025</v>
      </c>
      <c r="AP434" s="271"/>
      <c r="AQ434" s="271"/>
      <c r="AS434" s="271" t="str">
        <f>+"Octubre "&amp;$I$6&amp;""</f>
        <v>Octubre 2025</v>
      </c>
      <c r="AT434" s="271"/>
      <c r="AU434" s="271"/>
      <c r="AW434" s="271" t="str">
        <f>+"Noviembre "&amp;$I$6&amp;""</f>
        <v>Noviembre 2025</v>
      </c>
      <c r="AX434" s="271"/>
      <c r="AY434" s="271"/>
      <c r="BA434" s="271" t="str">
        <f>+"Diciembre "&amp;$I$6&amp;""</f>
        <v>Diciembre 2025</v>
      </c>
      <c r="BB434" s="271"/>
      <c r="BC434" s="271"/>
      <c r="BE434" s="271" t="str">
        <f>+"Acumulado "&amp;$I$6&amp;""</f>
        <v>Acumulado 2025</v>
      </c>
      <c r="BF434" s="271"/>
      <c r="BG434" s="271"/>
    </row>
    <row r="435" spans="1:59" ht="21" hidden="1" customHeight="1" x14ac:dyDescent="0.3">
      <c r="A435" s="11"/>
      <c r="B435" s="260"/>
      <c r="C435" s="260"/>
      <c r="D435" s="269"/>
      <c r="E435" s="265"/>
      <c r="F435" s="265"/>
      <c r="G435" s="262"/>
      <c r="H435" s="36"/>
      <c r="I435" s="261" t="s">
        <v>60</v>
      </c>
      <c r="J435" s="261" t="s">
        <v>61</v>
      </c>
      <c r="K435" s="226" t="s">
        <v>62</v>
      </c>
      <c r="L435" s="20"/>
      <c r="M435" s="261" t="s">
        <v>60</v>
      </c>
      <c r="N435" s="261" t="s">
        <v>61</v>
      </c>
      <c r="O435" s="226" t="s">
        <v>62</v>
      </c>
      <c r="P435" s="20"/>
      <c r="Q435" s="261" t="s">
        <v>60</v>
      </c>
      <c r="R435" s="261" t="s">
        <v>61</v>
      </c>
      <c r="S435" s="226" t="s">
        <v>62</v>
      </c>
      <c r="T435" s="20"/>
      <c r="U435" s="261" t="s">
        <v>60</v>
      </c>
      <c r="V435" s="261" t="s">
        <v>61</v>
      </c>
      <c r="W435" s="226" t="s">
        <v>62</v>
      </c>
      <c r="X435" s="20"/>
      <c r="Y435" s="261" t="s">
        <v>60</v>
      </c>
      <c r="Z435" s="261" t="s">
        <v>61</v>
      </c>
      <c r="AA435" s="226" t="s">
        <v>62</v>
      </c>
      <c r="AB435" s="20"/>
      <c r="AC435" s="261" t="s">
        <v>60</v>
      </c>
      <c r="AD435" s="261" t="s">
        <v>61</v>
      </c>
      <c r="AE435" s="226" t="s">
        <v>62</v>
      </c>
      <c r="AF435" s="20"/>
      <c r="AG435" s="261" t="s">
        <v>60</v>
      </c>
      <c r="AH435" s="261" t="s">
        <v>61</v>
      </c>
      <c r="AI435" s="226" t="s">
        <v>62</v>
      </c>
      <c r="AJ435" s="20"/>
      <c r="AK435" s="261" t="s">
        <v>60</v>
      </c>
      <c r="AL435" s="261" t="s">
        <v>61</v>
      </c>
      <c r="AM435" s="226" t="s">
        <v>62</v>
      </c>
      <c r="AN435" s="20"/>
      <c r="AO435" s="261" t="s">
        <v>60</v>
      </c>
      <c r="AP435" s="261" t="s">
        <v>61</v>
      </c>
      <c r="AQ435" s="226" t="s">
        <v>62</v>
      </c>
      <c r="AR435" s="20"/>
      <c r="AS435" s="261" t="s">
        <v>60</v>
      </c>
      <c r="AT435" s="261" t="s">
        <v>61</v>
      </c>
      <c r="AU435" s="226" t="s">
        <v>62</v>
      </c>
      <c r="AV435" s="20"/>
      <c r="AW435" s="261" t="s">
        <v>60</v>
      </c>
      <c r="AX435" s="261" t="s">
        <v>61</v>
      </c>
      <c r="AY435" s="226" t="s">
        <v>62</v>
      </c>
      <c r="AZ435" s="20"/>
      <c r="BA435" s="261" t="s">
        <v>60</v>
      </c>
      <c r="BB435" s="261" t="s">
        <v>61</v>
      </c>
      <c r="BC435" s="226" t="s">
        <v>62</v>
      </c>
      <c r="BD435" s="20"/>
      <c r="BE435" s="261" t="s">
        <v>60</v>
      </c>
      <c r="BF435" s="261" t="s">
        <v>61</v>
      </c>
      <c r="BG435" s="226" t="s">
        <v>62</v>
      </c>
    </row>
    <row r="436" spans="1:59" ht="21" hidden="1" customHeight="1" x14ac:dyDescent="0.3">
      <c r="A436" s="11"/>
      <c r="B436" s="260"/>
      <c r="C436" s="260"/>
      <c r="D436" s="270"/>
      <c r="E436" s="266"/>
      <c r="F436" s="266"/>
      <c r="G436" s="263"/>
      <c r="H436" s="36"/>
      <c r="I436" s="263"/>
      <c r="J436" s="263"/>
      <c r="K436" s="227" t="s">
        <v>1023</v>
      </c>
      <c r="L436" s="20"/>
      <c r="M436" s="263"/>
      <c r="N436" s="263"/>
      <c r="O436" s="227" t="s">
        <v>1023</v>
      </c>
      <c r="P436" s="20"/>
      <c r="Q436" s="263"/>
      <c r="R436" s="263"/>
      <c r="S436" s="227" t="s">
        <v>1023</v>
      </c>
      <c r="T436" s="20"/>
      <c r="U436" s="263"/>
      <c r="V436" s="263"/>
      <c r="W436" s="227" t="s">
        <v>1023</v>
      </c>
      <c r="X436" s="20"/>
      <c r="Y436" s="263"/>
      <c r="Z436" s="263"/>
      <c r="AA436" s="227" t="s">
        <v>1023</v>
      </c>
      <c r="AB436" s="20"/>
      <c r="AC436" s="263"/>
      <c r="AD436" s="263"/>
      <c r="AE436" s="227" t="s">
        <v>1023</v>
      </c>
      <c r="AF436" s="20"/>
      <c r="AG436" s="263"/>
      <c r="AH436" s="263"/>
      <c r="AI436" s="227" t="s">
        <v>1023</v>
      </c>
      <c r="AJ436" s="20"/>
      <c r="AK436" s="263"/>
      <c r="AL436" s="263"/>
      <c r="AM436" s="227" t="s">
        <v>1023</v>
      </c>
      <c r="AN436" s="20"/>
      <c r="AO436" s="263"/>
      <c r="AP436" s="263"/>
      <c r="AQ436" s="227" t="s">
        <v>1023</v>
      </c>
      <c r="AR436" s="20"/>
      <c r="AS436" s="263"/>
      <c r="AT436" s="263"/>
      <c r="AU436" s="227" t="s">
        <v>1023</v>
      </c>
      <c r="AV436" s="20"/>
      <c r="AW436" s="263"/>
      <c r="AX436" s="263"/>
      <c r="AY436" s="227" t="s">
        <v>1023</v>
      </c>
      <c r="AZ436" s="20"/>
      <c r="BA436" s="263"/>
      <c r="BB436" s="263"/>
      <c r="BC436" s="227" t="s">
        <v>1023</v>
      </c>
      <c r="BD436" s="20"/>
      <c r="BE436" s="263"/>
      <c r="BF436" s="263"/>
      <c r="BG436" s="227" t="s">
        <v>1023</v>
      </c>
    </row>
    <row r="437" spans="1:59" ht="21" hidden="1" customHeight="1" x14ac:dyDescent="0.3">
      <c r="A437" s="11"/>
      <c r="B437" s="181"/>
      <c r="C437" s="34"/>
      <c r="D437" s="34"/>
      <c r="E437" s="34"/>
      <c r="F437" s="34"/>
      <c r="G437" s="70"/>
      <c r="H437" s="35"/>
      <c r="I437" s="34"/>
      <c r="J437" s="71">
        <f>IFERROR(+K437/I437,0)</f>
        <v>0</v>
      </c>
      <c r="K437" s="34"/>
      <c r="M437" s="34"/>
      <c r="N437" s="71">
        <f>IFERROR(+O437/M437,0)</f>
        <v>0</v>
      </c>
      <c r="O437" s="34"/>
      <c r="Q437" s="34"/>
      <c r="R437" s="71">
        <f>IFERROR(+S437/Q437,0)</f>
        <v>0</v>
      </c>
      <c r="S437" s="34"/>
      <c r="U437" s="34"/>
      <c r="V437" s="71">
        <f>IFERROR(+W437/U437,0)</f>
        <v>0</v>
      </c>
      <c r="W437" s="34"/>
      <c r="Y437" s="34"/>
      <c r="Z437" s="71">
        <f>IFERROR(+AA437/Y437,0)</f>
        <v>0</v>
      </c>
      <c r="AA437" s="69"/>
      <c r="AC437" s="34"/>
      <c r="AD437" s="71">
        <f>IFERROR(+AE437/AC437,0)</f>
        <v>0</v>
      </c>
      <c r="AE437" s="34"/>
      <c r="AG437" s="34"/>
      <c r="AH437" s="71">
        <f>IFERROR(+AI437/AG437,0)</f>
        <v>0</v>
      </c>
      <c r="AI437" s="34"/>
      <c r="AK437" s="34"/>
      <c r="AL437" s="71">
        <f>IFERROR(+AM437/AK437,0)</f>
        <v>0</v>
      </c>
      <c r="AM437" s="34"/>
      <c r="AO437" s="34"/>
      <c r="AP437" s="71">
        <f>IFERROR(+AQ437/AO437,0)</f>
        <v>0</v>
      </c>
      <c r="AQ437" s="34"/>
      <c r="AS437" s="34"/>
      <c r="AT437" s="71">
        <f>IFERROR(+AU437/AS437,0)</f>
        <v>0</v>
      </c>
      <c r="AU437" s="34"/>
      <c r="AW437" s="34"/>
      <c r="AX437" s="71">
        <f>IFERROR(+AY437/AW437,0)</f>
        <v>0</v>
      </c>
      <c r="AY437" s="34"/>
      <c r="BA437" s="34"/>
      <c r="BB437" s="71">
        <f>IFERROR(+BC437/BA437,0)</f>
        <v>0</v>
      </c>
      <c r="BC437" s="34"/>
      <c r="BE437" s="72">
        <f>+I437+M437+Q437++U437+Y437+AC437+AG437+AK437+AO437+AS437+AW437+BA437</f>
        <v>0</v>
      </c>
      <c r="BF437" s="73">
        <f>IFERROR(+BG437/BE437,0)</f>
        <v>0</v>
      </c>
      <c r="BG437" s="72">
        <f>+K437+O437+S437+W437+AA437+AE437+AI437+AM437+AQ437+AU437+AY437+BC437</f>
        <v>0</v>
      </c>
    </row>
    <row r="438" spans="1:59" ht="21" hidden="1" customHeight="1" x14ac:dyDescent="0.3">
      <c r="A438" s="11"/>
      <c r="B438" s="181"/>
      <c r="C438" s="34"/>
      <c r="D438" s="34"/>
      <c r="E438" s="34"/>
      <c r="F438" s="34"/>
      <c r="G438" s="70"/>
      <c r="H438" s="35"/>
      <c r="I438" s="34"/>
      <c r="J438" s="71">
        <f t="shared" ref="J438:J442" si="841">IFERROR(+K438/I438,0)</f>
        <v>0</v>
      </c>
      <c r="K438" s="34"/>
      <c r="M438" s="34"/>
      <c r="N438" s="71">
        <f t="shared" ref="N438:N442" si="842">IFERROR(+O438/M438,0)</f>
        <v>0</v>
      </c>
      <c r="O438" s="34"/>
      <c r="Q438" s="34"/>
      <c r="R438" s="71">
        <f t="shared" ref="R438:R442" si="843">IFERROR(+S438/Q438,0)</f>
        <v>0</v>
      </c>
      <c r="S438" s="34"/>
      <c r="U438" s="34"/>
      <c r="V438" s="71">
        <f t="shared" ref="V438:V442" si="844">IFERROR(+W438/U438,0)</f>
        <v>0</v>
      </c>
      <c r="W438" s="34"/>
      <c r="Y438" s="34"/>
      <c r="Z438" s="71">
        <f t="shared" ref="Z438:Z442" si="845">IFERROR(+AA438/Y438,0)</f>
        <v>0</v>
      </c>
      <c r="AA438" s="69"/>
      <c r="AC438" s="34"/>
      <c r="AD438" s="71">
        <f t="shared" ref="AD438:AD442" si="846">IFERROR(+AE438/AC438,0)</f>
        <v>0</v>
      </c>
      <c r="AE438" s="34"/>
      <c r="AG438" s="34"/>
      <c r="AH438" s="71">
        <f t="shared" ref="AH438:AH442" si="847">IFERROR(+AI438/AG438,0)</f>
        <v>0</v>
      </c>
      <c r="AI438" s="34"/>
      <c r="AK438" s="34"/>
      <c r="AL438" s="71">
        <f t="shared" ref="AL438:AL442" si="848">IFERROR(+AM438/AK438,0)</f>
        <v>0</v>
      </c>
      <c r="AM438" s="34"/>
      <c r="AO438" s="34"/>
      <c r="AP438" s="71">
        <f t="shared" ref="AP438:AP442" si="849">IFERROR(+AQ438/AO438,0)</f>
        <v>0</v>
      </c>
      <c r="AQ438" s="34"/>
      <c r="AS438" s="34"/>
      <c r="AT438" s="71">
        <f t="shared" ref="AT438:AT442" si="850">IFERROR(+AU438/AS438,0)</f>
        <v>0</v>
      </c>
      <c r="AU438" s="34"/>
      <c r="AW438" s="34"/>
      <c r="AX438" s="71">
        <f t="shared" ref="AX438:AX442" si="851">IFERROR(+AY438/AW438,0)</f>
        <v>0</v>
      </c>
      <c r="AY438" s="34"/>
      <c r="BA438" s="34"/>
      <c r="BB438" s="71">
        <f t="shared" ref="BB438:BB442" si="852">IFERROR(+BC438/BA438,0)</f>
        <v>0</v>
      </c>
      <c r="BC438" s="34"/>
      <c r="BE438" s="72">
        <f t="shared" ref="BE438:BE442" si="853">+I438+M438+Q438++U438+Y438+AC438+AG438+AK438+AO438+AS438+AW438+BA438</f>
        <v>0</v>
      </c>
      <c r="BF438" s="73">
        <f t="shared" ref="BF438:BF442" si="854">IFERROR(+BG438/BE438,0)</f>
        <v>0</v>
      </c>
      <c r="BG438" s="72">
        <f t="shared" ref="BG438:BG442" si="855">+K438+O438+S438+W438+AA438+AE438+AI438+AM438+AQ438+AU438+AY438+BC438</f>
        <v>0</v>
      </c>
    </row>
    <row r="439" spans="1:59" ht="21" hidden="1" customHeight="1" x14ac:dyDescent="0.3">
      <c r="A439" s="11"/>
      <c r="B439" s="181"/>
      <c r="C439" s="34"/>
      <c r="D439" s="34"/>
      <c r="E439" s="34"/>
      <c r="F439" s="34"/>
      <c r="G439" s="70"/>
      <c r="H439" s="35"/>
      <c r="I439" s="34"/>
      <c r="J439" s="71">
        <f t="shared" si="841"/>
        <v>0</v>
      </c>
      <c r="K439" s="34"/>
      <c r="M439" s="34"/>
      <c r="N439" s="71">
        <f t="shared" si="842"/>
        <v>0</v>
      </c>
      <c r="O439" s="34"/>
      <c r="Q439" s="34"/>
      <c r="R439" s="71">
        <f t="shared" si="843"/>
        <v>0</v>
      </c>
      <c r="S439" s="34"/>
      <c r="U439" s="34"/>
      <c r="V439" s="71">
        <f t="shared" si="844"/>
        <v>0</v>
      </c>
      <c r="W439" s="34"/>
      <c r="Y439" s="34"/>
      <c r="Z439" s="71">
        <f t="shared" si="845"/>
        <v>0</v>
      </c>
      <c r="AA439" s="69"/>
      <c r="AC439" s="34"/>
      <c r="AD439" s="71">
        <f t="shared" si="846"/>
        <v>0</v>
      </c>
      <c r="AE439" s="34"/>
      <c r="AG439" s="34"/>
      <c r="AH439" s="71">
        <f t="shared" si="847"/>
        <v>0</v>
      </c>
      <c r="AI439" s="34"/>
      <c r="AK439" s="34"/>
      <c r="AL439" s="71">
        <f t="shared" si="848"/>
        <v>0</v>
      </c>
      <c r="AM439" s="34"/>
      <c r="AO439" s="34"/>
      <c r="AP439" s="71">
        <f t="shared" si="849"/>
        <v>0</v>
      </c>
      <c r="AQ439" s="34"/>
      <c r="AS439" s="34"/>
      <c r="AT439" s="71">
        <f t="shared" si="850"/>
        <v>0</v>
      </c>
      <c r="AU439" s="34"/>
      <c r="AW439" s="34"/>
      <c r="AX439" s="71">
        <f t="shared" si="851"/>
        <v>0</v>
      </c>
      <c r="AY439" s="34"/>
      <c r="BA439" s="34"/>
      <c r="BB439" s="71">
        <f t="shared" si="852"/>
        <v>0</v>
      </c>
      <c r="BC439" s="34"/>
      <c r="BE439" s="72">
        <f t="shared" si="853"/>
        <v>0</v>
      </c>
      <c r="BF439" s="73">
        <f t="shared" si="854"/>
        <v>0</v>
      </c>
      <c r="BG439" s="72">
        <f t="shared" si="855"/>
        <v>0</v>
      </c>
    </row>
    <row r="440" spans="1:59" ht="21" hidden="1" customHeight="1" x14ac:dyDescent="0.3">
      <c r="A440" s="11"/>
      <c r="B440" s="181"/>
      <c r="C440" s="34"/>
      <c r="D440" s="34"/>
      <c r="E440" s="34"/>
      <c r="F440" s="34"/>
      <c r="G440" s="70"/>
      <c r="H440" s="35"/>
      <c r="I440" s="34"/>
      <c r="J440" s="71">
        <f t="shared" si="841"/>
        <v>0</v>
      </c>
      <c r="K440" s="34"/>
      <c r="M440" s="34"/>
      <c r="N440" s="71">
        <f t="shared" si="842"/>
        <v>0</v>
      </c>
      <c r="O440" s="34"/>
      <c r="Q440" s="34"/>
      <c r="R440" s="71">
        <f t="shared" si="843"/>
        <v>0</v>
      </c>
      <c r="S440" s="34"/>
      <c r="U440" s="34"/>
      <c r="V440" s="71">
        <f t="shared" si="844"/>
        <v>0</v>
      </c>
      <c r="W440" s="34"/>
      <c r="Y440" s="34"/>
      <c r="Z440" s="71">
        <f t="shared" si="845"/>
        <v>0</v>
      </c>
      <c r="AA440" s="69"/>
      <c r="AC440" s="34"/>
      <c r="AD440" s="71">
        <f t="shared" si="846"/>
        <v>0</v>
      </c>
      <c r="AE440" s="34"/>
      <c r="AG440" s="34"/>
      <c r="AH440" s="71">
        <f t="shared" si="847"/>
        <v>0</v>
      </c>
      <c r="AI440" s="34"/>
      <c r="AK440" s="34"/>
      <c r="AL440" s="71">
        <f t="shared" si="848"/>
        <v>0</v>
      </c>
      <c r="AM440" s="34"/>
      <c r="AO440" s="34"/>
      <c r="AP440" s="71">
        <f t="shared" si="849"/>
        <v>0</v>
      </c>
      <c r="AQ440" s="34"/>
      <c r="AS440" s="34"/>
      <c r="AT440" s="71">
        <f t="shared" si="850"/>
        <v>0</v>
      </c>
      <c r="AU440" s="34"/>
      <c r="AW440" s="34"/>
      <c r="AX440" s="71">
        <f t="shared" si="851"/>
        <v>0</v>
      </c>
      <c r="AY440" s="34"/>
      <c r="BA440" s="34"/>
      <c r="BB440" s="71">
        <f t="shared" si="852"/>
        <v>0</v>
      </c>
      <c r="BC440" s="34"/>
      <c r="BE440" s="72">
        <f t="shared" si="853"/>
        <v>0</v>
      </c>
      <c r="BF440" s="73">
        <f t="shared" si="854"/>
        <v>0</v>
      </c>
      <c r="BG440" s="72">
        <f t="shared" si="855"/>
        <v>0</v>
      </c>
    </row>
    <row r="441" spans="1:59" ht="21" hidden="1" customHeight="1" x14ac:dyDescent="0.3">
      <c r="A441" s="11"/>
      <c r="B441" s="181"/>
      <c r="C441" s="34"/>
      <c r="D441" s="34"/>
      <c r="E441" s="34"/>
      <c r="F441" s="34"/>
      <c r="G441" s="70"/>
      <c r="H441" s="35"/>
      <c r="I441" s="34"/>
      <c r="J441" s="71">
        <f t="shared" si="841"/>
        <v>0</v>
      </c>
      <c r="K441" s="34"/>
      <c r="M441" s="34"/>
      <c r="N441" s="71">
        <f t="shared" si="842"/>
        <v>0</v>
      </c>
      <c r="O441" s="34"/>
      <c r="Q441" s="34"/>
      <c r="R441" s="71">
        <f t="shared" si="843"/>
        <v>0</v>
      </c>
      <c r="S441" s="34"/>
      <c r="U441" s="34"/>
      <c r="V441" s="71">
        <f t="shared" si="844"/>
        <v>0</v>
      </c>
      <c r="W441" s="34"/>
      <c r="Y441" s="34"/>
      <c r="Z441" s="71">
        <f t="shared" si="845"/>
        <v>0</v>
      </c>
      <c r="AA441" s="69"/>
      <c r="AC441" s="34"/>
      <c r="AD441" s="71">
        <f t="shared" si="846"/>
        <v>0</v>
      </c>
      <c r="AE441" s="34"/>
      <c r="AG441" s="34"/>
      <c r="AH441" s="71">
        <f t="shared" si="847"/>
        <v>0</v>
      </c>
      <c r="AI441" s="34"/>
      <c r="AK441" s="34"/>
      <c r="AL441" s="71">
        <f t="shared" si="848"/>
        <v>0</v>
      </c>
      <c r="AM441" s="34"/>
      <c r="AO441" s="34"/>
      <c r="AP441" s="71">
        <f t="shared" si="849"/>
        <v>0</v>
      </c>
      <c r="AQ441" s="34"/>
      <c r="AS441" s="34"/>
      <c r="AT441" s="71">
        <f t="shared" si="850"/>
        <v>0</v>
      </c>
      <c r="AU441" s="34"/>
      <c r="AW441" s="34"/>
      <c r="AX441" s="71">
        <f t="shared" si="851"/>
        <v>0</v>
      </c>
      <c r="AY441" s="34"/>
      <c r="BA441" s="34"/>
      <c r="BB441" s="71">
        <f t="shared" si="852"/>
        <v>0</v>
      </c>
      <c r="BC441" s="34"/>
      <c r="BE441" s="72">
        <f t="shared" si="853"/>
        <v>0</v>
      </c>
      <c r="BF441" s="73">
        <f t="shared" si="854"/>
        <v>0</v>
      </c>
      <c r="BG441" s="72">
        <f t="shared" si="855"/>
        <v>0</v>
      </c>
    </row>
    <row r="442" spans="1:59" ht="21" hidden="1" customHeight="1" x14ac:dyDescent="0.3">
      <c r="A442" s="11"/>
      <c r="B442" s="181"/>
      <c r="C442" s="34"/>
      <c r="D442" s="34"/>
      <c r="E442" s="34"/>
      <c r="F442" s="34"/>
      <c r="G442" s="70"/>
      <c r="H442" s="35"/>
      <c r="I442" s="34"/>
      <c r="J442" s="71">
        <f t="shared" si="841"/>
        <v>0</v>
      </c>
      <c r="K442" s="34"/>
      <c r="M442" s="34"/>
      <c r="N442" s="71">
        <f t="shared" si="842"/>
        <v>0</v>
      </c>
      <c r="O442" s="34"/>
      <c r="Q442" s="34"/>
      <c r="R442" s="71">
        <f t="shared" si="843"/>
        <v>0</v>
      </c>
      <c r="S442" s="34"/>
      <c r="U442" s="34"/>
      <c r="V442" s="71">
        <f t="shared" si="844"/>
        <v>0</v>
      </c>
      <c r="W442" s="34"/>
      <c r="Y442" s="34"/>
      <c r="Z442" s="71">
        <f t="shared" si="845"/>
        <v>0</v>
      </c>
      <c r="AA442" s="69"/>
      <c r="AC442" s="34"/>
      <c r="AD442" s="71">
        <f t="shared" si="846"/>
        <v>0</v>
      </c>
      <c r="AE442" s="34"/>
      <c r="AG442" s="34"/>
      <c r="AH442" s="71">
        <f t="shared" si="847"/>
        <v>0</v>
      </c>
      <c r="AI442" s="34"/>
      <c r="AK442" s="34"/>
      <c r="AL442" s="71">
        <f t="shared" si="848"/>
        <v>0</v>
      </c>
      <c r="AM442" s="34"/>
      <c r="AO442" s="34"/>
      <c r="AP442" s="71">
        <f t="shared" si="849"/>
        <v>0</v>
      </c>
      <c r="AQ442" s="34"/>
      <c r="AS442" s="34"/>
      <c r="AT442" s="71">
        <f t="shared" si="850"/>
        <v>0</v>
      </c>
      <c r="AU442" s="34"/>
      <c r="AW442" s="34"/>
      <c r="AX442" s="71">
        <f t="shared" si="851"/>
        <v>0</v>
      </c>
      <c r="AY442" s="34"/>
      <c r="BA442" s="34"/>
      <c r="BB442" s="71">
        <f t="shared" si="852"/>
        <v>0</v>
      </c>
      <c r="BC442" s="34"/>
      <c r="BE442" s="72">
        <f t="shared" si="853"/>
        <v>0</v>
      </c>
      <c r="BF442" s="73">
        <f t="shared" si="854"/>
        <v>0</v>
      </c>
      <c r="BG442" s="72">
        <f t="shared" si="855"/>
        <v>0</v>
      </c>
    </row>
    <row r="443" spans="1:59" ht="21" hidden="1" customHeight="1" x14ac:dyDescent="0.3">
      <c r="A443" s="11"/>
      <c r="B443" s="181"/>
      <c r="C443" s="34"/>
      <c r="D443" s="34"/>
      <c r="E443" s="34"/>
      <c r="F443" s="34"/>
      <c r="G443" s="70"/>
      <c r="H443" s="35"/>
      <c r="I443" s="34"/>
      <c r="J443" s="71">
        <f>IFERROR(+K443/I443,0)</f>
        <v>0</v>
      </c>
      <c r="K443" s="34"/>
      <c r="M443" s="34"/>
      <c r="N443" s="71">
        <f>IFERROR(+O443/M443,0)</f>
        <v>0</v>
      </c>
      <c r="O443" s="34"/>
      <c r="Q443" s="34"/>
      <c r="R443" s="71">
        <f>IFERROR(+S443/Q443,0)</f>
        <v>0</v>
      </c>
      <c r="S443" s="34"/>
      <c r="U443" s="34"/>
      <c r="V443" s="71">
        <f>IFERROR(+W443/U443,0)</f>
        <v>0</v>
      </c>
      <c r="W443" s="34"/>
      <c r="Y443" s="34"/>
      <c r="Z443" s="71">
        <f>IFERROR(+AA443/Y443,0)</f>
        <v>0</v>
      </c>
      <c r="AA443" s="69"/>
      <c r="AC443" s="34"/>
      <c r="AD443" s="71">
        <f>IFERROR(+AE443/AC443,0)</f>
        <v>0</v>
      </c>
      <c r="AE443" s="34"/>
      <c r="AG443" s="34"/>
      <c r="AH443" s="71">
        <f>IFERROR(+AI443/AG443,0)</f>
        <v>0</v>
      </c>
      <c r="AI443" s="34"/>
      <c r="AK443" s="34"/>
      <c r="AL443" s="71">
        <f>IFERROR(+AM443/AK443,0)</f>
        <v>0</v>
      </c>
      <c r="AM443" s="34"/>
      <c r="AO443" s="34"/>
      <c r="AP443" s="71">
        <f>IFERROR(+AQ443/AO443,0)</f>
        <v>0</v>
      </c>
      <c r="AQ443" s="34"/>
      <c r="AS443" s="34"/>
      <c r="AT443" s="71">
        <f>IFERROR(+AU443/AS443,0)</f>
        <v>0</v>
      </c>
      <c r="AU443" s="34"/>
      <c r="AW443" s="34"/>
      <c r="AX443" s="71">
        <f>IFERROR(+AY443/AW443,0)</f>
        <v>0</v>
      </c>
      <c r="AY443" s="34"/>
      <c r="BA443" s="34"/>
      <c r="BB443" s="71">
        <f>IFERROR(+BC443/BA443,0)</f>
        <v>0</v>
      </c>
      <c r="BC443" s="34"/>
      <c r="BE443" s="72">
        <f>+I443+M443+Q443++U443+Y443+AC443+AG443+AK443+AO443+AS443+AW443+BA443</f>
        <v>0</v>
      </c>
      <c r="BF443" s="73">
        <f>IFERROR(+BG443/BE443,0)</f>
        <v>0</v>
      </c>
      <c r="BG443" s="72">
        <f>+K443+O443+S443+W443+AA443+AE443+AI443+AM443+AQ443+AU443+AY443+BC443</f>
        <v>0</v>
      </c>
    </row>
    <row r="444" spans="1:59" ht="21" hidden="1" customHeight="1" x14ac:dyDescent="0.3">
      <c r="A444" s="11"/>
      <c r="B444" s="272" t="s">
        <v>227</v>
      </c>
      <c r="C444" s="273"/>
      <c r="D444" s="273"/>
      <c r="E444" s="273"/>
      <c r="F444" s="273"/>
      <c r="G444" s="274"/>
      <c r="H444" s="35"/>
      <c r="I444" s="72">
        <f>SUM(I437:I443)</f>
        <v>0</v>
      </c>
      <c r="J444" s="73">
        <f t="shared" ref="J444" si="856">IFERROR(+K444/I444,0)</f>
        <v>0</v>
      </c>
      <c r="K444" s="72">
        <f>SUM(K437:K443)</f>
        <v>0</v>
      </c>
      <c r="M444" s="72">
        <f>SUM(M437:M443)</f>
        <v>0</v>
      </c>
      <c r="N444" s="73">
        <f t="shared" ref="N444" si="857">IFERROR(+O444/M444,0)</f>
        <v>0</v>
      </c>
      <c r="O444" s="72">
        <f>SUM(O437:O443)</f>
        <v>0</v>
      </c>
      <c r="Q444" s="72">
        <f>SUM(Q437:Q443)</f>
        <v>0</v>
      </c>
      <c r="R444" s="73">
        <f t="shared" ref="R444" si="858">IFERROR(+S444/Q444,0)</f>
        <v>0</v>
      </c>
      <c r="S444" s="72">
        <f>SUM(S437:S443)</f>
        <v>0</v>
      </c>
      <c r="U444" s="72">
        <f>SUM(U437:U443)</f>
        <v>0</v>
      </c>
      <c r="V444" s="73">
        <f t="shared" ref="V444" si="859">IFERROR(+W444/U444,0)</f>
        <v>0</v>
      </c>
      <c r="W444" s="72">
        <f>SUM(W437:W443)</f>
        <v>0</v>
      </c>
      <c r="Y444" s="72">
        <f>SUM(Y437:Y443)</f>
        <v>0</v>
      </c>
      <c r="Z444" s="73">
        <f t="shared" ref="Z444" si="860">IFERROR(+AA444/Y444,0)</f>
        <v>0</v>
      </c>
      <c r="AA444" s="72">
        <f>SUM(AA437:AA443)</f>
        <v>0</v>
      </c>
      <c r="AC444" s="72">
        <f>SUM(AC437:AC443)</f>
        <v>0</v>
      </c>
      <c r="AD444" s="73">
        <f t="shared" ref="AD444" si="861">IFERROR(+AE444/AC444,0)</f>
        <v>0</v>
      </c>
      <c r="AE444" s="72">
        <f>SUM(AE437:AE443)</f>
        <v>0</v>
      </c>
      <c r="AG444" s="72">
        <f>SUM(AG437:AG443)</f>
        <v>0</v>
      </c>
      <c r="AH444" s="73">
        <f t="shared" ref="AH444" si="862">IFERROR(+AI444/AG444,0)</f>
        <v>0</v>
      </c>
      <c r="AI444" s="72">
        <f>SUM(AI437:AI443)</f>
        <v>0</v>
      </c>
      <c r="AK444" s="72">
        <f>SUM(AK437:AK443)</f>
        <v>0</v>
      </c>
      <c r="AL444" s="73">
        <f t="shared" ref="AL444" si="863">IFERROR(+AM444/AK444,0)</f>
        <v>0</v>
      </c>
      <c r="AM444" s="72">
        <f>SUM(AM437:AM443)</f>
        <v>0</v>
      </c>
      <c r="AO444" s="72">
        <f>SUM(AO437:AO443)</f>
        <v>0</v>
      </c>
      <c r="AP444" s="73">
        <f t="shared" ref="AP444" si="864">IFERROR(+AQ444/AO444,0)</f>
        <v>0</v>
      </c>
      <c r="AQ444" s="72">
        <f>SUM(AQ437:AQ443)</f>
        <v>0</v>
      </c>
      <c r="AS444" s="72">
        <f>SUM(AS437:AS443)</f>
        <v>0</v>
      </c>
      <c r="AT444" s="73">
        <f t="shared" ref="AT444" si="865">IFERROR(+AU444/AS444,0)</f>
        <v>0</v>
      </c>
      <c r="AU444" s="72">
        <f>SUM(AU437:AU443)</f>
        <v>0</v>
      </c>
      <c r="AW444" s="72">
        <f>SUM(AW437:AW443)</f>
        <v>0</v>
      </c>
      <c r="AX444" s="73">
        <f t="shared" ref="AX444" si="866">IFERROR(+AY444/AW444,0)</f>
        <v>0</v>
      </c>
      <c r="AY444" s="72">
        <f>SUM(AY437:AY443)</f>
        <v>0</v>
      </c>
      <c r="BA444" s="72">
        <f>SUM(BA437:BA443)</f>
        <v>0</v>
      </c>
      <c r="BB444" s="73">
        <f t="shared" ref="BB444" si="867">IFERROR(+BC444/BA444,0)</f>
        <v>0</v>
      </c>
      <c r="BC444" s="72">
        <f>SUM(BC437:BC443)</f>
        <v>0</v>
      </c>
      <c r="BE444" s="72">
        <f>SUM(BE437:BE443)</f>
        <v>0</v>
      </c>
      <c r="BF444" s="73">
        <f t="shared" ref="BF444" si="868">IFERROR(+BG444/BE444,0)</f>
        <v>0</v>
      </c>
      <c r="BG444" s="72">
        <f>SUM(BG437:BG443)</f>
        <v>0</v>
      </c>
    </row>
    <row r="445" spans="1:59" hidden="1" x14ac:dyDescent="0.3"/>
    <row r="446" spans="1:59" ht="36" hidden="1" customHeight="1" x14ac:dyDescent="0.3">
      <c r="A446" s="11"/>
      <c r="B446" s="267" t="s">
        <v>828</v>
      </c>
      <c r="C446" s="267"/>
      <c r="D446" s="267"/>
      <c r="E446" s="267"/>
      <c r="F446" s="267"/>
      <c r="G446" s="267"/>
      <c r="H446" s="267"/>
      <c r="I446" s="267"/>
      <c r="J446" s="267"/>
    </row>
    <row r="447" spans="1:59" hidden="1" x14ac:dyDescent="0.3"/>
    <row r="448" spans="1:59" ht="21" hidden="1" customHeight="1" x14ac:dyDescent="0.3">
      <c r="A448" s="11"/>
      <c r="B448" s="260" t="s">
        <v>894</v>
      </c>
      <c r="C448" s="260" t="s">
        <v>895</v>
      </c>
      <c r="D448" s="268" t="s">
        <v>235</v>
      </c>
      <c r="E448" s="264" t="s">
        <v>232</v>
      </c>
      <c r="F448" s="264" t="s">
        <v>233</v>
      </c>
      <c r="G448" s="261" t="s">
        <v>234</v>
      </c>
      <c r="H448" s="36"/>
      <c r="I448" s="271" t="str">
        <f>+"Enero "&amp;$I$6&amp;""</f>
        <v>Enero 2025</v>
      </c>
      <c r="J448" s="271"/>
      <c r="K448" s="271"/>
      <c r="M448" s="271" t="str">
        <f>+"Febrero "&amp;$I$6&amp;""</f>
        <v>Febrero 2025</v>
      </c>
      <c r="N448" s="271"/>
      <c r="O448" s="271"/>
      <c r="Q448" s="271" t="str">
        <f>+"Marzo "&amp;$I$6&amp;""</f>
        <v>Marzo 2025</v>
      </c>
      <c r="R448" s="271"/>
      <c r="S448" s="271"/>
      <c r="U448" s="271" t="str">
        <f>+"Abril "&amp;$I$6&amp;""</f>
        <v>Abril 2025</v>
      </c>
      <c r="V448" s="271"/>
      <c r="W448" s="271"/>
      <c r="Y448" s="271" t="str">
        <f>+"Mayo "&amp;$I$6&amp;""</f>
        <v>Mayo 2025</v>
      </c>
      <c r="Z448" s="271"/>
      <c r="AA448" s="271"/>
      <c r="AC448" s="271" t="str">
        <f>+"Junio "&amp;$I$6&amp;""</f>
        <v>Junio 2025</v>
      </c>
      <c r="AD448" s="271"/>
      <c r="AE448" s="271"/>
      <c r="AG448" s="271" t="str">
        <f>+"Julio "&amp;$I$6&amp;""</f>
        <v>Julio 2025</v>
      </c>
      <c r="AH448" s="271"/>
      <c r="AI448" s="271"/>
      <c r="AK448" s="271" t="str">
        <f>+"Agosto "&amp;$I$6&amp;""</f>
        <v>Agosto 2025</v>
      </c>
      <c r="AL448" s="271"/>
      <c r="AM448" s="271"/>
      <c r="AO448" s="271" t="str">
        <f>+"Septiembre "&amp;$I$6&amp;""</f>
        <v>Septiembre 2025</v>
      </c>
      <c r="AP448" s="271"/>
      <c r="AQ448" s="271"/>
      <c r="AS448" s="271" t="str">
        <f>+"Octubre "&amp;$I$6&amp;""</f>
        <v>Octubre 2025</v>
      </c>
      <c r="AT448" s="271"/>
      <c r="AU448" s="271"/>
      <c r="AW448" s="271" t="str">
        <f>+"Noviembre "&amp;$I$6&amp;""</f>
        <v>Noviembre 2025</v>
      </c>
      <c r="AX448" s="271"/>
      <c r="AY448" s="271"/>
      <c r="BA448" s="271" t="str">
        <f>+"Diciembre "&amp;$I$6&amp;""</f>
        <v>Diciembre 2025</v>
      </c>
      <c r="BB448" s="271"/>
      <c r="BC448" s="271"/>
      <c r="BE448" s="271" t="str">
        <f>+"Acumulado "&amp;$I$6&amp;""</f>
        <v>Acumulado 2025</v>
      </c>
      <c r="BF448" s="271"/>
      <c r="BG448" s="271"/>
    </row>
    <row r="449" spans="1:59" ht="21" hidden="1" customHeight="1" x14ac:dyDescent="0.3">
      <c r="A449" s="11"/>
      <c r="B449" s="260"/>
      <c r="C449" s="260"/>
      <c r="D449" s="269"/>
      <c r="E449" s="265"/>
      <c r="F449" s="265"/>
      <c r="G449" s="262"/>
      <c r="H449" s="36"/>
      <c r="I449" s="261" t="s">
        <v>60</v>
      </c>
      <c r="J449" s="261" t="s">
        <v>61</v>
      </c>
      <c r="K449" s="226" t="s">
        <v>62</v>
      </c>
      <c r="L449" s="20"/>
      <c r="M449" s="261" t="s">
        <v>60</v>
      </c>
      <c r="N449" s="261" t="s">
        <v>61</v>
      </c>
      <c r="O449" s="226" t="s">
        <v>62</v>
      </c>
      <c r="P449" s="20"/>
      <c r="Q449" s="261" t="s">
        <v>60</v>
      </c>
      <c r="R449" s="261" t="s">
        <v>61</v>
      </c>
      <c r="S449" s="226" t="s">
        <v>62</v>
      </c>
      <c r="T449" s="20"/>
      <c r="U449" s="261" t="s">
        <v>60</v>
      </c>
      <c r="V449" s="261" t="s">
        <v>61</v>
      </c>
      <c r="W449" s="226" t="s">
        <v>62</v>
      </c>
      <c r="X449" s="20"/>
      <c r="Y449" s="261" t="s">
        <v>60</v>
      </c>
      <c r="Z449" s="261" t="s">
        <v>61</v>
      </c>
      <c r="AA449" s="226" t="s">
        <v>62</v>
      </c>
      <c r="AB449" s="20"/>
      <c r="AC449" s="261" t="s">
        <v>60</v>
      </c>
      <c r="AD449" s="261" t="s">
        <v>61</v>
      </c>
      <c r="AE449" s="226" t="s">
        <v>62</v>
      </c>
      <c r="AF449" s="20"/>
      <c r="AG449" s="261" t="s">
        <v>60</v>
      </c>
      <c r="AH449" s="261" t="s">
        <v>61</v>
      </c>
      <c r="AI449" s="226" t="s">
        <v>62</v>
      </c>
      <c r="AJ449" s="20"/>
      <c r="AK449" s="261" t="s">
        <v>60</v>
      </c>
      <c r="AL449" s="261" t="s">
        <v>61</v>
      </c>
      <c r="AM449" s="226" t="s">
        <v>62</v>
      </c>
      <c r="AN449" s="20"/>
      <c r="AO449" s="261" t="s">
        <v>60</v>
      </c>
      <c r="AP449" s="261" t="s">
        <v>61</v>
      </c>
      <c r="AQ449" s="226" t="s">
        <v>62</v>
      </c>
      <c r="AR449" s="20"/>
      <c r="AS449" s="261" t="s">
        <v>60</v>
      </c>
      <c r="AT449" s="261" t="s">
        <v>61</v>
      </c>
      <c r="AU449" s="226" t="s">
        <v>62</v>
      </c>
      <c r="AV449" s="20"/>
      <c r="AW449" s="261" t="s">
        <v>60</v>
      </c>
      <c r="AX449" s="261" t="s">
        <v>61</v>
      </c>
      <c r="AY449" s="226" t="s">
        <v>62</v>
      </c>
      <c r="AZ449" s="20"/>
      <c r="BA449" s="261" t="s">
        <v>60</v>
      </c>
      <c r="BB449" s="261" t="s">
        <v>61</v>
      </c>
      <c r="BC449" s="226" t="s">
        <v>62</v>
      </c>
      <c r="BD449" s="20"/>
      <c r="BE449" s="261" t="s">
        <v>60</v>
      </c>
      <c r="BF449" s="261" t="s">
        <v>61</v>
      </c>
      <c r="BG449" s="226" t="s">
        <v>62</v>
      </c>
    </row>
    <row r="450" spans="1:59" ht="21" hidden="1" customHeight="1" x14ac:dyDescent="0.3">
      <c r="A450" s="11"/>
      <c r="B450" s="260"/>
      <c r="C450" s="260"/>
      <c r="D450" s="270"/>
      <c r="E450" s="266"/>
      <c r="F450" s="266"/>
      <c r="G450" s="263"/>
      <c r="H450" s="36"/>
      <c r="I450" s="263"/>
      <c r="J450" s="263"/>
      <c r="K450" s="227" t="s">
        <v>1024</v>
      </c>
      <c r="L450" s="20"/>
      <c r="M450" s="263"/>
      <c r="N450" s="263"/>
      <c r="O450" s="227" t="s">
        <v>1024</v>
      </c>
      <c r="P450" s="20"/>
      <c r="Q450" s="263"/>
      <c r="R450" s="263"/>
      <c r="S450" s="227" t="s">
        <v>1024</v>
      </c>
      <c r="T450" s="20"/>
      <c r="U450" s="263"/>
      <c r="V450" s="263"/>
      <c r="W450" s="227" t="s">
        <v>1024</v>
      </c>
      <c r="X450" s="20"/>
      <c r="Y450" s="263"/>
      <c r="Z450" s="263"/>
      <c r="AA450" s="227" t="s">
        <v>1024</v>
      </c>
      <c r="AB450" s="20"/>
      <c r="AC450" s="263"/>
      <c r="AD450" s="263"/>
      <c r="AE450" s="227" t="s">
        <v>1024</v>
      </c>
      <c r="AF450" s="20"/>
      <c r="AG450" s="263"/>
      <c r="AH450" s="263"/>
      <c r="AI450" s="227" t="s">
        <v>1024</v>
      </c>
      <c r="AJ450" s="20"/>
      <c r="AK450" s="263"/>
      <c r="AL450" s="263"/>
      <c r="AM450" s="227" t="s">
        <v>1024</v>
      </c>
      <c r="AN450" s="20"/>
      <c r="AO450" s="263"/>
      <c r="AP450" s="263"/>
      <c r="AQ450" s="227" t="s">
        <v>1024</v>
      </c>
      <c r="AR450" s="20"/>
      <c r="AS450" s="263"/>
      <c r="AT450" s="263"/>
      <c r="AU450" s="227" t="s">
        <v>1024</v>
      </c>
      <c r="AV450" s="20"/>
      <c r="AW450" s="263"/>
      <c r="AX450" s="263"/>
      <c r="AY450" s="227" t="s">
        <v>1024</v>
      </c>
      <c r="AZ450" s="20"/>
      <c r="BA450" s="263"/>
      <c r="BB450" s="263"/>
      <c r="BC450" s="227" t="s">
        <v>1024</v>
      </c>
      <c r="BD450" s="20"/>
      <c r="BE450" s="263"/>
      <c r="BF450" s="263"/>
      <c r="BG450" s="227" t="s">
        <v>1024</v>
      </c>
    </row>
    <row r="451" spans="1:59" ht="21" hidden="1" customHeight="1" x14ac:dyDescent="0.3">
      <c r="A451" s="11"/>
      <c r="B451" s="181"/>
      <c r="C451" s="34"/>
      <c r="D451" s="34"/>
      <c r="E451" s="34"/>
      <c r="F451" s="34"/>
      <c r="G451" s="70"/>
      <c r="H451" s="35"/>
      <c r="I451" s="34"/>
      <c r="J451" s="71">
        <f>IFERROR(+K451/I451,0)</f>
        <v>0</v>
      </c>
      <c r="K451" s="34"/>
      <c r="M451" s="34"/>
      <c r="N451" s="71">
        <f>IFERROR(+O451/M451,0)</f>
        <v>0</v>
      </c>
      <c r="O451" s="34"/>
      <c r="Q451" s="34"/>
      <c r="R451" s="71">
        <f>IFERROR(+S451/Q451,0)</f>
        <v>0</v>
      </c>
      <c r="S451" s="34"/>
      <c r="U451" s="34"/>
      <c r="V451" s="71">
        <f>IFERROR(+W451/U451,0)</f>
        <v>0</v>
      </c>
      <c r="W451" s="34"/>
      <c r="Y451" s="34"/>
      <c r="Z451" s="71">
        <f>IFERROR(+AA451/Y451,0)</f>
        <v>0</v>
      </c>
      <c r="AA451" s="69"/>
      <c r="AC451" s="34"/>
      <c r="AD451" s="71">
        <f>IFERROR(+AE451/AC451,0)</f>
        <v>0</v>
      </c>
      <c r="AE451" s="34"/>
      <c r="AG451" s="34"/>
      <c r="AH451" s="71">
        <f>IFERROR(+AI451/AG451,0)</f>
        <v>0</v>
      </c>
      <c r="AI451" s="34"/>
      <c r="AK451" s="34"/>
      <c r="AL451" s="71">
        <f>IFERROR(+AM451/AK451,0)</f>
        <v>0</v>
      </c>
      <c r="AM451" s="34"/>
      <c r="AO451" s="34"/>
      <c r="AP451" s="71">
        <f>IFERROR(+AQ451/AO451,0)</f>
        <v>0</v>
      </c>
      <c r="AQ451" s="34"/>
      <c r="AS451" s="34"/>
      <c r="AT451" s="71">
        <f>IFERROR(+AU451/AS451,0)</f>
        <v>0</v>
      </c>
      <c r="AU451" s="34"/>
      <c r="AW451" s="34"/>
      <c r="AX451" s="71">
        <f>IFERROR(+AY451/AW451,0)</f>
        <v>0</v>
      </c>
      <c r="AY451" s="34"/>
      <c r="BA451" s="34"/>
      <c r="BB451" s="71">
        <f>IFERROR(+BC451/BA451,0)</f>
        <v>0</v>
      </c>
      <c r="BC451" s="34"/>
      <c r="BE451" s="72">
        <f>+I451+M451+Q451++U451+Y451+AC451+AG451+AK451+AO451+AS451+AW451+BA451</f>
        <v>0</v>
      </c>
      <c r="BF451" s="73">
        <f>IFERROR(+BG451/BE451,0)</f>
        <v>0</v>
      </c>
      <c r="BG451" s="72">
        <f>+K451+O451+S451+W451+AA451+AE451+AI451+AM451+AQ451+AU451+AY451+BC451</f>
        <v>0</v>
      </c>
    </row>
    <row r="452" spans="1:59" ht="21" hidden="1" customHeight="1" x14ac:dyDescent="0.3">
      <c r="A452" s="11"/>
      <c r="B452" s="181"/>
      <c r="C452" s="34"/>
      <c r="D452" s="34"/>
      <c r="E452" s="34"/>
      <c r="F452" s="34"/>
      <c r="G452" s="70"/>
      <c r="H452" s="35"/>
      <c r="I452" s="34"/>
      <c r="J452" s="71">
        <f t="shared" ref="J452:J456" si="869">IFERROR(+K452/I452,0)</f>
        <v>0</v>
      </c>
      <c r="K452" s="34"/>
      <c r="M452" s="34"/>
      <c r="N452" s="71">
        <f t="shared" ref="N452:N456" si="870">IFERROR(+O452/M452,0)</f>
        <v>0</v>
      </c>
      <c r="O452" s="34"/>
      <c r="Q452" s="34"/>
      <c r="R452" s="71">
        <f t="shared" ref="R452:R456" si="871">IFERROR(+S452/Q452,0)</f>
        <v>0</v>
      </c>
      <c r="S452" s="34"/>
      <c r="U452" s="34"/>
      <c r="V452" s="71">
        <f t="shared" ref="V452:V456" si="872">IFERROR(+W452/U452,0)</f>
        <v>0</v>
      </c>
      <c r="W452" s="34"/>
      <c r="Y452" s="34"/>
      <c r="Z452" s="71">
        <f t="shared" ref="Z452:Z456" si="873">IFERROR(+AA452/Y452,0)</f>
        <v>0</v>
      </c>
      <c r="AA452" s="69"/>
      <c r="AC452" s="34"/>
      <c r="AD452" s="71">
        <f t="shared" ref="AD452:AD456" si="874">IFERROR(+AE452/AC452,0)</f>
        <v>0</v>
      </c>
      <c r="AE452" s="34"/>
      <c r="AG452" s="34"/>
      <c r="AH452" s="71">
        <f t="shared" ref="AH452:AH456" si="875">IFERROR(+AI452/AG452,0)</f>
        <v>0</v>
      </c>
      <c r="AI452" s="34"/>
      <c r="AK452" s="34"/>
      <c r="AL452" s="71">
        <f t="shared" ref="AL452:AL456" si="876">IFERROR(+AM452/AK452,0)</f>
        <v>0</v>
      </c>
      <c r="AM452" s="34"/>
      <c r="AO452" s="34"/>
      <c r="AP452" s="71">
        <f t="shared" ref="AP452:AP456" si="877">IFERROR(+AQ452/AO452,0)</f>
        <v>0</v>
      </c>
      <c r="AQ452" s="34"/>
      <c r="AS452" s="34"/>
      <c r="AT452" s="71">
        <f t="shared" ref="AT452:AT456" si="878">IFERROR(+AU452/AS452,0)</f>
        <v>0</v>
      </c>
      <c r="AU452" s="34"/>
      <c r="AW452" s="34"/>
      <c r="AX452" s="71">
        <f t="shared" ref="AX452:AX456" si="879">IFERROR(+AY452/AW452,0)</f>
        <v>0</v>
      </c>
      <c r="AY452" s="34"/>
      <c r="BA452" s="34"/>
      <c r="BB452" s="71">
        <f t="shared" ref="BB452:BB456" si="880">IFERROR(+BC452/BA452,0)</f>
        <v>0</v>
      </c>
      <c r="BC452" s="34"/>
      <c r="BE452" s="72">
        <f t="shared" ref="BE452:BE456" si="881">+I452+M452+Q452++U452+Y452+AC452+AG452+AK452+AO452+AS452+AW452+BA452</f>
        <v>0</v>
      </c>
      <c r="BF452" s="73">
        <f t="shared" ref="BF452:BF456" si="882">IFERROR(+BG452/BE452,0)</f>
        <v>0</v>
      </c>
      <c r="BG452" s="72">
        <f t="shared" ref="BG452:BG456" si="883">+K452+O452+S452+W452+AA452+AE452+AI452+AM452+AQ452+AU452+AY452+BC452</f>
        <v>0</v>
      </c>
    </row>
    <row r="453" spans="1:59" ht="21" hidden="1" customHeight="1" x14ac:dyDescent="0.3">
      <c r="A453" s="11"/>
      <c r="B453" s="181"/>
      <c r="C453" s="34"/>
      <c r="D453" s="34"/>
      <c r="E453" s="34"/>
      <c r="F453" s="34"/>
      <c r="G453" s="70"/>
      <c r="H453" s="35"/>
      <c r="I453" s="34"/>
      <c r="J453" s="71">
        <f t="shared" si="869"/>
        <v>0</v>
      </c>
      <c r="K453" s="34"/>
      <c r="M453" s="34"/>
      <c r="N453" s="71">
        <f t="shared" si="870"/>
        <v>0</v>
      </c>
      <c r="O453" s="34"/>
      <c r="Q453" s="34"/>
      <c r="R453" s="71">
        <f t="shared" si="871"/>
        <v>0</v>
      </c>
      <c r="S453" s="34"/>
      <c r="U453" s="34"/>
      <c r="V453" s="71">
        <f t="shared" si="872"/>
        <v>0</v>
      </c>
      <c r="W453" s="34"/>
      <c r="Y453" s="34"/>
      <c r="Z453" s="71">
        <f t="shared" si="873"/>
        <v>0</v>
      </c>
      <c r="AA453" s="69"/>
      <c r="AC453" s="34"/>
      <c r="AD453" s="71">
        <f t="shared" si="874"/>
        <v>0</v>
      </c>
      <c r="AE453" s="34"/>
      <c r="AG453" s="34"/>
      <c r="AH453" s="71">
        <f t="shared" si="875"/>
        <v>0</v>
      </c>
      <c r="AI453" s="34"/>
      <c r="AK453" s="34"/>
      <c r="AL453" s="71">
        <f t="shared" si="876"/>
        <v>0</v>
      </c>
      <c r="AM453" s="34"/>
      <c r="AO453" s="34"/>
      <c r="AP453" s="71">
        <f t="shared" si="877"/>
        <v>0</v>
      </c>
      <c r="AQ453" s="34"/>
      <c r="AS453" s="34"/>
      <c r="AT453" s="71">
        <f t="shared" si="878"/>
        <v>0</v>
      </c>
      <c r="AU453" s="34"/>
      <c r="AW453" s="34"/>
      <c r="AX453" s="71">
        <f t="shared" si="879"/>
        <v>0</v>
      </c>
      <c r="AY453" s="34"/>
      <c r="BA453" s="34"/>
      <c r="BB453" s="71">
        <f t="shared" si="880"/>
        <v>0</v>
      </c>
      <c r="BC453" s="34"/>
      <c r="BE453" s="72">
        <f t="shared" si="881"/>
        <v>0</v>
      </c>
      <c r="BF453" s="73">
        <f t="shared" si="882"/>
        <v>0</v>
      </c>
      <c r="BG453" s="72">
        <f t="shared" si="883"/>
        <v>0</v>
      </c>
    </row>
    <row r="454" spans="1:59" ht="21" hidden="1" customHeight="1" x14ac:dyDescent="0.3">
      <c r="A454" s="11"/>
      <c r="B454" s="181"/>
      <c r="C454" s="34"/>
      <c r="D454" s="34"/>
      <c r="E454" s="34"/>
      <c r="F454" s="34"/>
      <c r="G454" s="70"/>
      <c r="H454" s="35"/>
      <c r="I454" s="34"/>
      <c r="J454" s="71">
        <f t="shared" si="869"/>
        <v>0</v>
      </c>
      <c r="K454" s="34"/>
      <c r="M454" s="34"/>
      <c r="N454" s="71">
        <f t="shared" si="870"/>
        <v>0</v>
      </c>
      <c r="O454" s="34"/>
      <c r="Q454" s="34"/>
      <c r="R454" s="71">
        <f t="shared" si="871"/>
        <v>0</v>
      </c>
      <c r="S454" s="34"/>
      <c r="U454" s="34"/>
      <c r="V454" s="71">
        <f t="shared" si="872"/>
        <v>0</v>
      </c>
      <c r="W454" s="34"/>
      <c r="Y454" s="34"/>
      <c r="Z454" s="71">
        <f t="shared" si="873"/>
        <v>0</v>
      </c>
      <c r="AA454" s="69"/>
      <c r="AC454" s="34"/>
      <c r="AD454" s="71">
        <f t="shared" si="874"/>
        <v>0</v>
      </c>
      <c r="AE454" s="34"/>
      <c r="AG454" s="34"/>
      <c r="AH454" s="71">
        <f t="shared" si="875"/>
        <v>0</v>
      </c>
      <c r="AI454" s="34"/>
      <c r="AK454" s="34"/>
      <c r="AL454" s="71">
        <f t="shared" si="876"/>
        <v>0</v>
      </c>
      <c r="AM454" s="34"/>
      <c r="AO454" s="34"/>
      <c r="AP454" s="71">
        <f t="shared" si="877"/>
        <v>0</v>
      </c>
      <c r="AQ454" s="34"/>
      <c r="AS454" s="34"/>
      <c r="AT454" s="71">
        <f t="shared" si="878"/>
        <v>0</v>
      </c>
      <c r="AU454" s="34"/>
      <c r="AW454" s="34"/>
      <c r="AX454" s="71">
        <f t="shared" si="879"/>
        <v>0</v>
      </c>
      <c r="AY454" s="34"/>
      <c r="BA454" s="34"/>
      <c r="BB454" s="71">
        <f t="shared" si="880"/>
        <v>0</v>
      </c>
      <c r="BC454" s="34"/>
      <c r="BE454" s="72">
        <f t="shared" si="881"/>
        <v>0</v>
      </c>
      <c r="BF454" s="73">
        <f t="shared" si="882"/>
        <v>0</v>
      </c>
      <c r="BG454" s="72">
        <f t="shared" si="883"/>
        <v>0</v>
      </c>
    </row>
    <row r="455" spans="1:59" ht="21" hidden="1" customHeight="1" x14ac:dyDescent="0.3">
      <c r="A455" s="11"/>
      <c r="B455" s="181"/>
      <c r="C455" s="34"/>
      <c r="D455" s="34"/>
      <c r="E455" s="34"/>
      <c r="F455" s="34"/>
      <c r="G455" s="70"/>
      <c r="H455" s="35"/>
      <c r="I455" s="34"/>
      <c r="J455" s="71">
        <f t="shared" si="869"/>
        <v>0</v>
      </c>
      <c r="K455" s="34"/>
      <c r="M455" s="34"/>
      <c r="N455" s="71">
        <f t="shared" si="870"/>
        <v>0</v>
      </c>
      <c r="O455" s="34"/>
      <c r="Q455" s="34"/>
      <c r="R455" s="71">
        <f t="shared" si="871"/>
        <v>0</v>
      </c>
      <c r="S455" s="34"/>
      <c r="U455" s="34"/>
      <c r="V455" s="71">
        <f t="shared" si="872"/>
        <v>0</v>
      </c>
      <c r="W455" s="34"/>
      <c r="Y455" s="34"/>
      <c r="Z455" s="71">
        <f t="shared" si="873"/>
        <v>0</v>
      </c>
      <c r="AA455" s="69"/>
      <c r="AC455" s="34"/>
      <c r="AD455" s="71">
        <f t="shared" si="874"/>
        <v>0</v>
      </c>
      <c r="AE455" s="34"/>
      <c r="AG455" s="34"/>
      <c r="AH455" s="71">
        <f t="shared" si="875"/>
        <v>0</v>
      </c>
      <c r="AI455" s="34"/>
      <c r="AK455" s="34"/>
      <c r="AL455" s="71">
        <f t="shared" si="876"/>
        <v>0</v>
      </c>
      <c r="AM455" s="34"/>
      <c r="AO455" s="34"/>
      <c r="AP455" s="71">
        <f t="shared" si="877"/>
        <v>0</v>
      </c>
      <c r="AQ455" s="34"/>
      <c r="AS455" s="34"/>
      <c r="AT455" s="71">
        <f t="shared" si="878"/>
        <v>0</v>
      </c>
      <c r="AU455" s="34"/>
      <c r="AW455" s="34"/>
      <c r="AX455" s="71">
        <f t="shared" si="879"/>
        <v>0</v>
      </c>
      <c r="AY455" s="34"/>
      <c r="BA455" s="34"/>
      <c r="BB455" s="71">
        <f t="shared" si="880"/>
        <v>0</v>
      </c>
      <c r="BC455" s="34"/>
      <c r="BE455" s="72">
        <f t="shared" si="881"/>
        <v>0</v>
      </c>
      <c r="BF455" s="73">
        <f t="shared" si="882"/>
        <v>0</v>
      </c>
      <c r="BG455" s="72">
        <f t="shared" si="883"/>
        <v>0</v>
      </c>
    </row>
    <row r="456" spans="1:59" ht="21" hidden="1" customHeight="1" x14ac:dyDescent="0.3">
      <c r="A456" s="11"/>
      <c r="B456" s="181"/>
      <c r="C456" s="34"/>
      <c r="D456" s="34"/>
      <c r="E456" s="34"/>
      <c r="F456" s="34"/>
      <c r="G456" s="70"/>
      <c r="H456" s="35"/>
      <c r="I456" s="34"/>
      <c r="J456" s="71">
        <f t="shared" si="869"/>
        <v>0</v>
      </c>
      <c r="K456" s="34"/>
      <c r="M456" s="34"/>
      <c r="N456" s="71">
        <f t="shared" si="870"/>
        <v>0</v>
      </c>
      <c r="O456" s="34"/>
      <c r="Q456" s="34"/>
      <c r="R456" s="71">
        <f t="shared" si="871"/>
        <v>0</v>
      </c>
      <c r="S456" s="34"/>
      <c r="U456" s="34"/>
      <c r="V456" s="71">
        <f t="shared" si="872"/>
        <v>0</v>
      </c>
      <c r="W456" s="34"/>
      <c r="Y456" s="34"/>
      <c r="Z456" s="71">
        <f t="shared" si="873"/>
        <v>0</v>
      </c>
      <c r="AA456" s="69"/>
      <c r="AC456" s="34"/>
      <c r="AD456" s="71">
        <f t="shared" si="874"/>
        <v>0</v>
      </c>
      <c r="AE456" s="34"/>
      <c r="AG456" s="34"/>
      <c r="AH456" s="71">
        <f t="shared" si="875"/>
        <v>0</v>
      </c>
      <c r="AI456" s="34"/>
      <c r="AK456" s="34"/>
      <c r="AL456" s="71">
        <f t="shared" si="876"/>
        <v>0</v>
      </c>
      <c r="AM456" s="34"/>
      <c r="AO456" s="34"/>
      <c r="AP456" s="71">
        <f t="shared" si="877"/>
        <v>0</v>
      </c>
      <c r="AQ456" s="34"/>
      <c r="AS456" s="34"/>
      <c r="AT456" s="71">
        <f t="shared" si="878"/>
        <v>0</v>
      </c>
      <c r="AU456" s="34"/>
      <c r="AW456" s="34"/>
      <c r="AX456" s="71">
        <f t="shared" si="879"/>
        <v>0</v>
      </c>
      <c r="AY456" s="34"/>
      <c r="BA456" s="34"/>
      <c r="BB456" s="71">
        <f t="shared" si="880"/>
        <v>0</v>
      </c>
      <c r="BC456" s="34"/>
      <c r="BE456" s="72">
        <f t="shared" si="881"/>
        <v>0</v>
      </c>
      <c r="BF456" s="73">
        <f t="shared" si="882"/>
        <v>0</v>
      </c>
      <c r="BG456" s="72">
        <f t="shared" si="883"/>
        <v>0</v>
      </c>
    </row>
    <row r="457" spans="1:59" ht="21" hidden="1" customHeight="1" x14ac:dyDescent="0.3">
      <c r="A457" s="11"/>
      <c r="B457" s="181"/>
      <c r="C457" s="34"/>
      <c r="D457" s="34"/>
      <c r="E457" s="34"/>
      <c r="F457" s="34"/>
      <c r="G457" s="70"/>
      <c r="H457" s="35"/>
      <c r="I457" s="34"/>
      <c r="J457" s="71">
        <f>IFERROR(+K457/I457,0)</f>
        <v>0</v>
      </c>
      <c r="K457" s="34"/>
      <c r="M457" s="34"/>
      <c r="N457" s="71">
        <f>IFERROR(+O457/M457,0)</f>
        <v>0</v>
      </c>
      <c r="O457" s="34"/>
      <c r="Q457" s="34"/>
      <c r="R457" s="71">
        <f>IFERROR(+S457/Q457,0)</f>
        <v>0</v>
      </c>
      <c r="S457" s="34"/>
      <c r="U457" s="34"/>
      <c r="V457" s="71">
        <f>IFERROR(+W457/U457,0)</f>
        <v>0</v>
      </c>
      <c r="W457" s="34"/>
      <c r="Y457" s="34"/>
      <c r="Z457" s="71">
        <f>IFERROR(+AA457/Y457,0)</f>
        <v>0</v>
      </c>
      <c r="AA457" s="69"/>
      <c r="AC457" s="34"/>
      <c r="AD457" s="71">
        <f>IFERROR(+AE457/AC457,0)</f>
        <v>0</v>
      </c>
      <c r="AE457" s="34"/>
      <c r="AG457" s="34"/>
      <c r="AH457" s="71">
        <f>IFERROR(+AI457/AG457,0)</f>
        <v>0</v>
      </c>
      <c r="AI457" s="34"/>
      <c r="AK457" s="34"/>
      <c r="AL457" s="71">
        <f>IFERROR(+AM457/AK457,0)</f>
        <v>0</v>
      </c>
      <c r="AM457" s="34"/>
      <c r="AO457" s="34"/>
      <c r="AP457" s="71">
        <f>IFERROR(+AQ457/AO457,0)</f>
        <v>0</v>
      </c>
      <c r="AQ457" s="34"/>
      <c r="AS457" s="34"/>
      <c r="AT457" s="71">
        <f>IFERROR(+AU457/AS457,0)</f>
        <v>0</v>
      </c>
      <c r="AU457" s="34"/>
      <c r="AW457" s="34"/>
      <c r="AX457" s="71">
        <f>IFERROR(+AY457/AW457,0)</f>
        <v>0</v>
      </c>
      <c r="AY457" s="34"/>
      <c r="BA457" s="34"/>
      <c r="BB457" s="71">
        <f>IFERROR(+BC457/BA457,0)</f>
        <v>0</v>
      </c>
      <c r="BC457" s="34"/>
      <c r="BE457" s="72">
        <f>+I457+M457+Q457++U457+Y457+AC457+AG457+AK457+AO457+AS457+AW457+BA457</f>
        <v>0</v>
      </c>
      <c r="BF457" s="73">
        <f>IFERROR(+BG457/BE457,0)</f>
        <v>0</v>
      </c>
      <c r="BG457" s="72">
        <f>+K457+O457+S457+W457+AA457+AE457+AI457+AM457+AQ457+AU457+AY457+BC457</f>
        <v>0</v>
      </c>
    </row>
    <row r="458" spans="1:59" ht="21" hidden="1" customHeight="1" x14ac:dyDescent="0.3">
      <c r="A458" s="11"/>
      <c r="B458" s="272" t="s">
        <v>227</v>
      </c>
      <c r="C458" s="273"/>
      <c r="D458" s="273"/>
      <c r="E458" s="273"/>
      <c r="F458" s="273"/>
      <c r="G458" s="274"/>
      <c r="H458" s="35"/>
      <c r="I458" s="72">
        <f>SUM(I451:I457)</f>
        <v>0</v>
      </c>
      <c r="J458" s="73">
        <f t="shared" ref="J458" si="884">IFERROR(+K458/I458,0)</f>
        <v>0</v>
      </c>
      <c r="K458" s="72">
        <f>SUM(K451:K457)</f>
        <v>0</v>
      </c>
      <c r="M458" s="72">
        <f>SUM(M451:M457)</f>
        <v>0</v>
      </c>
      <c r="N458" s="73">
        <f t="shared" ref="N458" si="885">IFERROR(+O458/M458,0)</f>
        <v>0</v>
      </c>
      <c r="O458" s="72">
        <f>SUM(O451:O457)</f>
        <v>0</v>
      </c>
      <c r="Q458" s="72">
        <f>SUM(Q451:Q457)</f>
        <v>0</v>
      </c>
      <c r="R458" s="73">
        <f t="shared" ref="R458" si="886">IFERROR(+S458/Q458,0)</f>
        <v>0</v>
      </c>
      <c r="S458" s="72">
        <f>SUM(S451:S457)</f>
        <v>0</v>
      </c>
      <c r="U458" s="72">
        <f>SUM(U451:U457)</f>
        <v>0</v>
      </c>
      <c r="V458" s="73">
        <f t="shared" ref="V458" si="887">IFERROR(+W458/U458,0)</f>
        <v>0</v>
      </c>
      <c r="W458" s="72">
        <f>SUM(W451:W457)</f>
        <v>0</v>
      </c>
      <c r="Y458" s="72">
        <f>SUM(Y451:Y457)</f>
        <v>0</v>
      </c>
      <c r="Z458" s="73">
        <f t="shared" ref="Z458" si="888">IFERROR(+AA458/Y458,0)</f>
        <v>0</v>
      </c>
      <c r="AA458" s="72">
        <f>SUM(AA451:AA457)</f>
        <v>0</v>
      </c>
      <c r="AC458" s="72">
        <f>SUM(AC451:AC457)</f>
        <v>0</v>
      </c>
      <c r="AD458" s="73">
        <f t="shared" ref="AD458" si="889">IFERROR(+AE458/AC458,0)</f>
        <v>0</v>
      </c>
      <c r="AE458" s="72">
        <f>SUM(AE451:AE457)</f>
        <v>0</v>
      </c>
      <c r="AG458" s="72">
        <f>SUM(AG451:AG457)</f>
        <v>0</v>
      </c>
      <c r="AH458" s="73">
        <f t="shared" ref="AH458" si="890">IFERROR(+AI458/AG458,0)</f>
        <v>0</v>
      </c>
      <c r="AI458" s="72">
        <f>SUM(AI451:AI457)</f>
        <v>0</v>
      </c>
      <c r="AK458" s="72">
        <f>SUM(AK451:AK457)</f>
        <v>0</v>
      </c>
      <c r="AL458" s="73">
        <f t="shared" ref="AL458" si="891">IFERROR(+AM458/AK458,0)</f>
        <v>0</v>
      </c>
      <c r="AM458" s="72">
        <f>SUM(AM451:AM457)</f>
        <v>0</v>
      </c>
      <c r="AO458" s="72">
        <f>SUM(AO451:AO457)</f>
        <v>0</v>
      </c>
      <c r="AP458" s="73">
        <f t="shared" ref="AP458" si="892">IFERROR(+AQ458/AO458,0)</f>
        <v>0</v>
      </c>
      <c r="AQ458" s="72">
        <f>SUM(AQ451:AQ457)</f>
        <v>0</v>
      </c>
      <c r="AS458" s="72">
        <f>SUM(AS451:AS457)</f>
        <v>0</v>
      </c>
      <c r="AT458" s="73">
        <f t="shared" ref="AT458" si="893">IFERROR(+AU458/AS458,0)</f>
        <v>0</v>
      </c>
      <c r="AU458" s="72">
        <f>SUM(AU451:AU457)</f>
        <v>0</v>
      </c>
      <c r="AW458" s="72">
        <f>SUM(AW451:AW457)</f>
        <v>0</v>
      </c>
      <c r="AX458" s="73">
        <f t="shared" ref="AX458" si="894">IFERROR(+AY458/AW458,0)</f>
        <v>0</v>
      </c>
      <c r="AY458" s="72">
        <f>SUM(AY451:AY457)</f>
        <v>0</v>
      </c>
      <c r="BA458" s="72">
        <f>SUM(BA451:BA457)</f>
        <v>0</v>
      </c>
      <c r="BB458" s="73">
        <f t="shared" ref="BB458" si="895">IFERROR(+BC458/BA458,0)</f>
        <v>0</v>
      </c>
      <c r="BC458" s="72">
        <f>SUM(BC451:BC457)</f>
        <v>0</v>
      </c>
      <c r="BE458" s="72">
        <f>SUM(BE451:BE457)</f>
        <v>0</v>
      </c>
      <c r="BF458" s="73">
        <f t="shared" ref="BF458" si="896">IFERROR(+BG458/BE458,0)</f>
        <v>0</v>
      </c>
      <c r="BG458" s="72">
        <f>SUM(BG451:BG457)</f>
        <v>0</v>
      </c>
    </row>
    <row r="459" spans="1:59" hidden="1" x14ac:dyDescent="0.3"/>
    <row r="460" spans="1:59" ht="36" hidden="1" customHeight="1" x14ac:dyDescent="0.3">
      <c r="A460" s="11"/>
      <c r="B460" s="267" t="s">
        <v>827</v>
      </c>
      <c r="C460" s="267"/>
      <c r="D460" s="267"/>
      <c r="E460" s="267"/>
      <c r="F460" s="267"/>
      <c r="G460" s="267"/>
      <c r="H460" s="267"/>
      <c r="I460" s="267"/>
      <c r="J460" s="267"/>
    </row>
    <row r="461" spans="1:59" hidden="1" x14ac:dyDescent="0.3"/>
    <row r="462" spans="1:59" ht="21" hidden="1" customHeight="1" x14ac:dyDescent="0.3">
      <c r="A462" s="11"/>
      <c r="B462" s="260" t="s">
        <v>894</v>
      </c>
      <c r="C462" s="260" t="s">
        <v>895</v>
      </c>
      <c r="D462" s="268" t="s">
        <v>235</v>
      </c>
      <c r="E462" s="264" t="s">
        <v>232</v>
      </c>
      <c r="F462" s="264" t="s">
        <v>233</v>
      </c>
      <c r="G462" s="261" t="s">
        <v>234</v>
      </c>
      <c r="H462" s="36"/>
      <c r="I462" s="271" t="str">
        <f>+"Enero "&amp;$I$6&amp;""</f>
        <v>Enero 2025</v>
      </c>
      <c r="J462" s="271"/>
      <c r="K462" s="271"/>
      <c r="M462" s="271" t="str">
        <f>+"Febrero "&amp;$I$6&amp;""</f>
        <v>Febrero 2025</v>
      </c>
      <c r="N462" s="271"/>
      <c r="O462" s="271"/>
      <c r="Q462" s="271" t="str">
        <f>+"Marzo "&amp;$I$6&amp;""</f>
        <v>Marzo 2025</v>
      </c>
      <c r="R462" s="271"/>
      <c r="S462" s="271"/>
      <c r="U462" s="271" t="str">
        <f>+"Abril "&amp;$I$6&amp;""</f>
        <v>Abril 2025</v>
      </c>
      <c r="V462" s="271"/>
      <c r="W462" s="271"/>
      <c r="Y462" s="271" t="str">
        <f>+"Mayo "&amp;$I$6&amp;""</f>
        <v>Mayo 2025</v>
      </c>
      <c r="Z462" s="271"/>
      <c r="AA462" s="271"/>
      <c r="AC462" s="271" t="str">
        <f>+"Junio "&amp;$I$6&amp;""</f>
        <v>Junio 2025</v>
      </c>
      <c r="AD462" s="271"/>
      <c r="AE462" s="271"/>
      <c r="AG462" s="271" t="str">
        <f>+"Julio "&amp;$I$6&amp;""</f>
        <v>Julio 2025</v>
      </c>
      <c r="AH462" s="271"/>
      <c r="AI462" s="271"/>
      <c r="AK462" s="271" t="str">
        <f>+"Agosto "&amp;$I$6&amp;""</f>
        <v>Agosto 2025</v>
      </c>
      <c r="AL462" s="271"/>
      <c r="AM462" s="271"/>
      <c r="AO462" s="271" t="str">
        <f>+"Septiembre "&amp;$I$6&amp;""</f>
        <v>Septiembre 2025</v>
      </c>
      <c r="AP462" s="271"/>
      <c r="AQ462" s="271"/>
      <c r="AS462" s="271" t="str">
        <f>+"Octubre "&amp;$I$6&amp;""</f>
        <v>Octubre 2025</v>
      </c>
      <c r="AT462" s="271"/>
      <c r="AU462" s="271"/>
      <c r="AW462" s="271" t="str">
        <f>+"Noviembre "&amp;$I$6&amp;""</f>
        <v>Noviembre 2025</v>
      </c>
      <c r="AX462" s="271"/>
      <c r="AY462" s="271"/>
      <c r="BA462" s="271" t="str">
        <f>+"Diciembre "&amp;$I$6&amp;""</f>
        <v>Diciembre 2025</v>
      </c>
      <c r="BB462" s="271"/>
      <c r="BC462" s="271"/>
      <c r="BE462" s="271" t="str">
        <f>+"Acumulado "&amp;$I$6&amp;""</f>
        <v>Acumulado 2025</v>
      </c>
      <c r="BF462" s="271"/>
      <c r="BG462" s="271"/>
    </row>
    <row r="463" spans="1:59" ht="21" hidden="1" customHeight="1" x14ac:dyDescent="0.3">
      <c r="A463" s="11"/>
      <c r="B463" s="260"/>
      <c r="C463" s="260"/>
      <c r="D463" s="269"/>
      <c r="E463" s="265"/>
      <c r="F463" s="265"/>
      <c r="G463" s="262"/>
      <c r="H463" s="36"/>
      <c r="I463" s="261" t="s">
        <v>60</v>
      </c>
      <c r="J463" s="261" t="s">
        <v>61</v>
      </c>
      <c r="K463" s="226" t="s">
        <v>62</v>
      </c>
      <c r="L463" s="20"/>
      <c r="M463" s="261" t="s">
        <v>60</v>
      </c>
      <c r="N463" s="261" t="s">
        <v>61</v>
      </c>
      <c r="O463" s="226" t="s">
        <v>62</v>
      </c>
      <c r="P463" s="20"/>
      <c r="Q463" s="261" t="s">
        <v>60</v>
      </c>
      <c r="R463" s="261" t="s">
        <v>61</v>
      </c>
      <c r="S463" s="226" t="s">
        <v>62</v>
      </c>
      <c r="T463" s="20"/>
      <c r="U463" s="261" t="s">
        <v>60</v>
      </c>
      <c r="V463" s="261" t="s">
        <v>61</v>
      </c>
      <c r="W463" s="226" t="s">
        <v>62</v>
      </c>
      <c r="X463" s="20"/>
      <c r="Y463" s="261" t="s">
        <v>60</v>
      </c>
      <c r="Z463" s="261" t="s">
        <v>61</v>
      </c>
      <c r="AA463" s="226" t="s">
        <v>62</v>
      </c>
      <c r="AB463" s="20"/>
      <c r="AC463" s="261" t="s">
        <v>60</v>
      </c>
      <c r="AD463" s="261" t="s">
        <v>61</v>
      </c>
      <c r="AE463" s="226" t="s">
        <v>62</v>
      </c>
      <c r="AF463" s="20"/>
      <c r="AG463" s="261" t="s">
        <v>60</v>
      </c>
      <c r="AH463" s="261" t="s">
        <v>61</v>
      </c>
      <c r="AI463" s="226" t="s">
        <v>62</v>
      </c>
      <c r="AJ463" s="20"/>
      <c r="AK463" s="261" t="s">
        <v>60</v>
      </c>
      <c r="AL463" s="261" t="s">
        <v>61</v>
      </c>
      <c r="AM463" s="226" t="s">
        <v>62</v>
      </c>
      <c r="AN463" s="20"/>
      <c r="AO463" s="261" t="s">
        <v>60</v>
      </c>
      <c r="AP463" s="261" t="s">
        <v>61</v>
      </c>
      <c r="AQ463" s="226" t="s">
        <v>62</v>
      </c>
      <c r="AR463" s="20"/>
      <c r="AS463" s="261" t="s">
        <v>60</v>
      </c>
      <c r="AT463" s="261" t="s">
        <v>61</v>
      </c>
      <c r="AU463" s="226" t="s">
        <v>62</v>
      </c>
      <c r="AV463" s="20"/>
      <c r="AW463" s="261" t="s">
        <v>60</v>
      </c>
      <c r="AX463" s="261" t="s">
        <v>61</v>
      </c>
      <c r="AY463" s="226" t="s">
        <v>62</v>
      </c>
      <c r="AZ463" s="20"/>
      <c r="BA463" s="261" t="s">
        <v>60</v>
      </c>
      <c r="BB463" s="261" t="s">
        <v>61</v>
      </c>
      <c r="BC463" s="226" t="s">
        <v>62</v>
      </c>
      <c r="BD463" s="20"/>
      <c r="BE463" s="261" t="s">
        <v>60</v>
      </c>
      <c r="BF463" s="261" t="s">
        <v>61</v>
      </c>
      <c r="BG463" s="226" t="s">
        <v>62</v>
      </c>
    </row>
    <row r="464" spans="1:59" ht="21" hidden="1" customHeight="1" x14ac:dyDescent="0.3">
      <c r="A464" s="11"/>
      <c r="B464" s="260"/>
      <c r="C464" s="260"/>
      <c r="D464" s="270"/>
      <c r="E464" s="266"/>
      <c r="F464" s="266"/>
      <c r="G464" s="263"/>
      <c r="H464" s="36"/>
      <c r="I464" s="263"/>
      <c r="J464" s="263"/>
      <c r="K464" s="227" t="s">
        <v>1025</v>
      </c>
      <c r="L464" s="20"/>
      <c r="M464" s="263"/>
      <c r="N464" s="263"/>
      <c r="O464" s="227" t="s">
        <v>1025</v>
      </c>
      <c r="P464" s="20"/>
      <c r="Q464" s="263"/>
      <c r="R464" s="263"/>
      <c r="S464" s="227" t="s">
        <v>1025</v>
      </c>
      <c r="T464" s="20"/>
      <c r="U464" s="263"/>
      <c r="V464" s="263"/>
      <c r="W464" s="227" t="s">
        <v>1025</v>
      </c>
      <c r="X464" s="20"/>
      <c r="Y464" s="263"/>
      <c r="Z464" s="263"/>
      <c r="AA464" s="227" t="s">
        <v>1025</v>
      </c>
      <c r="AB464" s="20"/>
      <c r="AC464" s="263"/>
      <c r="AD464" s="263"/>
      <c r="AE464" s="227" t="s">
        <v>1025</v>
      </c>
      <c r="AF464" s="20"/>
      <c r="AG464" s="263"/>
      <c r="AH464" s="263"/>
      <c r="AI464" s="227" t="s">
        <v>1025</v>
      </c>
      <c r="AJ464" s="20"/>
      <c r="AK464" s="263"/>
      <c r="AL464" s="263"/>
      <c r="AM464" s="227" t="s">
        <v>1025</v>
      </c>
      <c r="AN464" s="20"/>
      <c r="AO464" s="263"/>
      <c r="AP464" s="263"/>
      <c r="AQ464" s="227" t="s">
        <v>1025</v>
      </c>
      <c r="AR464" s="20"/>
      <c r="AS464" s="263"/>
      <c r="AT464" s="263"/>
      <c r="AU464" s="227" t="s">
        <v>1025</v>
      </c>
      <c r="AV464" s="20"/>
      <c r="AW464" s="263"/>
      <c r="AX464" s="263"/>
      <c r="AY464" s="227" t="s">
        <v>1025</v>
      </c>
      <c r="AZ464" s="20"/>
      <c r="BA464" s="263"/>
      <c r="BB464" s="263"/>
      <c r="BC464" s="227" t="s">
        <v>1025</v>
      </c>
      <c r="BD464" s="20"/>
      <c r="BE464" s="263"/>
      <c r="BF464" s="263"/>
      <c r="BG464" s="227" t="s">
        <v>1025</v>
      </c>
    </row>
    <row r="465" spans="1:59" ht="21" hidden="1" customHeight="1" x14ac:dyDescent="0.3">
      <c r="A465" s="11"/>
      <c r="B465" s="181"/>
      <c r="C465" s="34"/>
      <c r="D465" s="34"/>
      <c r="E465" s="34"/>
      <c r="F465" s="34"/>
      <c r="G465" s="70"/>
      <c r="H465" s="35"/>
      <c r="I465" s="34"/>
      <c r="J465" s="71">
        <f>IFERROR(+K465/I465,0)</f>
        <v>0</v>
      </c>
      <c r="K465" s="34"/>
      <c r="M465" s="34"/>
      <c r="N465" s="71">
        <f>IFERROR(+O465/M465,0)</f>
        <v>0</v>
      </c>
      <c r="O465" s="34"/>
      <c r="Q465" s="34"/>
      <c r="R465" s="71">
        <f>IFERROR(+S465/Q465,0)</f>
        <v>0</v>
      </c>
      <c r="S465" s="34"/>
      <c r="U465" s="34"/>
      <c r="V465" s="71">
        <f>IFERROR(+W465/U465,0)</f>
        <v>0</v>
      </c>
      <c r="W465" s="34"/>
      <c r="Y465" s="34"/>
      <c r="Z465" s="71">
        <f>IFERROR(+AA465/Y465,0)</f>
        <v>0</v>
      </c>
      <c r="AA465" s="69"/>
      <c r="AC465" s="34"/>
      <c r="AD465" s="71">
        <f>IFERROR(+AE465/AC465,0)</f>
        <v>0</v>
      </c>
      <c r="AE465" s="34"/>
      <c r="AG465" s="34"/>
      <c r="AH465" s="71">
        <f>IFERROR(+AI465/AG465,0)</f>
        <v>0</v>
      </c>
      <c r="AI465" s="34"/>
      <c r="AK465" s="34"/>
      <c r="AL465" s="71">
        <f>IFERROR(+AM465/AK465,0)</f>
        <v>0</v>
      </c>
      <c r="AM465" s="34"/>
      <c r="AO465" s="34"/>
      <c r="AP465" s="71">
        <f>IFERROR(+AQ465/AO465,0)</f>
        <v>0</v>
      </c>
      <c r="AQ465" s="34"/>
      <c r="AS465" s="34"/>
      <c r="AT465" s="71">
        <f>IFERROR(+AU465/AS465,0)</f>
        <v>0</v>
      </c>
      <c r="AU465" s="34"/>
      <c r="AW465" s="34"/>
      <c r="AX465" s="71">
        <f>IFERROR(+AY465/AW465,0)</f>
        <v>0</v>
      </c>
      <c r="AY465" s="34"/>
      <c r="BA465" s="34"/>
      <c r="BB465" s="71">
        <f>IFERROR(+BC465/BA465,0)</f>
        <v>0</v>
      </c>
      <c r="BC465" s="34"/>
      <c r="BE465" s="72">
        <f>+I465+M465+Q465++U465+Y465+AC465+AG465+AK465+AO465+AS465+AW465+BA465</f>
        <v>0</v>
      </c>
      <c r="BF465" s="73">
        <f>IFERROR(+BG465/BE465,0)</f>
        <v>0</v>
      </c>
      <c r="BG465" s="72">
        <f>+K465+O465+S465+W465+AA465+AE465+AI465+AM465+AQ465+AU465+AY465+BC465</f>
        <v>0</v>
      </c>
    </row>
    <row r="466" spans="1:59" ht="21" hidden="1" customHeight="1" x14ac:dyDescent="0.3">
      <c r="A466" s="11"/>
      <c r="B466" s="181"/>
      <c r="C466" s="34"/>
      <c r="D466" s="34"/>
      <c r="E466" s="34"/>
      <c r="F466" s="34"/>
      <c r="G466" s="70"/>
      <c r="H466" s="35"/>
      <c r="I466" s="34"/>
      <c r="J466" s="71">
        <f t="shared" ref="J466:J470" si="897">IFERROR(+K466/I466,0)</f>
        <v>0</v>
      </c>
      <c r="K466" s="34"/>
      <c r="M466" s="34"/>
      <c r="N466" s="71">
        <f t="shared" ref="N466:N470" si="898">IFERROR(+O466/M466,0)</f>
        <v>0</v>
      </c>
      <c r="O466" s="34"/>
      <c r="Q466" s="34"/>
      <c r="R466" s="71">
        <f t="shared" ref="R466:R470" si="899">IFERROR(+S466/Q466,0)</f>
        <v>0</v>
      </c>
      <c r="S466" s="34"/>
      <c r="U466" s="34"/>
      <c r="V466" s="71">
        <f t="shared" ref="V466:V470" si="900">IFERROR(+W466/U466,0)</f>
        <v>0</v>
      </c>
      <c r="W466" s="34"/>
      <c r="Y466" s="34"/>
      <c r="Z466" s="71">
        <f t="shared" ref="Z466:Z470" si="901">IFERROR(+AA466/Y466,0)</f>
        <v>0</v>
      </c>
      <c r="AA466" s="69"/>
      <c r="AC466" s="34"/>
      <c r="AD466" s="71">
        <f t="shared" ref="AD466:AD470" si="902">IFERROR(+AE466/AC466,0)</f>
        <v>0</v>
      </c>
      <c r="AE466" s="34"/>
      <c r="AG466" s="34"/>
      <c r="AH466" s="71">
        <f t="shared" ref="AH466:AH470" si="903">IFERROR(+AI466/AG466,0)</f>
        <v>0</v>
      </c>
      <c r="AI466" s="34"/>
      <c r="AK466" s="34"/>
      <c r="AL466" s="71">
        <f t="shared" ref="AL466:AL470" si="904">IFERROR(+AM466/AK466,0)</f>
        <v>0</v>
      </c>
      <c r="AM466" s="34"/>
      <c r="AO466" s="34"/>
      <c r="AP466" s="71">
        <f t="shared" ref="AP466:AP470" si="905">IFERROR(+AQ466/AO466,0)</f>
        <v>0</v>
      </c>
      <c r="AQ466" s="34"/>
      <c r="AS466" s="34"/>
      <c r="AT466" s="71">
        <f t="shared" ref="AT466:AT470" si="906">IFERROR(+AU466/AS466,0)</f>
        <v>0</v>
      </c>
      <c r="AU466" s="34"/>
      <c r="AW466" s="34"/>
      <c r="AX466" s="71">
        <f t="shared" ref="AX466:AX470" si="907">IFERROR(+AY466/AW466,0)</f>
        <v>0</v>
      </c>
      <c r="AY466" s="34"/>
      <c r="BA466" s="34"/>
      <c r="BB466" s="71">
        <f t="shared" ref="BB466:BB470" si="908">IFERROR(+BC466/BA466,0)</f>
        <v>0</v>
      </c>
      <c r="BC466" s="34"/>
      <c r="BE466" s="72">
        <f t="shared" ref="BE466:BE470" si="909">+I466+M466+Q466++U466+Y466+AC466+AG466+AK466+AO466+AS466+AW466+BA466</f>
        <v>0</v>
      </c>
      <c r="BF466" s="73">
        <f t="shared" ref="BF466:BF470" si="910">IFERROR(+BG466/BE466,0)</f>
        <v>0</v>
      </c>
      <c r="BG466" s="72">
        <f t="shared" ref="BG466:BG470" si="911">+K466+O466+S466+W466+AA466+AE466+AI466+AM466+AQ466+AU466+AY466+BC466</f>
        <v>0</v>
      </c>
    </row>
    <row r="467" spans="1:59" ht="21" hidden="1" customHeight="1" x14ac:dyDescent="0.3">
      <c r="A467" s="11"/>
      <c r="B467" s="181"/>
      <c r="C467" s="34"/>
      <c r="D467" s="34"/>
      <c r="E467" s="34"/>
      <c r="F467" s="34"/>
      <c r="G467" s="70"/>
      <c r="H467" s="35"/>
      <c r="I467" s="34"/>
      <c r="J467" s="71">
        <f t="shared" si="897"/>
        <v>0</v>
      </c>
      <c r="K467" s="34"/>
      <c r="M467" s="34"/>
      <c r="N467" s="71">
        <f t="shared" si="898"/>
        <v>0</v>
      </c>
      <c r="O467" s="34"/>
      <c r="Q467" s="34"/>
      <c r="R467" s="71">
        <f t="shared" si="899"/>
        <v>0</v>
      </c>
      <c r="S467" s="34"/>
      <c r="U467" s="34"/>
      <c r="V467" s="71">
        <f t="shared" si="900"/>
        <v>0</v>
      </c>
      <c r="W467" s="34"/>
      <c r="Y467" s="34"/>
      <c r="Z467" s="71">
        <f t="shared" si="901"/>
        <v>0</v>
      </c>
      <c r="AA467" s="69"/>
      <c r="AC467" s="34"/>
      <c r="AD467" s="71">
        <f t="shared" si="902"/>
        <v>0</v>
      </c>
      <c r="AE467" s="34"/>
      <c r="AG467" s="34"/>
      <c r="AH467" s="71">
        <f t="shared" si="903"/>
        <v>0</v>
      </c>
      <c r="AI467" s="34"/>
      <c r="AK467" s="34"/>
      <c r="AL467" s="71">
        <f t="shared" si="904"/>
        <v>0</v>
      </c>
      <c r="AM467" s="34"/>
      <c r="AO467" s="34"/>
      <c r="AP467" s="71">
        <f t="shared" si="905"/>
        <v>0</v>
      </c>
      <c r="AQ467" s="34"/>
      <c r="AS467" s="34"/>
      <c r="AT467" s="71">
        <f t="shared" si="906"/>
        <v>0</v>
      </c>
      <c r="AU467" s="34"/>
      <c r="AW467" s="34"/>
      <c r="AX467" s="71">
        <f t="shared" si="907"/>
        <v>0</v>
      </c>
      <c r="AY467" s="34"/>
      <c r="BA467" s="34"/>
      <c r="BB467" s="71">
        <f t="shared" si="908"/>
        <v>0</v>
      </c>
      <c r="BC467" s="34"/>
      <c r="BE467" s="72">
        <f t="shared" si="909"/>
        <v>0</v>
      </c>
      <c r="BF467" s="73">
        <f t="shared" si="910"/>
        <v>0</v>
      </c>
      <c r="BG467" s="72">
        <f t="shared" si="911"/>
        <v>0</v>
      </c>
    </row>
    <row r="468" spans="1:59" ht="21" hidden="1" customHeight="1" x14ac:dyDescent="0.3">
      <c r="A468" s="11"/>
      <c r="B468" s="181"/>
      <c r="C468" s="34"/>
      <c r="D468" s="34"/>
      <c r="E468" s="34"/>
      <c r="F468" s="34"/>
      <c r="G468" s="70"/>
      <c r="H468" s="35"/>
      <c r="I468" s="34"/>
      <c r="J468" s="71">
        <f t="shared" si="897"/>
        <v>0</v>
      </c>
      <c r="K468" s="34"/>
      <c r="M468" s="34"/>
      <c r="N468" s="71">
        <f t="shared" si="898"/>
        <v>0</v>
      </c>
      <c r="O468" s="34"/>
      <c r="Q468" s="34"/>
      <c r="R468" s="71">
        <f t="shared" si="899"/>
        <v>0</v>
      </c>
      <c r="S468" s="34"/>
      <c r="U468" s="34"/>
      <c r="V468" s="71">
        <f t="shared" si="900"/>
        <v>0</v>
      </c>
      <c r="W468" s="34"/>
      <c r="Y468" s="34"/>
      <c r="Z468" s="71">
        <f t="shared" si="901"/>
        <v>0</v>
      </c>
      <c r="AA468" s="69"/>
      <c r="AC468" s="34"/>
      <c r="AD468" s="71">
        <f t="shared" si="902"/>
        <v>0</v>
      </c>
      <c r="AE468" s="34"/>
      <c r="AG468" s="34"/>
      <c r="AH468" s="71">
        <f t="shared" si="903"/>
        <v>0</v>
      </c>
      <c r="AI468" s="34"/>
      <c r="AK468" s="34"/>
      <c r="AL468" s="71">
        <f t="shared" si="904"/>
        <v>0</v>
      </c>
      <c r="AM468" s="34"/>
      <c r="AO468" s="34"/>
      <c r="AP468" s="71">
        <f t="shared" si="905"/>
        <v>0</v>
      </c>
      <c r="AQ468" s="34"/>
      <c r="AS468" s="34"/>
      <c r="AT468" s="71">
        <f t="shared" si="906"/>
        <v>0</v>
      </c>
      <c r="AU468" s="34"/>
      <c r="AW468" s="34"/>
      <c r="AX468" s="71">
        <f t="shared" si="907"/>
        <v>0</v>
      </c>
      <c r="AY468" s="34"/>
      <c r="BA468" s="34"/>
      <c r="BB468" s="71">
        <f t="shared" si="908"/>
        <v>0</v>
      </c>
      <c r="BC468" s="34"/>
      <c r="BE468" s="72">
        <f t="shared" si="909"/>
        <v>0</v>
      </c>
      <c r="BF468" s="73">
        <f t="shared" si="910"/>
        <v>0</v>
      </c>
      <c r="BG468" s="72">
        <f t="shared" si="911"/>
        <v>0</v>
      </c>
    </row>
    <row r="469" spans="1:59" ht="21" hidden="1" customHeight="1" x14ac:dyDescent="0.3">
      <c r="A469" s="11"/>
      <c r="B469" s="181"/>
      <c r="C469" s="34"/>
      <c r="D469" s="34"/>
      <c r="E469" s="34"/>
      <c r="F469" s="34"/>
      <c r="G469" s="70"/>
      <c r="H469" s="35"/>
      <c r="I469" s="34"/>
      <c r="J469" s="71">
        <f t="shared" si="897"/>
        <v>0</v>
      </c>
      <c r="K469" s="34"/>
      <c r="M469" s="34"/>
      <c r="N469" s="71">
        <f t="shared" si="898"/>
        <v>0</v>
      </c>
      <c r="O469" s="34"/>
      <c r="Q469" s="34"/>
      <c r="R469" s="71">
        <f t="shared" si="899"/>
        <v>0</v>
      </c>
      <c r="S469" s="34"/>
      <c r="U469" s="34"/>
      <c r="V469" s="71">
        <f t="shared" si="900"/>
        <v>0</v>
      </c>
      <c r="W469" s="34"/>
      <c r="Y469" s="34"/>
      <c r="Z469" s="71">
        <f t="shared" si="901"/>
        <v>0</v>
      </c>
      <c r="AA469" s="69"/>
      <c r="AC469" s="34"/>
      <c r="AD469" s="71">
        <f t="shared" si="902"/>
        <v>0</v>
      </c>
      <c r="AE469" s="34"/>
      <c r="AG469" s="34"/>
      <c r="AH469" s="71">
        <f t="shared" si="903"/>
        <v>0</v>
      </c>
      <c r="AI469" s="34"/>
      <c r="AK469" s="34"/>
      <c r="AL469" s="71">
        <f t="shared" si="904"/>
        <v>0</v>
      </c>
      <c r="AM469" s="34"/>
      <c r="AO469" s="34"/>
      <c r="AP469" s="71">
        <f t="shared" si="905"/>
        <v>0</v>
      </c>
      <c r="AQ469" s="34"/>
      <c r="AS469" s="34"/>
      <c r="AT469" s="71">
        <f t="shared" si="906"/>
        <v>0</v>
      </c>
      <c r="AU469" s="34"/>
      <c r="AW469" s="34"/>
      <c r="AX469" s="71">
        <f t="shared" si="907"/>
        <v>0</v>
      </c>
      <c r="AY469" s="34"/>
      <c r="BA469" s="34"/>
      <c r="BB469" s="71">
        <f t="shared" si="908"/>
        <v>0</v>
      </c>
      <c r="BC469" s="34"/>
      <c r="BE469" s="72">
        <f t="shared" si="909"/>
        <v>0</v>
      </c>
      <c r="BF469" s="73">
        <f t="shared" si="910"/>
        <v>0</v>
      </c>
      <c r="BG469" s="72">
        <f t="shared" si="911"/>
        <v>0</v>
      </c>
    </row>
    <row r="470" spans="1:59" ht="21" hidden="1" customHeight="1" x14ac:dyDescent="0.3">
      <c r="A470" s="11"/>
      <c r="B470" s="181"/>
      <c r="C470" s="34"/>
      <c r="D470" s="34"/>
      <c r="E470" s="34"/>
      <c r="F470" s="34"/>
      <c r="G470" s="70"/>
      <c r="H470" s="35"/>
      <c r="I470" s="34"/>
      <c r="J470" s="71">
        <f t="shared" si="897"/>
        <v>0</v>
      </c>
      <c r="K470" s="34"/>
      <c r="M470" s="34"/>
      <c r="N470" s="71">
        <f t="shared" si="898"/>
        <v>0</v>
      </c>
      <c r="O470" s="34"/>
      <c r="Q470" s="34"/>
      <c r="R470" s="71">
        <f t="shared" si="899"/>
        <v>0</v>
      </c>
      <c r="S470" s="34"/>
      <c r="U470" s="34"/>
      <c r="V470" s="71">
        <f t="shared" si="900"/>
        <v>0</v>
      </c>
      <c r="W470" s="34"/>
      <c r="Y470" s="34"/>
      <c r="Z470" s="71">
        <f t="shared" si="901"/>
        <v>0</v>
      </c>
      <c r="AA470" s="69"/>
      <c r="AC470" s="34"/>
      <c r="AD470" s="71">
        <f t="shared" si="902"/>
        <v>0</v>
      </c>
      <c r="AE470" s="34"/>
      <c r="AG470" s="34"/>
      <c r="AH470" s="71">
        <f t="shared" si="903"/>
        <v>0</v>
      </c>
      <c r="AI470" s="34"/>
      <c r="AK470" s="34"/>
      <c r="AL470" s="71">
        <f t="shared" si="904"/>
        <v>0</v>
      </c>
      <c r="AM470" s="34"/>
      <c r="AO470" s="34"/>
      <c r="AP470" s="71">
        <f t="shared" si="905"/>
        <v>0</v>
      </c>
      <c r="AQ470" s="34"/>
      <c r="AS470" s="34"/>
      <c r="AT470" s="71">
        <f t="shared" si="906"/>
        <v>0</v>
      </c>
      <c r="AU470" s="34"/>
      <c r="AW470" s="34"/>
      <c r="AX470" s="71">
        <f t="shared" si="907"/>
        <v>0</v>
      </c>
      <c r="AY470" s="34"/>
      <c r="BA470" s="34"/>
      <c r="BB470" s="71">
        <f t="shared" si="908"/>
        <v>0</v>
      </c>
      <c r="BC470" s="34"/>
      <c r="BE470" s="72">
        <f t="shared" si="909"/>
        <v>0</v>
      </c>
      <c r="BF470" s="73">
        <f t="shared" si="910"/>
        <v>0</v>
      </c>
      <c r="BG470" s="72">
        <f t="shared" si="911"/>
        <v>0</v>
      </c>
    </row>
    <row r="471" spans="1:59" ht="21" hidden="1" customHeight="1" x14ac:dyDescent="0.3">
      <c r="A471" s="11"/>
      <c r="B471" s="181"/>
      <c r="C471" s="34"/>
      <c r="D471" s="34"/>
      <c r="E471" s="34"/>
      <c r="F471" s="34"/>
      <c r="G471" s="70"/>
      <c r="H471" s="35"/>
      <c r="I471" s="34"/>
      <c r="J471" s="71">
        <f>IFERROR(+K471/I471,0)</f>
        <v>0</v>
      </c>
      <c r="K471" s="34"/>
      <c r="M471" s="34"/>
      <c r="N471" s="71">
        <f>IFERROR(+O471/M471,0)</f>
        <v>0</v>
      </c>
      <c r="O471" s="34"/>
      <c r="Q471" s="34"/>
      <c r="R471" s="71">
        <f>IFERROR(+S471/Q471,0)</f>
        <v>0</v>
      </c>
      <c r="S471" s="34"/>
      <c r="U471" s="34"/>
      <c r="V471" s="71">
        <f>IFERROR(+W471/U471,0)</f>
        <v>0</v>
      </c>
      <c r="W471" s="34"/>
      <c r="Y471" s="34"/>
      <c r="Z471" s="71">
        <f>IFERROR(+AA471/Y471,0)</f>
        <v>0</v>
      </c>
      <c r="AA471" s="69"/>
      <c r="AC471" s="34"/>
      <c r="AD471" s="71">
        <f>IFERROR(+AE471/AC471,0)</f>
        <v>0</v>
      </c>
      <c r="AE471" s="34"/>
      <c r="AG471" s="34"/>
      <c r="AH471" s="71">
        <f>IFERROR(+AI471/AG471,0)</f>
        <v>0</v>
      </c>
      <c r="AI471" s="34"/>
      <c r="AK471" s="34"/>
      <c r="AL471" s="71">
        <f>IFERROR(+AM471/AK471,0)</f>
        <v>0</v>
      </c>
      <c r="AM471" s="34"/>
      <c r="AO471" s="34"/>
      <c r="AP471" s="71">
        <f>IFERROR(+AQ471/AO471,0)</f>
        <v>0</v>
      </c>
      <c r="AQ471" s="34"/>
      <c r="AS471" s="34"/>
      <c r="AT471" s="71">
        <f>IFERROR(+AU471/AS471,0)</f>
        <v>0</v>
      </c>
      <c r="AU471" s="34"/>
      <c r="AW471" s="34"/>
      <c r="AX471" s="71">
        <f>IFERROR(+AY471/AW471,0)</f>
        <v>0</v>
      </c>
      <c r="AY471" s="34"/>
      <c r="BA471" s="34"/>
      <c r="BB471" s="71">
        <f>IFERROR(+BC471/BA471,0)</f>
        <v>0</v>
      </c>
      <c r="BC471" s="34"/>
      <c r="BE471" s="72">
        <f>+I471+M471+Q471++U471+Y471+AC471+AG471+AK471+AO471+AS471+AW471+BA471</f>
        <v>0</v>
      </c>
      <c r="BF471" s="73">
        <f>IFERROR(+BG471/BE471,0)</f>
        <v>0</v>
      </c>
      <c r="BG471" s="72">
        <f>+K471+O471+S471+W471+AA471+AE471+AI471+AM471+AQ471+AU471+AY471+BC471</f>
        <v>0</v>
      </c>
    </row>
    <row r="472" spans="1:59" ht="21" hidden="1" customHeight="1" x14ac:dyDescent="0.3">
      <c r="A472" s="11"/>
      <c r="B472" s="272" t="s">
        <v>227</v>
      </c>
      <c r="C472" s="273"/>
      <c r="D472" s="273"/>
      <c r="E472" s="273"/>
      <c r="F472" s="273"/>
      <c r="G472" s="274"/>
      <c r="H472" s="35"/>
      <c r="I472" s="72">
        <f>SUM(I465:I471)</f>
        <v>0</v>
      </c>
      <c r="J472" s="73">
        <f t="shared" ref="J472" si="912">IFERROR(+K472/I472,0)</f>
        <v>0</v>
      </c>
      <c r="K472" s="72">
        <f>SUM(K465:K471)</f>
        <v>0</v>
      </c>
      <c r="M472" s="72">
        <f>SUM(M465:M471)</f>
        <v>0</v>
      </c>
      <c r="N472" s="73">
        <f t="shared" ref="N472" si="913">IFERROR(+O472/M472,0)</f>
        <v>0</v>
      </c>
      <c r="O472" s="72">
        <f>SUM(O465:O471)</f>
        <v>0</v>
      </c>
      <c r="Q472" s="72">
        <f>SUM(Q465:Q471)</f>
        <v>0</v>
      </c>
      <c r="R472" s="73">
        <f t="shared" ref="R472" si="914">IFERROR(+S472/Q472,0)</f>
        <v>0</v>
      </c>
      <c r="S472" s="72">
        <f>SUM(S465:S471)</f>
        <v>0</v>
      </c>
      <c r="U472" s="72">
        <f>SUM(U465:U471)</f>
        <v>0</v>
      </c>
      <c r="V472" s="73">
        <f t="shared" ref="V472" si="915">IFERROR(+W472/U472,0)</f>
        <v>0</v>
      </c>
      <c r="W472" s="72">
        <f>SUM(W465:W471)</f>
        <v>0</v>
      </c>
      <c r="Y472" s="72">
        <f>SUM(Y465:Y471)</f>
        <v>0</v>
      </c>
      <c r="Z472" s="73">
        <f t="shared" ref="Z472" si="916">IFERROR(+AA472/Y472,0)</f>
        <v>0</v>
      </c>
      <c r="AA472" s="72">
        <f>SUM(AA465:AA471)</f>
        <v>0</v>
      </c>
      <c r="AC472" s="72">
        <f>SUM(AC465:AC471)</f>
        <v>0</v>
      </c>
      <c r="AD472" s="73">
        <f t="shared" ref="AD472" si="917">IFERROR(+AE472/AC472,0)</f>
        <v>0</v>
      </c>
      <c r="AE472" s="72">
        <f>SUM(AE465:AE471)</f>
        <v>0</v>
      </c>
      <c r="AG472" s="72">
        <f>SUM(AG465:AG471)</f>
        <v>0</v>
      </c>
      <c r="AH472" s="73">
        <f t="shared" ref="AH472" si="918">IFERROR(+AI472/AG472,0)</f>
        <v>0</v>
      </c>
      <c r="AI472" s="72">
        <f>SUM(AI465:AI471)</f>
        <v>0</v>
      </c>
      <c r="AK472" s="72">
        <f>SUM(AK465:AK471)</f>
        <v>0</v>
      </c>
      <c r="AL472" s="73">
        <f t="shared" ref="AL472" si="919">IFERROR(+AM472/AK472,0)</f>
        <v>0</v>
      </c>
      <c r="AM472" s="72">
        <f>SUM(AM465:AM471)</f>
        <v>0</v>
      </c>
      <c r="AO472" s="72">
        <f>SUM(AO465:AO471)</f>
        <v>0</v>
      </c>
      <c r="AP472" s="73">
        <f t="shared" ref="AP472" si="920">IFERROR(+AQ472/AO472,0)</f>
        <v>0</v>
      </c>
      <c r="AQ472" s="72">
        <f>SUM(AQ465:AQ471)</f>
        <v>0</v>
      </c>
      <c r="AS472" s="72">
        <f>SUM(AS465:AS471)</f>
        <v>0</v>
      </c>
      <c r="AT472" s="73">
        <f t="shared" ref="AT472" si="921">IFERROR(+AU472/AS472,0)</f>
        <v>0</v>
      </c>
      <c r="AU472" s="72">
        <f>SUM(AU465:AU471)</f>
        <v>0</v>
      </c>
      <c r="AW472" s="72">
        <f>SUM(AW465:AW471)</f>
        <v>0</v>
      </c>
      <c r="AX472" s="73">
        <f t="shared" ref="AX472" si="922">IFERROR(+AY472/AW472,0)</f>
        <v>0</v>
      </c>
      <c r="AY472" s="72">
        <f>SUM(AY465:AY471)</f>
        <v>0</v>
      </c>
      <c r="BA472" s="72">
        <f>SUM(BA465:BA471)</f>
        <v>0</v>
      </c>
      <c r="BB472" s="73">
        <f t="shared" ref="BB472" si="923">IFERROR(+BC472/BA472,0)</f>
        <v>0</v>
      </c>
      <c r="BC472" s="72">
        <f>SUM(BC465:BC471)</f>
        <v>0</v>
      </c>
      <c r="BE472" s="72">
        <f>SUM(BE465:BE471)</f>
        <v>0</v>
      </c>
      <c r="BF472" s="73">
        <f t="shared" ref="BF472" si="924">IFERROR(+BG472/BE472,0)</f>
        <v>0</v>
      </c>
      <c r="BG472" s="72">
        <f>SUM(BG465:BG471)</f>
        <v>0</v>
      </c>
    </row>
    <row r="473" spans="1:59" hidden="1" x14ac:dyDescent="0.3"/>
    <row r="474" spans="1:59" ht="36" customHeight="1" x14ac:dyDescent="0.3">
      <c r="A474" s="11"/>
      <c r="B474" s="280" t="s">
        <v>893</v>
      </c>
      <c r="C474" s="280"/>
      <c r="D474" s="280"/>
      <c r="E474" s="280"/>
      <c r="F474" s="280"/>
      <c r="G474" s="280"/>
      <c r="H474" s="280"/>
      <c r="I474" s="280"/>
      <c r="J474" s="280"/>
    </row>
    <row r="476" spans="1:59" ht="36" hidden="1" customHeight="1" x14ac:dyDescent="0.3">
      <c r="A476" s="11"/>
      <c r="B476" s="254" t="s">
        <v>937</v>
      </c>
      <c r="C476" s="254"/>
      <c r="D476" s="254"/>
      <c r="E476" s="254"/>
      <c r="F476" s="254"/>
      <c r="G476" s="254"/>
      <c r="H476" s="254"/>
      <c r="I476" s="254"/>
      <c r="J476" s="254"/>
    </row>
    <row r="477" spans="1:59" hidden="1" x14ac:dyDescent="0.3"/>
    <row r="478" spans="1:59" ht="36" hidden="1" customHeight="1" x14ac:dyDescent="0.3">
      <c r="A478" s="11"/>
      <c r="B478" s="249" t="s">
        <v>936</v>
      </c>
      <c r="C478" s="249"/>
      <c r="D478" s="249"/>
      <c r="E478" s="249"/>
      <c r="F478" s="249"/>
      <c r="G478" s="249"/>
      <c r="H478" s="249"/>
      <c r="I478" s="249"/>
      <c r="J478" s="249"/>
    </row>
    <row r="479" spans="1:59" hidden="1" x14ac:dyDescent="0.3"/>
    <row r="480" spans="1:59" ht="21" hidden="1" customHeight="1" x14ac:dyDescent="0.3">
      <c r="B480" s="248" t="s">
        <v>930</v>
      </c>
      <c r="C480" s="248"/>
      <c r="D480" s="175" t="s">
        <v>835</v>
      </c>
    </row>
    <row r="481" spans="2:9" ht="21" hidden="1" customHeight="1" x14ac:dyDescent="0.3"/>
    <row r="482" spans="2:9" s="187" customFormat="1" ht="56.25" hidden="1" x14ac:dyDescent="0.25">
      <c r="B482" s="189" t="s">
        <v>887</v>
      </c>
      <c r="C482" s="250" t="s">
        <v>896</v>
      </c>
      <c r="D482" s="250"/>
      <c r="E482" s="190" t="s">
        <v>848</v>
      </c>
      <c r="F482" s="191" t="s">
        <v>778</v>
      </c>
      <c r="G482" s="190" t="s">
        <v>901</v>
      </c>
    </row>
    <row r="483" spans="2:9" ht="21" hidden="1" customHeight="1" x14ac:dyDescent="0.3">
      <c r="B483" s="192">
        <v>27</v>
      </c>
      <c r="C483" s="247" t="s">
        <v>761</v>
      </c>
      <c r="D483" s="247"/>
      <c r="E483" s="193">
        <f>+I30+M30</f>
        <v>0</v>
      </c>
      <c r="F483" s="193">
        <f t="shared" ref="F483:F496" ca="1" si="925">+SUMIF($F$212:$BG$219,C483,$I$212:$I$219)+SUMIF($F$212:$BG$219,C483,$M$212:$M$219)</f>
        <v>0</v>
      </c>
      <c r="G483" s="194">
        <f ca="1">+E483-F483</f>
        <v>0</v>
      </c>
      <c r="H483" s="187"/>
      <c r="I483" s="187"/>
    </row>
    <row r="484" spans="2:9" ht="21" hidden="1" customHeight="1" x14ac:dyDescent="0.3">
      <c r="B484" s="192">
        <v>28</v>
      </c>
      <c r="C484" s="247" t="s">
        <v>762</v>
      </c>
      <c r="D484" s="247"/>
      <c r="E484" s="193">
        <f>+I44+M44</f>
        <v>0</v>
      </c>
      <c r="F484" s="193">
        <f t="shared" ca="1" si="925"/>
        <v>0</v>
      </c>
      <c r="G484" s="194">
        <f t="shared" ref="G484:G497" ca="1" si="926">+E484-F484</f>
        <v>0</v>
      </c>
      <c r="H484" s="187"/>
      <c r="I484" s="187"/>
    </row>
    <row r="485" spans="2:9" ht="21" hidden="1" customHeight="1" x14ac:dyDescent="0.3">
      <c r="B485" s="192">
        <v>29</v>
      </c>
      <c r="C485" s="247" t="s">
        <v>763</v>
      </c>
      <c r="D485" s="247"/>
      <c r="E485" s="193">
        <f>+I58+M58</f>
        <v>0</v>
      </c>
      <c r="F485" s="193">
        <f t="shared" ca="1" si="925"/>
        <v>0</v>
      </c>
      <c r="G485" s="194">
        <f t="shared" ca="1" si="926"/>
        <v>0</v>
      </c>
      <c r="H485" s="187"/>
      <c r="I485" s="187"/>
    </row>
    <row r="486" spans="2:9" ht="21" hidden="1" customHeight="1" x14ac:dyDescent="0.3">
      <c r="B486" s="192">
        <v>30</v>
      </c>
      <c r="C486" s="247" t="s">
        <v>766</v>
      </c>
      <c r="D486" s="247"/>
      <c r="E486" s="193">
        <f>+I71+M71</f>
        <v>0</v>
      </c>
      <c r="F486" s="193">
        <f t="shared" ca="1" si="925"/>
        <v>0</v>
      </c>
      <c r="G486" s="194">
        <f t="shared" ca="1" si="926"/>
        <v>0</v>
      </c>
      <c r="H486" s="187"/>
      <c r="I486" s="187"/>
    </row>
    <row r="487" spans="2:9" ht="21" hidden="1" customHeight="1" x14ac:dyDescent="0.3">
      <c r="B487" s="192">
        <v>31</v>
      </c>
      <c r="C487" s="247" t="s">
        <v>767</v>
      </c>
      <c r="D487" s="247"/>
      <c r="E487" s="193">
        <f>+I84+M84</f>
        <v>0</v>
      </c>
      <c r="F487" s="193">
        <f t="shared" ca="1" si="925"/>
        <v>0</v>
      </c>
      <c r="G487" s="194">
        <f t="shared" ca="1" si="926"/>
        <v>0</v>
      </c>
      <c r="H487" s="187"/>
      <c r="I487" s="187"/>
    </row>
    <row r="488" spans="2:9" ht="21" hidden="1" customHeight="1" x14ac:dyDescent="0.3">
      <c r="B488" s="192">
        <v>32</v>
      </c>
      <c r="C488" s="247" t="s">
        <v>768</v>
      </c>
      <c r="D488" s="247"/>
      <c r="E488" s="193">
        <f>+I97+M97</f>
        <v>0</v>
      </c>
      <c r="F488" s="193">
        <f t="shared" ca="1" si="925"/>
        <v>0</v>
      </c>
      <c r="G488" s="194">
        <f t="shared" ca="1" si="926"/>
        <v>0</v>
      </c>
      <c r="H488" s="187"/>
      <c r="I488" s="187"/>
    </row>
    <row r="489" spans="2:9" ht="21" hidden="1" customHeight="1" x14ac:dyDescent="0.3">
      <c r="B489" s="192">
        <v>33</v>
      </c>
      <c r="C489" s="247" t="s">
        <v>769</v>
      </c>
      <c r="D489" s="247"/>
      <c r="E489" s="193">
        <f>+I110+M110</f>
        <v>0</v>
      </c>
      <c r="F489" s="193">
        <f t="shared" ca="1" si="925"/>
        <v>0</v>
      </c>
      <c r="G489" s="194">
        <f t="shared" ca="1" si="926"/>
        <v>0</v>
      </c>
      <c r="H489" s="187"/>
      <c r="I489" s="187"/>
    </row>
    <row r="490" spans="2:9" ht="21" hidden="1" customHeight="1" x14ac:dyDescent="0.3">
      <c r="B490" s="192">
        <v>34</v>
      </c>
      <c r="C490" s="247" t="s">
        <v>772</v>
      </c>
      <c r="D490" s="247"/>
      <c r="E490" s="193">
        <f>+I124+M124</f>
        <v>0</v>
      </c>
      <c r="F490" s="193">
        <f t="shared" ca="1" si="925"/>
        <v>0</v>
      </c>
      <c r="G490" s="194">
        <f t="shared" ca="1" si="926"/>
        <v>0</v>
      </c>
      <c r="H490" s="187"/>
      <c r="I490" s="187"/>
    </row>
    <row r="491" spans="2:9" ht="21" hidden="1" customHeight="1" x14ac:dyDescent="0.3">
      <c r="B491" s="192">
        <v>35</v>
      </c>
      <c r="C491" s="247" t="s">
        <v>773</v>
      </c>
      <c r="D491" s="247"/>
      <c r="E491" s="193">
        <f>+I137+M137</f>
        <v>0</v>
      </c>
      <c r="F491" s="193">
        <f t="shared" ca="1" si="925"/>
        <v>0</v>
      </c>
      <c r="G491" s="194">
        <f t="shared" ca="1" si="926"/>
        <v>0</v>
      </c>
      <c r="H491" s="187"/>
      <c r="I491" s="187"/>
    </row>
    <row r="492" spans="2:9" ht="21" hidden="1" customHeight="1" x14ac:dyDescent="0.3">
      <c r="B492" s="192">
        <v>36</v>
      </c>
      <c r="C492" s="247" t="s">
        <v>821</v>
      </c>
      <c r="D492" s="247"/>
      <c r="E492" s="193">
        <f>+I151+M151</f>
        <v>0</v>
      </c>
      <c r="F492" s="193">
        <f t="shared" ca="1" si="925"/>
        <v>0</v>
      </c>
      <c r="G492" s="194">
        <f t="shared" ca="1" si="926"/>
        <v>0</v>
      </c>
      <c r="H492" s="187"/>
      <c r="I492" s="187"/>
    </row>
    <row r="493" spans="2:9" ht="21" hidden="1" customHeight="1" x14ac:dyDescent="0.3">
      <c r="B493" s="192">
        <v>37</v>
      </c>
      <c r="C493" s="247" t="s">
        <v>774</v>
      </c>
      <c r="D493" s="247"/>
      <c r="E493" s="193">
        <f>+I165+M165</f>
        <v>0</v>
      </c>
      <c r="F493" s="193">
        <f t="shared" ca="1" si="925"/>
        <v>0</v>
      </c>
      <c r="G493" s="194">
        <f t="shared" ca="1" si="926"/>
        <v>0</v>
      </c>
      <c r="H493" s="187"/>
      <c r="I493" s="187"/>
    </row>
    <row r="494" spans="2:9" ht="21" hidden="1" customHeight="1" x14ac:dyDescent="0.3">
      <c r="B494" s="192">
        <v>38</v>
      </c>
      <c r="C494" s="247" t="s">
        <v>775</v>
      </c>
      <c r="D494" s="247"/>
      <c r="E494" s="193">
        <f>+I179+M179</f>
        <v>0</v>
      </c>
      <c r="F494" s="193">
        <f t="shared" ca="1" si="925"/>
        <v>0</v>
      </c>
      <c r="G494" s="194">
        <f t="shared" ca="1" si="926"/>
        <v>0</v>
      </c>
      <c r="H494" s="187"/>
      <c r="I494" s="187"/>
    </row>
    <row r="495" spans="2:9" ht="21" hidden="1" customHeight="1" x14ac:dyDescent="0.3">
      <c r="B495" s="192">
        <v>39</v>
      </c>
      <c r="C495" s="247" t="s">
        <v>776</v>
      </c>
      <c r="D495" s="247"/>
      <c r="E495" s="193">
        <f>+I192+M192</f>
        <v>0</v>
      </c>
      <c r="F495" s="193">
        <f t="shared" ca="1" si="925"/>
        <v>0</v>
      </c>
      <c r="G495" s="194">
        <f t="shared" ca="1" si="926"/>
        <v>0</v>
      </c>
      <c r="H495" s="187"/>
      <c r="I495" s="187"/>
    </row>
    <row r="496" spans="2:9" ht="21" hidden="1" customHeight="1" x14ac:dyDescent="0.3">
      <c r="B496" s="192">
        <v>40</v>
      </c>
      <c r="C496" s="247" t="s">
        <v>777</v>
      </c>
      <c r="D496" s="247"/>
      <c r="E496" s="193">
        <f>+I205+M205</f>
        <v>0</v>
      </c>
      <c r="F496" s="193">
        <f t="shared" ca="1" si="925"/>
        <v>0</v>
      </c>
      <c r="G496" s="194">
        <f t="shared" ca="1" si="926"/>
        <v>0</v>
      </c>
      <c r="H496" s="187"/>
      <c r="I496" s="187"/>
    </row>
    <row r="497" spans="2:9" s="186" customFormat="1" ht="21" hidden="1" customHeight="1" x14ac:dyDescent="0.3">
      <c r="B497" s="195"/>
      <c r="C497" s="248" t="s">
        <v>903</v>
      </c>
      <c r="D497" s="248"/>
      <c r="E497" s="194">
        <f>SUM(E483:E496)</f>
        <v>0</v>
      </c>
      <c r="F497" s="194">
        <f ca="1">SUM(F483:F496)</f>
        <v>0</v>
      </c>
      <c r="G497" s="194">
        <f t="shared" ca="1" si="926"/>
        <v>0</v>
      </c>
      <c r="H497" s="187"/>
      <c r="I497" s="187"/>
    </row>
    <row r="498" spans="2:9" ht="21" hidden="1" customHeight="1" x14ac:dyDescent="0.3"/>
    <row r="499" spans="2:9" s="20" customFormat="1" ht="21" hidden="1" customHeight="1" x14ac:dyDescent="0.25">
      <c r="C499" s="250" t="s">
        <v>905</v>
      </c>
      <c r="D499" s="250"/>
      <c r="E499" s="190" t="s">
        <v>912</v>
      </c>
      <c r="F499" s="190" t="s">
        <v>902</v>
      </c>
    </row>
    <row r="500" spans="2:9" ht="21" hidden="1" customHeight="1" x14ac:dyDescent="0.3">
      <c r="C500" s="247" t="s">
        <v>906</v>
      </c>
      <c r="D500" s="247"/>
      <c r="E500" s="193">
        <f ca="1">+G483+G484+G485+G490+G492+G493+G494</f>
        <v>0</v>
      </c>
      <c r="F500" s="196">
        <f ca="1">+IF((E500&gt;0),(E500/$E$504),0)</f>
        <v>0</v>
      </c>
    </row>
    <row r="501" spans="2:9" ht="21" hidden="1" customHeight="1" x14ac:dyDescent="0.3">
      <c r="C501" s="247" t="s">
        <v>907</v>
      </c>
      <c r="D501" s="247"/>
      <c r="E501" s="193">
        <f ca="1">+G495</f>
        <v>0</v>
      </c>
      <c r="F501" s="196">
        <f ca="1">+IF((E501&gt;0),(E501/$E$504),0)</f>
        <v>0</v>
      </c>
    </row>
    <row r="502" spans="2:9" ht="21" hidden="1" customHeight="1" x14ac:dyDescent="0.3">
      <c r="C502" s="247" t="s">
        <v>908</v>
      </c>
      <c r="D502" s="247"/>
      <c r="E502" s="193">
        <f ca="1">+G486+G487+G488+G489+G491</f>
        <v>0</v>
      </c>
      <c r="F502" s="196">
        <f ca="1">+IF((E502&gt;0),(E502/$E$504),0)</f>
        <v>0</v>
      </c>
    </row>
    <row r="503" spans="2:9" ht="21" hidden="1" customHeight="1" x14ac:dyDescent="0.3">
      <c r="C503" s="247" t="s">
        <v>909</v>
      </c>
      <c r="D503" s="247"/>
      <c r="E503" s="193">
        <v>0</v>
      </c>
      <c r="F503" s="196">
        <f>+IF((E503&gt;0),(E503/$E$504),0)</f>
        <v>0</v>
      </c>
    </row>
    <row r="504" spans="2:9" ht="21" hidden="1" customHeight="1" x14ac:dyDescent="0.3">
      <c r="C504" s="248" t="s">
        <v>913</v>
      </c>
      <c r="D504" s="248"/>
      <c r="E504" s="194">
        <f ca="1">SUM(E500:E503)</f>
        <v>0</v>
      </c>
      <c r="F504" s="193"/>
    </row>
    <row r="505" spans="2:9" ht="21" hidden="1" customHeight="1" x14ac:dyDescent="0.3"/>
    <row r="506" spans="2:9" s="187" customFormat="1" ht="37.5" hidden="1" x14ac:dyDescent="0.25">
      <c r="B506" s="189" t="s">
        <v>887</v>
      </c>
      <c r="C506" s="250" t="s">
        <v>904</v>
      </c>
      <c r="D506" s="250"/>
      <c r="E506" s="191" t="s">
        <v>915</v>
      </c>
      <c r="F506" s="190" t="s">
        <v>902</v>
      </c>
      <c r="G506" s="190" t="s">
        <v>914</v>
      </c>
    </row>
    <row r="507" spans="2:9" ht="21" hidden="1" customHeight="1" x14ac:dyDescent="0.3">
      <c r="B507" s="192">
        <v>66</v>
      </c>
      <c r="C507" s="247" t="s">
        <v>929</v>
      </c>
      <c r="D507" s="247"/>
      <c r="E507" s="193">
        <f>+K386+O386</f>
        <v>0</v>
      </c>
      <c r="F507" s="197">
        <f ca="1">+$F$501</f>
        <v>0</v>
      </c>
      <c r="G507" s="193">
        <f ca="1">+E507*F507</f>
        <v>0</v>
      </c>
    </row>
    <row r="508" spans="2:9" ht="21" hidden="1" customHeight="1" x14ac:dyDescent="0.3">
      <c r="B508" s="192">
        <v>68</v>
      </c>
      <c r="C508" s="247" t="s">
        <v>800</v>
      </c>
      <c r="D508" s="247"/>
      <c r="E508" s="193">
        <f>+K235+O235</f>
        <v>0</v>
      </c>
      <c r="F508" s="197">
        <f ca="1">+$F$501</f>
        <v>0</v>
      </c>
      <c r="G508" s="193">
        <f ca="1">+E508*F508</f>
        <v>0</v>
      </c>
    </row>
    <row r="509" spans="2:9" ht="21" hidden="1" customHeight="1" x14ac:dyDescent="0.3">
      <c r="B509" s="192">
        <v>69</v>
      </c>
      <c r="C509" s="247" t="s">
        <v>801</v>
      </c>
      <c r="D509" s="247"/>
      <c r="E509" s="193">
        <f>+K249+O249</f>
        <v>0</v>
      </c>
      <c r="F509" s="197">
        <f t="shared" ref="F509:F515" ca="1" si="927">+$F$501</f>
        <v>0</v>
      </c>
      <c r="G509" s="193">
        <f t="shared" ref="G509:G515" ca="1" si="928">+E509*F509</f>
        <v>0</v>
      </c>
    </row>
    <row r="510" spans="2:9" ht="21" hidden="1" customHeight="1" x14ac:dyDescent="0.3">
      <c r="B510" s="192">
        <v>70</v>
      </c>
      <c r="C510" s="247" t="s">
        <v>783</v>
      </c>
      <c r="D510" s="247"/>
      <c r="E510" s="193">
        <f>+K263+O263</f>
        <v>0</v>
      </c>
      <c r="F510" s="197">
        <f t="shared" ca="1" si="927"/>
        <v>0</v>
      </c>
      <c r="G510" s="193">
        <f t="shared" ca="1" si="928"/>
        <v>0</v>
      </c>
    </row>
    <row r="511" spans="2:9" ht="21" hidden="1" customHeight="1" x14ac:dyDescent="0.3">
      <c r="B511" s="192">
        <v>71</v>
      </c>
      <c r="C511" s="247" t="s">
        <v>802</v>
      </c>
      <c r="D511" s="247"/>
      <c r="E511" s="193">
        <f>+K317+O317</f>
        <v>0</v>
      </c>
      <c r="F511" s="197">
        <f t="shared" ca="1" si="927"/>
        <v>0</v>
      </c>
      <c r="G511" s="193">
        <f t="shared" ca="1" si="928"/>
        <v>0</v>
      </c>
    </row>
    <row r="512" spans="2:9" ht="21" hidden="1" customHeight="1" x14ac:dyDescent="0.3">
      <c r="B512" s="192">
        <v>72</v>
      </c>
      <c r="C512" s="247" t="s">
        <v>803</v>
      </c>
      <c r="D512" s="247"/>
      <c r="E512" s="193">
        <f>+K331+O331</f>
        <v>0</v>
      </c>
      <c r="F512" s="197">
        <f t="shared" ca="1" si="927"/>
        <v>0</v>
      </c>
      <c r="G512" s="193">
        <f t="shared" ca="1" si="928"/>
        <v>0</v>
      </c>
    </row>
    <row r="513" spans="1:10" ht="21" hidden="1" customHeight="1" x14ac:dyDescent="0.3">
      <c r="B513" s="192">
        <v>73</v>
      </c>
      <c r="C513" s="247" t="s">
        <v>45</v>
      </c>
      <c r="D513" s="247"/>
      <c r="E513" s="193">
        <f>+K416+O416</f>
        <v>0</v>
      </c>
      <c r="F513" s="197">
        <f t="shared" ca="1" si="927"/>
        <v>0</v>
      </c>
      <c r="G513" s="193">
        <f t="shared" ca="1" si="928"/>
        <v>0</v>
      </c>
    </row>
    <row r="514" spans="1:10" ht="21" hidden="1" customHeight="1" x14ac:dyDescent="0.3">
      <c r="B514" s="192">
        <v>74</v>
      </c>
      <c r="C514" s="247" t="s">
        <v>804</v>
      </c>
      <c r="D514" s="247"/>
      <c r="E514" s="193">
        <f ca="1">+SUMIF(J296:K302,5%,K296:K302)+SUMIF(N296:O302,5%,O296:O302)+K345+O345</f>
        <v>0</v>
      </c>
      <c r="F514" s="197">
        <f t="shared" ca="1" si="927"/>
        <v>0</v>
      </c>
      <c r="G514" s="193">
        <f t="shared" ca="1" si="928"/>
        <v>0</v>
      </c>
    </row>
    <row r="515" spans="1:10" ht="21" hidden="1" customHeight="1" x14ac:dyDescent="0.3">
      <c r="B515" s="192">
        <v>75</v>
      </c>
      <c r="C515" s="247" t="s">
        <v>805</v>
      </c>
      <c r="D515" s="247"/>
      <c r="E515" s="193">
        <f ca="1">+SUMIF(J296:K302,19%,K296:K302)+SUMIF(N296:O302,19%,O296:O302)+K359+O359</f>
        <v>0</v>
      </c>
      <c r="F515" s="197">
        <f t="shared" ca="1" si="927"/>
        <v>0</v>
      </c>
      <c r="G515" s="193">
        <f t="shared" ca="1" si="928"/>
        <v>0</v>
      </c>
    </row>
    <row r="516" spans="1:10" ht="21" hidden="1" customHeight="1" x14ac:dyDescent="0.3">
      <c r="B516" s="195"/>
      <c r="C516" s="248" t="s">
        <v>903</v>
      </c>
      <c r="D516" s="248"/>
      <c r="E516" s="194">
        <f ca="1">SUM(E508:E515)</f>
        <v>0</v>
      </c>
      <c r="F516" s="197"/>
      <c r="G516" s="194">
        <f ca="1">SUM(G508:G515)</f>
        <v>0</v>
      </c>
    </row>
    <row r="517" spans="1:10" hidden="1" x14ac:dyDescent="0.3"/>
    <row r="518" spans="1:10" ht="36" hidden="1" customHeight="1" x14ac:dyDescent="0.3">
      <c r="A518" s="11"/>
      <c r="B518" s="249" t="s">
        <v>938</v>
      </c>
      <c r="C518" s="249"/>
      <c r="D518" s="249"/>
      <c r="E518" s="249"/>
      <c r="F518" s="249"/>
      <c r="G518" s="249"/>
      <c r="H518" s="249"/>
      <c r="I518" s="249"/>
      <c r="J518" s="249"/>
    </row>
    <row r="519" spans="1:10" hidden="1" x14ac:dyDescent="0.3"/>
    <row r="520" spans="1:10" ht="21" hidden="1" customHeight="1" x14ac:dyDescent="0.3">
      <c r="B520" s="248" t="s">
        <v>931</v>
      </c>
      <c r="C520" s="248"/>
      <c r="D520" s="175" t="s">
        <v>835</v>
      </c>
    </row>
    <row r="521" spans="1:10" ht="21" hidden="1" customHeight="1" x14ac:dyDescent="0.3"/>
    <row r="522" spans="1:10" s="187" customFormat="1" ht="56.25" hidden="1" x14ac:dyDescent="0.25">
      <c r="B522" s="189" t="s">
        <v>887</v>
      </c>
      <c r="C522" s="250" t="s">
        <v>896</v>
      </c>
      <c r="D522" s="250"/>
      <c r="E522" s="190" t="s">
        <v>848</v>
      </c>
      <c r="F522" s="191" t="s">
        <v>778</v>
      </c>
      <c r="G522" s="190" t="s">
        <v>901</v>
      </c>
    </row>
    <row r="523" spans="1:10" ht="21" hidden="1" customHeight="1" x14ac:dyDescent="0.3">
      <c r="B523" s="192">
        <v>27</v>
      </c>
      <c r="C523" s="247" t="s">
        <v>761</v>
      </c>
      <c r="D523" s="247"/>
      <c r="E523" s="193">
        <f>+Q30+U30</f>
        <v>0</v>
      </c>
      <c r="F523" s="193">
        <f t="shared" ref="F523:F536" ca="1" si="929">+SUMIF($F$212:$BG$219,C523,$Q$212:$Q$219)+SUMIF($F$212:$BG$219,C523,$U$212:$U$219)</f>
        <v>0</v>
      </c>
      <c r="G523" s="194">
        <f ca="1">+E523-F523</f>
        <v>0</v>
      </c>
      <c r="H523" s="187"/>
      <c r="I523" s="187"/>
    </row>
    <row r="524" spans="1:10" ht="21" hidden="1" customHeight="1" x14ac:dyDescent="0.3">
      <c r="B524" s="192">
        <v>28</v>
      </c>
      <c r="C524" s="247" t="s">
        <v>762</v>
      </c>
      <c r="D524" s="247"/>
      <c r="E524" s="193">
        <f>+Q44+U44</f>
        <v>0</v>
      </c>
      <c r="F524" s="193">
        <f t="shared" ca="1" si="929"/>
        <v>0</v>
      </c>
      <c r="G524" s="194">
        <f t="shared" ref="G524:G537" ca="1" si="930">+E524-F524</f>
        <v>0</v>
      </c>
      <c r="H524" s="187"/>
      <c r="I524" s="187"/>
    </row>
    <row r="525" spans="1:10" ht="21" hidden="1" customHeight="1" x14ac:dyDescent="0.3">
      <c r="B525" s="192">
        <v>29</v>
      </c>
      <c r="C525" s="247" t="s">
        <v>763</v>
      </c>
      <c r="D525" s="247"/>
      <c r="E525" s="193">
        <f>+Q58+U58</f>
        <v>0</v>
      </c>
      <c r="F525" s="193">
        <f t="shared" ca="1" si="929"/>
        <v>0</v>
      </c>
      <c r="G525" s="194">
        <f t="shared" ca="1" si="930"/>
        <v>0</v>
      </c>
      <c r="H525" s="187"/>
      <c r="I525" s="187"/>
    </row>
    <row r="526" spans="1:10" ht="21" hidden="1" customHeight="1" x14ac:dyDescent="0.3">
      <c r="B526" s="192">
        <v>30</v>
      </c>
      <c r="C526" s="247" t="s">
        <v>766</v>
      </c>
      <c r="D526" s="247"/>
      <c r="E526" s="193">
        <f>+Q71+U71</f>
        <v>0</v>
      </c>
      <c r="F526" s="193">
        <f t="shared" ca="1" si="929"/>
        <v>0</v>
      </c>
      <c r="G526" s="194">
        <f t="shared" ca="1" si="930"/>
        <v>0</v>
      </c>
      <c r="H526" s="187"/>
      <c r="I526" s="187"/>
    </row>
    <row r="527" spans="1:10" ht="21" hidden="1" customHeight="1" x14ac:dyDescent="0.3">
      <c r="B527" s="192">
        <v>31</v>
      </c>
      <c r="C527" s="247" t="s">
        <v>767</v>
      </c>
      <c r="D527" s="247"/>
      <c r="E527" s="193">
        <f>+Q84+U84</f>
        <v>0</v>
      </c>
      <c r="F527" s="193">
        <f t="shared" ca="1" si="929"/>
        <v>0</v>
      </c>
      <c r="G527" s="194">
        <f t="shared" ca="1" si="930"/>
        <v>0</v>
      </c>
      <c r="H527" s="187"/>
      <c r="I527" s="187"/>
    </row>
    <row r="528" spans="1:10" ht="21" hidden="1" customHeight="1" x14ac:dyDescent="0.3">
      <c r="B528" s="192">
        <v>32</v>
      </c>
      <c r="C528" s="247" t="s">
        <v>768</v>
      </c>
      <c r="D528" s="247"/>
      <c r="E528" s="193">
        <f>+Q97+U97</f>
        <v>0</v>
      </c>
      <c r="F528" s="193">
        <f t="shared" ca="1" si="929"/>
        <v>0</v>
      </c>
      <c r="G528" s="194">
        <f t="shared" ca="1" si="930"/>
        <v>0</v>
      </c>
      <c r="H528" s="187"/>
      <c r="I528" s="187"/>
    </row>
    <row r="529" spans="2:9" ht="21" hidden="1" customHeight="1" x14ac:dyDescent="0.3">
      <c r="B529" s="192">
        <v>33</v>
      </c>
      <c r="C529" s="247" t="s">
        <v>769</v>
      </c>
      <c r="D529" s="247"/>
      <c r="E529" s="193">
        <f>+Q110+U110</f>
        <v>0</v>
      </c>
      <c r="F529" s="193">
        <f t="shared" ca="1" si="929"/>
        <v>0</v>
      </c>
      <c r="G529" s="194">
        <f t="shared" ca="1" si="930"/>
        <v>0</v>
      </c>
      <c r="H529" s="187"/>
      <c r="I529" s="187"/>
    </row>
    <row r="530" spans="2:9" ht="21" hidden="1" customHeight="1" x14ac:dyDescent="0.3">
      <c r="B530" s="192">
        <v>34</v>
      </c>
      <c r="C530" s="247" t="s">
        <v>772</v>
      </c>
      <c r="D530" s="247"/>
      <c r="E530" s="193">
        <f>+Q124+U124</f>
        <v>0</v>
      </c>
      <c r="F530" s="193">
        <f t="shared" ca="1" si="929"/>
        <v>0</v>
      </c>
      <c r="G530" s="194">
        <f t="shared" ca="1" si="930"/>
        <v>0</v>
      </c>
      <c r="H530" s="187"/>
      <c r="I530" s="187"/>
    </row>
    <row r="531" spans="2:9" ht="21" hidden="1" customHeight="1" x14ac:dyDescent="0.3">
      <c r="B531" s="192">
        <v>35</v>
      </c>
      <c r="C531" s="247" t="s">
        <v>773</v>
      </c>
      <c r="D531" s="247"/>
      <c r="E531" s="193">
        <f>+Q137+U137</f>
        <v>0</v>
      </c>
      <c r="F531" s="193">
        <f t="shared" ca="1" si="929"/>
        <v>0</v>
      </c>
      <c r="G531" s="194">
        <f t="shared" ca="1" si="930"/>
        <v>0</v>
      </c>
      <c r="H531" s="187"/>
      <c r="I531" s="187"/>
    </row>
    <row r="532" spans="2:9" ht="21" hidden="1" customHeight="1" x14ac:dyDescent="0.3">
      <c r="B532" s="192">
        <v>36</v>
      </c>
      <c r="C532" s="247" t="s">
        <v>821</v>
      </c>
      <c r="D532" s="247"/>
      <c r="E532" s="193">
        <f>+Q151+U151</f>
        <v>0</v>
      </c>
      <c r="F532" s="193">
        <f t="shared" ca="1" si="929"/>
        <v>0</v>
      </c>
      <c r="G532" s="194">
        <f t="shared" ca="1" si="930"/>
        <v>0</v>
      </c>
      <c r="H532" s="187"/>
      <c r="I532" s="187"/>
    </row>
    <row r="533" spans="2:9" ht="21" hidden="1" customHeight="1" x14ac:dyDescent="0.3">
      <c r="B533" s="192">
        <v>37</v>
      </c>
      <c r="C533" s="247" t="s">
        <v>774</v>
      </c>
      <c r="D533" s="247"/>
      <c r="E533" s="193">
        <f>+Q165+U165</f>
        <v>0</v>
      </c>
      <c r="F533" s="193">
        <f t="shared" ca="1" si="929"/>
        <v>0</v>
      </c>
      <c r="G533" s="194">
        <f t="shared" ca="1" si="930"/>
        <v>0</v>
      </c>
      <c r="H533" s="187"/>
      <c r="I533" s="187"/>
    </row>
    <row r="534" spans="2:9" ht="21" hidden="1" customHeight="1" x14ac:dyDescent="0.3">
      <c r="B534" s="192">
        <v>38</v>
      </c>
      <c r="C534" s="247" t="s">
        <v>775</v>
      </c>
      <c r="D534" s="247"/>
      <c r="E534" s="193">
        <f>+Q179+U179</f>
        <v>0</v>
      </c>
      <c r="F534" s="193">
        <f t="shared" ca="1" si="929"/>
        <v>0</v>
      </c>
      <c r="G534" s="194">
        <f t="shared" ca="1" si="930"/>
        <v>0</v>
      </c>
      <c r="H534" s="187"/>
      <c r="I534" s="187"/>
    </row>
    <row r="535" spans="2:9" ht="21" hidden="1" customHeight="1" x14ac:dyDescent="0.3">
      <c r="B535" s="192">
        <v>39</v>
      </c>
      <c r="C535" s="247" t="s">
        <v>776</v>
      </c>
      <c r="D535" s="247"/>
      <c r="E535" s="193">
        <f>+Q192+U192</f>
        <v>0</v>
      </c>
      <c r="F535" s="193">
        <f t="shared" ca="1" si="929"/>
        <v>0</v>
      </c>
      <c r="G535" s="194">
        <f t="shared" ca="1" si="930"/>
        <v>0</v>
      </c>
      <c r="H535" s="187"/>
      <c r="I535" s="187"/>
    </row>
    <row r="536" spans="2:9" ht="21" hidden="1" customHeight="1" x14ac:dyDescent="0.3">
      <c r="B536" s="192">
        <v>40</v>
      </c>
      <c r="C536" s="247" t="s">
        <v>777</v>
      </c>
      <c r="D536" s="247"/>
      <c r="E536" s="193">
        <f>+Q205+U205</f>
        <v>0</v>
      </c>
      <c r="F536" s="193">
        <f t="shared" ca="1" si="929"/>
        <v>0</v>
      </c>
      <c r="G536" s="194">
        <f t="shared" ca="1" si="930"/>
        <v>0</v>
      </c>
      <c r="H536" s="187"/>
      <c r="I536" s="187"/>
    </row>
    <row r="537" spans="2:9" s="186" customFormat="1" ht="21" hidden="1" customHeight="1" x14ac:dyDescent="0.3">
      <c r="B537" s="195"/>
      <c r="C537" s="248" t="s">
        <v>903</v>
      </c>
      <c r="D537" s="248"/>
      <c r="E537" s="194">
        <f>SUM(E523:E536)</f>
        <v>0</v>
      </c>
      <c r="F537" s="194">
        <f ca="1">SUM(F523:F536)</f>
        <v>0</v>
      </c>
      <c r="G537" s="194">
        <f t="shared" ca="1" si="930"/>
        <v>0</v>
      </c>
      <c r="H537" s="187"/>
      <c r="I537" s="187"/>
    </row>
    <row r="538" spans="2:9" ht="21" hidden="1" customHeight="1" x14ac:dyDescent="0.3"/>
    <row r="539" spans="2:9" s="20" customFormat="1" ht="21" hidden="1" customHeight="1" x14ac:dyDescent="0.25">
      <c r="C539" s="250" t="s">
        <v>905</v>
      </c>
      <c r="D539" s="250"/>
      <c r="E539" s="190" t="s">
        <v>912</v>
      </c>
      <c r="F539" s="190" t="s">
        <v>902</v>
      </c>
    </row>
    <row r="540" spans="2:9" ht="21" hidden="1" customHeight="1" x14ac:dyDescent="0.3">
      <c r="C540" s="247" t="s">
        <v>906</v>
      </c>
      <c r="D540" s="247"/>
      <c r="E540" s="193">
        <f ca="1">+G523+G524+G525+G530+G532+G533+G534</f>
        <v>0</v>
      </c>
      <c r="F540" s="196">
        <f ca="1">+IF((E540&gt;0),(E540/$E$544),0)</f>
        <v>0</v>
      </c>
    </row>
    <row r="541" spans="2:9" ht="21" hidden="1" customHeight="1" x14ac:dyDescent="0.3">
      <c r="C541" s="247" t="s">
        <v>907</v>
      </c>
      <c r="D541" s="247"/>
      <c r="E541" s="193">
        <f ca="1">+G535</f>
        <v>0</v>
      </c>
      <c r="F541" s="196">
        <f t="shared" ref="F541:F543" ca="1" si="931">+IF((E541&gt;0),(E541/$E$544),0)</f>
        <v>0</v>
      </c>
    </row>
    <row r="542" spans="2:9" ht="21" hidden="1" customHeight="1" x14ac:dyDescent="0.3">
      <c r="C542" s="247" t="s">
        <v>908</v>
      </c>
      <c r="D542" s="247"/>
      <c r="E542" s="193">
        <f ca="1">+G526+G527+G528+G529+G531</f>
        <v>0</v>
      </c>
      <c r="F542" s="196">
        <f t="shared" ca="1" si="931"/>
        <v>0</v>
      </c>
    </row>
    <row r="543" spans="2:9" ht="21" hidden="1" customHeight="1" x14ac:dyDescent="0.3">
      <c r="C543" s="247" t="s">
        <v>909</v>
      </c>
      <c r="D543" s="247"/>
      <c r="E543" s="193">
        <v>0</v>
      </c>
      <c r="F543" s="196">
        <f t="shared" si="931"/>
        <v>0</v>
      </c>
    </row>
    <row r="544" spans="2:9" ht="21" hidden="1" customHeight="1" x14ac:dyDescent="0.3">
      <c r="C544" s="248" t="s">
        <v>913</v>
      </c>
      <c r="D544" s="248"/>
      <c r="E544" s="194">
        <f ca="1">SUM(E540:E543)</f>
        <v>0</v>
      </c>
      <c r="F544" s="193"/>
    </row>
    <row r="545" spans="1:10" ht="21" hidden="1" customHeight="1" x14ac:dyDescent="0.3"/>
    <row r="546" spans="1:10" s="187" customFormat="1" ht="37.5" hidden="1" x14ac:dyDescent="0.25">
      <c r="B546" s="189" t="s">
        <v>887</v>
      </c>
      <c r="C546" s="250" t="s">
        <v>904</v>
      </c>
      <c r="D546" s="250"/>
      <c r="E546" s="191" t="s">
        <v>915</v>
      </c>
      <c r="F546" s="190" t="s">
        <v>902</v>
      </c>
      <c r="G546" s="190" t="s">
        <v>914</v>
      </c>
    </row>
    <row r="547" spans="1:10" ht="21" hidden="1" customHeight="1" x14ac:dyDescent="0.3">
      <c r="B547" s="192">
        <v>66</v>
      </c>
      <c r="C547" s="247" t="s">
        <v>929</v>
      </c>
      <c r="D547" s="247"/>
      <c r="E547" s="193">
        <f>+S386+W386</f>
        <v>0</v>
      </c>
      <c r="F547" s="197">
        <f ca="1">$F$541</f>
        <v>0</v>
      </c>
      <c r="G547" s="193">
        <f ca="1">+E547*F547</f>
        <v>0</v>
      </c>
    </row>
    <row r="548" spans="1:10" ht="21" hidden="1" customHeight="1" x14ac:dyDescent="0.3">
      <c r="B548" s="192">
        <v>68</v>
      </c>
      <c r="C548" s="247" t="s">
        <v>800</v>
      </c>
      <c r="D548" s="247"/>
      <c r="E548" s="193">
        <f>+S235+W235</f>
        <v>0</v>
      </c>
      <c r="F548" s="197">
        <f t="shared" ref="F548:F555" ca="1" si="932">$F$541</f>
        <v>0</v>
      </c>
      <c r="G548" s="193">
        <f ca="1">+E548*F548</f>
        <v>0</v>
      </c>
    </row>
    <row r="549" spans="1:10" ht="21" hidden="1" customHeight="1" x14ac:dyDescent="0.3">
      <c r="B549" s="192">
        <v>69</v>
      </c>
      <c r="C549" s="247" t="s">
        <v>801</v>
      </c>
      <c r="D549" s="247"/>
      <c r="E549" s="193">
        <f>+S249+W249</f>
        <v>0</v>
      </c>
      <c r="F549" s="197">
        <f t="shared" ca="1" si="932"/>
        <v>0</v>
      </c>
      <c r="G549" s="193">
        <f t="shared" ref="G549:G555" ca="1" si="933">+E549*F549</f>
        <v>0</v>
      </c>
    </row>
    <row r="550" spans="1:10" ht="21" hidden="1" customHeight="1" x14ac:dyDescent="0.3">
      <c r="B550" s="192">
        <v>70</v>
      </c>
      <c r="C550" s="247" t="s">
        <v>783</v>
      </c>
      <c r="D550" s="247"/>
      <c r="E550" s="193">
        <f>+S263+W263</f>
        <v>0</v>
      </c>
      <c r="F550" s="197">
        <f t="shared" ca="1" si="932"/>
        <v>0</v>
      </c>
      <c r="G550" s="193">
        <f t="shared" ca="1" si="933"/>
        <v>0</v>
      </c>
    </row>
    <row r="551" spans="1:10" ht="21" hidden="1" customHeight="1" x14ac:dyDescent="0.3">
      <c r="B551" s="192">
        <v>71</v>
      </c>
      <c r="C551" s="247" t="s">
        <v>802</v>
      </c>
      <c r="D551" s="247"/>
      <c r="E551" s="193">
        <f>+S317+W317</f>
        <v>0</v>
      </c>
      <c r="F551" s="197">
        <f t="shared" ca="1" si="932"/>
        <v>0</v>
      </c>
      <c r="G551" s="193">
        <f t="shared" ca="1" si="933"/>
        <v>0</v>
      </c>
    </row>
    <row r="552" spans="1:10" ht="21" hidden="1" customHeight="1" x14ac:dyDescent="0.3">
      <c r="B552" s="192">
        <v>72</v>
      </c>
      <c r="C552" s="247" t="s">
        <v>803</v>
      </c>
      <c r="D552" s="247"/>
      <c r="E552" s="193">
        <f>+S331+W331</f>
        <v>0</v>
      </c>
      <c r="F552" s="197">
        <f t="shared" ca="1" si="932"/>
        <v>0</v>
      </c>
      <c r="G552" s="193">
        <f t="shared" ca="1" si="933"/>
        <v>0</v>
      </c>
    </row>
    <row r="553" spans="1:10" ht="21" hidden="1" customHeight="1" x14ac:dyDescent="0.3">
      <c r="B553" s="192">
        <v>73</v>
      </c>
      <c r="C553" s="247" t="s">
        <v>45</v>
      </c>
      <c r="D553" s="247"/>
      <c r="E553" s="193">
        <f>+S416+W416</f>
        <v>0</v>
      </c>
      <c r="F553" s="197">
        <f t="shared" ca="1" si="932"/>
        <v>0</v>
      </c>
      <c r="G553" s="193">
        <f t="shared" ca="1" si="933"/>
        <v>0</v>
      </c>
    </row>
    <row r="554" spans="1:10" ht="21" hidden="1" customHeight="1" x14ac:dyDescent="0.3">
      <c r="B554" s="192">
        <v>74</v>
      </c>
      <c r="C554" s="247" t="s">
        <v>804</v>
      </c>
      <c r="D554" s="247"/>
      <c r="E554" s="193">
        <f ca="1">+SUMIF(R296:S302,5%,S296:S302)+SUMIF(V296:W302,5%,W296:W302)+S345+W345</f>
        <v>0</v>
      </c>
      <c r="F554" s="197">
        <f t="shared" ca="1" si="932"/>
        <v>0</v>
      </c>
      <c r="G554" s="193">
        <f t="shared" ca="1" si="933"/>
        <v>0</v>
      </c>
    </row>
    <row r="555" spans="1:10" ht="21" hidden="1" customHeight="1" x14ac:dyDescent="0.3">
      <c r="B555" s="192">
        <v>75</v>
      </c>
      <c r="C555" s="247" t="s">
        <v>805</v>
      </c>
      <c r="D555" s="247"/>
      <c r="E555" s="193">
        <f ca="1">+SUMIF(R296:S302,19%,S296:S302)+SUMIF(V296:W302,19%,W296:W302)+S359+W359</f>
        <v>0</v>
      </c>
      <c r="F555" s="197">
        <f t="shared" ca="1" si="932"/>
        <v>0</v>
      </c>
      <c r="G555" s="193">
        <f t="shared" ca="1" si="933"/>
        <v>0</v>
      </c>
    </row>
    <row r="556" spans="1:10" ht="21" hidden="1" customHeight="1" x14ac:dyDescent="0.3">
      <c r="B556" s="195"/>
      <c r="C556" s="248" t="s">
        <v>903</v>
      </c>
      <c r="D556" s="248"/>
      <c r="E556" s="194">
        <f ca="1">SUM(E548:E555)</f>
        <v>0</v>
      </c>
      <c r="F556" s="197"/>
      <c r="G556" s="194">
        <f ca="1">SUM(G548:G555)</f>
        <v>0</v>
      </c>
    </row>
    <row r="557" spans="1:10" hidden="1" x14ac:dyDescent="0.3"/>
    <row r="558" spans="1:10" ht="36" hidden="1" customHeight="1" x14ac:dyDescent="0.3">
      <c r="A558" s="11"/>
      <c r="B558" s="249" t="s">
        <v>939</v>
      </c>
      <c r="C558" s="249"/>
      <c r="D558" s="249"/>
      <c r="E558" s="249"/>
      <c r="F558" s="249"/>
      <c r="G558" s="249"/>
      <c r="H558" s="249"/>
      <c r="I558" s="249"/>
      <c r="J558" s="249"/>
    </row>
    <row r="559" spans="1:10" hidden="1" x14ac:dyDescent="0.3"/>
    <row r="560" spans="1:10" ht="21" hidden="1" customHeight="1" x14ac:dyDescent="0.3">
      <c r="B560" s="248" t="s">
        <v>932</v>
      </c>
      <c r="C560" s="248"/>
      <c r="D560" s="175" t="s">
        <v>835</v>
      </c>
    </row>
    <row r="561" spans="2:9" ht="21" hidden="1" customHeight="1" x14ac:dyDescent="0.3"/>
    <row r="562" spans="2:9" s="187" customFormat="1" ht="56.25" hidden="1" x14ac:dyDescent="0.25">
      <c r="B562" s="189" t="s">
        <v>887</v>
      </c>
      <c r="C562" s="250" t="s">
        <v>896</v>
      </c>
      <c r="D562" s="250"/>
      <c r="E562" s="190" t="s">
        <v>848</v>
      </c>
      <c r="F562" s="191" t="s">
        <v>778</v>
      </c>
      <c r="G562" s="190" t="s">
        <v>901</v>
      </c>
    </row>
    <row r="563" spans="2:9" ht="21" hidden="1" customHeight="1" x14ac:dyDescent="0.3">
      <c r="B563" s="192">
        <v>27</v>
      </c>
      <c r="C563" s="247" t="s">
        <v>761</v>
      </c>
      <c r="D563" s="247"/>
      <c r="E563" s="193">
        <f>+Y30+AC30</f>
        <v>0</v>
      </c>
      <c r="F563" s="193">
        <f t="shared" ref="F563:F576" ca="1" si="934">+SUMIF($F$212:$BG$219,C563,$Y$212:$Y$219)+SUMIF($F$212:$BG$219,C563,$AC$212:$AC$219)</f>
        <v>0</v>
      </c>
      <c r="G563" s="194">
        <f ca="1">+E563-F563</f>
        <v>0</v>
      </c>
      <c r="H563" s="187"/>
      <c r="I563" s="187"/>
    </row>
    <row r="564" spans="2:9" ht="21" hidden="1" customHeight="1" x14ac:dyDescent="0.3">
      <c r="B564" s="192">
        <v>28</v>
      </c>
      <c r="C564" s="247" t="s">
        <v>762</v>
      </c>
      <c r="D564" s="247"/>
      <c r="E564" s="193">
        <f>+Y44+AC44</f>
        <v>0</v>
      </c>
      <c r="F564" s="193">
        <f t="shared" ca="1" si="934"/>
        <v>0</v>
      </c>
      <c r="G564" s="194">
        <f t="shared" ref="G564:G577" ca="1" si="935">+E564-F564</f>
        <v>0</v>
      </c>
      <c r="H564" s="187"/>
      <c r="I564" s="187"/>
    </row>
    <row r="565" spans="2:9" ht="21" hidden="1" customHeight="1" x14ac:dyDescent="0.3">
      <c r="B565" s="192">
        <v>29</v>
      </c>
      <c r="C565" s="247" t="s">
        <v>763</v>
      </c>
      <c r="D565" s="247"/>
      <c r="E565" s="193">
        <f>+Y58+AC58</f>
        <v>0</v>
      </c>
      <c r="F565" s="193">
        <f t="shared" ca="1" si="934"/>
        <v>0</v>
      </c>
      <c r="G565" s="194">
        <f t="shared" ca="1" si="935"/>
        <v>0</v>
      </c>
      <c r="H565" s="187"/>
      <c r="I565" s="187"/>
    </row>
    <row r="566" spans="2:9" ht="21" hidden="1" customHeight="1" x14ac:dyDescent="0.3">
      <c r="B566" s="192">
        <v>30</v>
      </c>
      <c r="C566" s="247" t="s">
        <v>766</v>
      </c>
      <c r="D566" s="247"/>
      <c r="E566" s="193">
        <f>+Y71+AC71</f>
        <v>0</v>
      </c>
      <c r="F566" s="193">
        <f t="shared" ca="1" si="934"/>
        <v>0</v>
      </c>
      <c r="G566" s="194">
        <f t="shared" ca="1" si="935"/>
        <v>0</v>
      </c>
      <c r="H566" s="187"/>
      <c r="I566" s="187"/>
    </row>
    <row r="567" spans="2:9" ht="21" hidden="1" customHeight="1" x14ac:dyDescent="0.3">
      <c r="B567" s="192">
        <v>31</v>
      </c>
      <c r="C567" s="247" t="s">
        <v>767</v>
      </c>
      <c r="D567" s="247"/>
      <c r="E567" s="193">
        <f>+Y84+AC84</f>
        <v>0</v>
      </c>
      <c r="F567" s="193">
        <f t="shared" ca="1" si="934"/>
        <v>0</v>
      </c>
      <c r="G567" s="194">
        <f t="shared" ca="1" si="935"/>
        <v>0</v>
      </c>
      <c r="H567" s="187"/>
      <c r="I567" s="187"/>
    </row>
    <row r="568" spans="2:9" ht="21" hidden="1" customHeight="1" x14ac:dyDescent="0.3">
      <c r="B568" s="192">
        <v>32</v>
      </c>
      <c r="C568" s="247" t="s">
        <v>768</v>
      </c>
      <c r="D568" s="247"/>
      <c r="E568" s="193">
        <f>+Y97+AC97</f>
        <v>0</v>
      </c>
      <c r="F568" s="193">
        <f t="shared" ca="1" si="934"/>
        <v>0</v>
      </c>
      <c r="G568" s="194">
        <f t="shared" ca="1" si="935"/>
        <v>0</v>
      </c>
      <c r="H568" s="187"/>
      <c r="I568" s="187"/>
    </row>
    <row r="569" spans="2:9" ht="21" hidden="1" customHeight="1" x14ac:dyDescent="0.3">
      <c r="B569" s="192">
        <v>33</v>
      </c>
      <c r="C569" s="247" t="s">
        <v>769</v>
      </c>
      <c r="D569" s="247"/>
      <c r="E569" s="193">
        <f>+Y110+AC110</f>
        <v>0</v>
      </c>
      <c r="F569" s="193">
        <f t="shared" ca="1" si="934"/>
        <v>0</v>
      </c>
      <c r="G569" s="194">
        <f t="shared" ca="1" si="935"/>
        <v>0</v>
      </c>
      <c r="H569" s="187"/>
      <c r="I569" s="187"/>
    </row>
    <row r="570" spans="2:9" ht="21" hidden="1" customHeight="1" x14ac:dyDescent="0.3">
      <c r="B570" s="192">
        <v>34</v>
      </c>
      <c r="C570" s="247" t="s">
        <v>772</v>
      </c>
      <c r="D570" s="247"/>
      <c r="E570" s="193">
        <f>+Y124+AC124</f>
        <v>0</v>
      </c>
      <c r="F570" s="193">
        <f t="shared" ca="1" si="934"/>
        <v>0</v>
      </c>
      <c r="G570" s="194">
        <f t="shared" ca="1" si="935"/>
        <v>0</v>
      </c>
      <c r="H570" s="187"/>
      <c r="I570" s="187"/>
    </row>
    <row r="571" spans="2:9" ht="21" hidden="1" customHeight="1" x14ac:dyDescent="0.3">
      <c r="B571" s="192">
        <v>35</v>
      </c>
      <c r="C571" s="247" t="s">
        <v>773</v>
      </c>
      <c r="D571" s="247"/>
      <c r="E571" s="193">
        <f>+Y137+AC137</f>
        <v>0</v>
      </c>
      <c r="F571" s="193">
        <f t="shared" ca="1" si="934"/>
        <v>0</v>
      </c>
      <c r="G571" s="194">
        <f t="shared" ca="1" si="935"/>
        <v>0</v>
      </c>
      <c r="H571" s="187"/>
      <c r="I571" s="187"/>
    </row>
    <row r="572" spans="2:9" ht="21" hidden="1" customHeight="1" x14ac:dyDescent="0.3">
      <c r="B572" s="192">
        <v>36</v>
      </c>
      <c r="C572" s="247" t="s">
        <v>821</v>
      </c>
      <c r="D572" s="247"/>
      <c r="E572" s="193">
        <f>+Y151+AC151</f>
        <v>0</v>
      </c>
      <c r="F572" s="193">
        <f t="shared" ca="1" si="934"/>
        <v>0</v>
      </c>
      <c r="G572" s="194">
        <f t="shared" ca="1" si="935"/>
        <v>0</v>
      </c>
      <c r="H572" s="187"/>
      <c r="I572" s="187"/>
    </row>
    <row r="573" spans="2:9" ht="21" hidden="1" customHeight="1" x14ac:dyDescent="0.3">
      <c r="B573" s="192">
        <v>37</v>
      </c>
      <c r="C573" s="247" t="s">
        <v>774</v>
      </c>
      <c r="D573" s="247"/>
      <c r="E573" s="193">
        <f>+Y165+AC165</f>
        <v>0</v>
      </c>
      <c r="F573" s="193">
        <f t="shared" ca="1" si="934"/>
        <v>0</v>
      </c>
      <c r="G573" s="194">
        <f t="shared" ca="1" si="935"/>
        <v>0</v>
      </c>
      <c r="H573" s="187"/>
      <c r="I573" s="187"/>
    </row>
    <row r="574" spans="2:9" ht="21" hidden="1" customHeight="1" x14ac:dyDescent="0.3">
      <c r="B574" s="192">
        <v>38</v>
      </c>
      <c r="C574" s="247" t="s">
        <v>775</v>
      </c>
      <c r="D574" s="247"/>
      <c r="E574" s="193">
        <f>+Y179+AC179</f>
        <v>0</v>
      </c>
      <c r="F574" s="193">
        <f t="shared" ca="1" si="934"/>
        <v>0</v>
      </c>
      <c r="G574" s="194">
        <f t="shared" ca="1" si="935"/>
        <v>0</v>
      </c>
      <c r="H574" s="187"/>
      <c r="I574" s="187"/>
    </row>
    <row r="575" spans="2:9" ht="21" hidden="1" customHeight="1" x14ac:dyDescent="0.3">
      <c r="B575" s="192">
        <v>39</v>
      </c>
      <c r="C575" s="247" t="s">
        <v>776</v>
      </c>
      <c r="D575" s="247"/>
      <c r="E575" s="193">
        <f>+Y192+AC192</f>
        <v>0</v>
      </c>
      <c r="F575" s="193">
        <f t="shared" ca="1" si="934"/>
        <v>0</v>
      </c>
      <c r="G575" s="194">
        <f t="shared" ca="1" si="935"/>
        <v>0</v>
      </c>
      <c r="H575" s="187"/>
      <c r="I575" s="187"/>
    </row>
    <row r="576" spans="2:9" ht="21" hidden="1" customHeight="1" x14ac:dyDescent="0.3">
      <c r="B576" s="192">
        <v>40</v>
      </c>
      <c r="C576" s="247" t="s">
        <v>777</v>
      </c>
      <c r="D576" s="247"/>
      <c r="E576" s="193">
        <f>+Y205+AC205</f>
        <v>0</v>
      </c>
      <c r="F576" s="193">
        <f t="shared" ca="1" si="934"/>
        <v>0</v>
      </c>
      <c r="G576" s="194">
        <f t="shared" ca="1" si="935"/>
        <v>0</v>
      </c>
      <c r="H576" s="187"/>
      <c r="I576" s="187"/>
    </row>
    <row r="577" spans="2:9" s="186" customFormat="1" ht="21" hidden="1" customHeight="1" x14ac:dyDescent="0.3">
      <c r="B577" s="195"/>
      <c r="C577" s="248" t="s">
        <v>903</v>
      </c>
      <c r="D577" s="248"/>
      <c r="E577" s="194">
        <f>SUM(E563:E576)</f>
        <v>0</v>
      </c>
      <c r="F577" s="194">
        <f ca="1">SUM(F563:F576)</f>
        <v>0</v>
      </c>
      <c r="G577" s="194">
        <f t="shared" ca="1" si="935"/>
        <v>0</v>
      </c>
      <c r="H577" s="187"/>
      <c r="I577" s="187"/>
    </row>
    <row r="578" spans="2:9" ht="21" hidden="1" customHeight="1" x14ac:dyDescent="0.3"/>
    <row r="579" spans="2:9" s="20" customFormat="1" ht="21" hidden="1" customHeight="1" x14ac:dyDescent="0.25">
      <c r="C579" s="250" t="s">
        <v>905</v>
      </c>
      <c r="D579" s="250"/>
      <c r="E579" s="190" t="s">
        <v>912</v>
      </c>
      <c r="F579" s="190" t="s">
        <v>902</v>
      </c>
    </row>
    <row r="580" spans="2:9" ht="21" hidden="1" customHeight="1" x14ac:dyDescent="0.3">
      <c r="C580" s="247" t="s">
        <v>906</v>
      </c>
      <c r="D580" s="247"/>
      <c r="E580" s="193">
        <f ca="1">+G563+G564+G565+G570+G572+G573+G574</f>
        <v>0</v>
      </c>
      <c r="F580" s="196">
        <f ca="1">+IF((E580&gt;0),(E580/$E$584),0)</f>
        <v>0</v>
      </c>
    </row>
    <row r="581" spans="2:9" ht="21" hidden="1" customHeight="1" x14ac:dyDescent="0.3">
      <c r="C581" s="247" t="s">
        <v>907</v>
      </c>
      <c r="D581" s="247"/>
      <c r="E581" s="193">
        <f ca="1">+G575</f>
        <v>0</v>
      </c>
      <c r="F581" s="196">
        <f t="shared" ref="F581:F583" ca="1" si="936">+IF((E581&gt;0),(E581/$E$584),0)</f>
        <v>0</v>
      </c>
    </row>
    <row r="582" spans="2:9" ht="21" hidden="1" customHeight="1" x14ac:dyDescent="0.3">
      <c r="C582" s="247" t="s">
        <v>908</v>
      </c>
      <c r="D582" s="247"/>
      <c r="E582" s="193">
        <f ca="1">+G566+G567+G568+G569+G571</f>
        <v>0</v>
      </c>
      <c r="F582" s="196">
        <f t="shared" ca="1" si="936"/>
        <v>0</v>
      </c>
    </row>
    <row r="583" spans="2:9" ht="21" hidden="1" customHeight="1" x14ac:dyDescent="0.3">
      <c r="C583" s="247" t="s">
        <v>909</v>
      </c>
      <c r="D583" s="247"/>
      <c r="E583" s="193">
        <v>0</v>
      </c>
      <c r="F583" s="196">
        <f t="shared" si="936"/>
        <v>0</v>
      </c>
    </row>
    <row r="584" spans="2:9" ht="21" hidden="1" customHeight="1" x14ac:dyDescent="0.3">
      <c r="C584" s="248" t="s">
        <v>913</v>
      </c>
      <c r="D584" s="248"/>
      <c r="E584" s="194">
        <f ca="1">SUM(E580:E583)</f>
        <v>0</v>
      </c>
      <c r="F584" s="193"/>
    </row>
    <row r="585" spans="2:9" ht="21" hidden="1" customHeight="1" x14ac:dyDescent="0.3"/>
    <row r="586" spans="2:9" s="187" customFormat="1" ht="37.5" hidden="1" x14ac:dyDescent="0.25">
      <c r="B586" s="189" t="s">
        <v>887</v>
      </c>
      <c r="C586" s="250" t="s">
        <v>904</v>
      </c>
      <c r="D586" s="250"/>
      <c r="E586" s="191" t="s">
        <v>915</v>
      </c>
      <c r="F586" s="190" t="s">
        <v>902</v>
      </c>
      <c r="G586" s="190" t="s">
        <v>914</v>
      </c>
    </row>
    <row r="587" spans="2:9" ht="21" hidden="1" customHeight="1" x14ac:dyDescent="0.3">
      <c r="B587" s="192">
        <v>66</v>
      </c>
      <c r="C587" s="247" t="s">
        <v>929</v>
      </c>
      <c r="D587" s="247"/>
      <c r="E587" s="193">
        <f>+AA386+AE386</f>
        <v>0</v>
      </c>
      <c r="F587" s="197">
        <f ca="1">+$F$581</f>
        <v>0</v>
      </c>
      <c r="G587" s="193">
        <f ca="1">+E587*F587</f>
        <v>0</v>
      </c>
      <c r="I587" s="11"/>
    </row>
    <row r="588" spans="2:9" ht="21" hidden="1" customHeight="1" x14ac:dyDescent="0.3">
      <c r="B588" s="192">
        <v>68</v>
      </c>
      <c r="C588" s="247" t="s">
        <v>800</v>
      </c>
      <c r="D588" s="247"/>
      <c r="E588" s="193">
        <f>+AA235+AE235</f>
        <v>0</v>
      </c>
      <c r="F588" s="197">
        <f t="shared" ref="F588:F595" ca="1" si="937">+$F$581</f>
        <v>0</v>
      </c>
      <c r="G588" s="193">
        <f ca="1">+E588*F588</f>
        <v>0</v>
      </c>
      <c r="I588" s="11"/>
    </row>
    <row r="589" spans="2:9" ht="21" hidden="1" customHeight="1" x14ac:dyDescent="0.3">
      <c r="B589" s="192">
        <v>69</v>
      </c>
      <c r="C589" s="247" t="s">
        <v>801</v>
      </c>
      <c r="D589" s="247"/>
      <c r="E589" s="193">
        <f>+AA249+AE249</f>
        <v>0</v>
      </c>
      <c r="F589" s="197">
        <f t="shared" ca="1" si="937"/>
        <v>0</v>
      </c>
      <c r="G589" s="193">
        <f t="shared" ref="G589:G595" ca="1" si="938">+E589*F589</f>
        <v>0</v>
      </c>
      <c r="I589" s="11"/>
    </row>
    <row r="590" spans="2:9" ht="21" hidden="1" customHeight="1" x14ac:dyDescent="0.3">
      <c r="B590" s="192">
        <v>70</v>
      </c>
      <c r="C590" s="247" t="s">
        <v>783</v>
      </c>
      <c r="D590" s="247"/>
      <c r="E590" s="193">
        <f>+AA263+AE263</f>
        <v>0</v>
      </c>
      <c r="F590" s="197">
        <f t="shared" ca="1" si="937"/>
        <v>0</v>
      </c>
      <c r="G590" s="193">
        <f t="shared" ca="1" si="938"/>
        <v>0</v>
      </c>
      <c r="I590" s="11"/>
    </row>
    <row r="591" spans="2:9" ht="21" hidden="1" customHeight="1" x14ac:dyDescent="0.3">
      <c r="B591" s="192">
        <v>71</v>
      </c>
      <c r="C591" s="247" t="s">
        <v>802</v>
      </c>
      <c r="D591" s="247"/>
      <c r="E591" s="193">
        <f>+AA317+AE317</f>
        <v>0</v>
      </c>
      <c r="F591" s="197">
        <f t="shared" ca="1" si="937"/>
        <v>0</v>
      </c>
      <c r="G591" s="193">
        <f t="shared" ca="1" si="938"/>
        <v>0</v>
      </c>
      <c r="I591" s="11"/>
    </row>
    <row r="592" spans="2:9" ht="21" hidden="1" customHeight="1" x14ac:dyDescent="0.3">
      <c r="B592" s="192">
        <v>72</v>
      </c>
      <c r="C592" s="247" t="s">
        <v>803</v>
      </c>
      <c r="D592" s="247"/>
      <c r="E592" s="193">
        <f>+AA331+AE331</f>
        <v>0</v>
      </c>
      <c r="F592" s="197">
        <f t="shared" ca="1" si="937"/>
        <v>0</v>
      </c>
      <c r="G592" s="193">
        <f t="shared" ca="1" si="938"/>
        <v>0</v>
      </c>
      <c r="I592" s="11"/>
    </row>
    <row r="593" spans="1:10" ht="21" hidden="1" customHeight="1" x14ac:dyDescent="0.3">
      <c r="B593" s="192">
        <v>73</v>
      </c>
      <c r="C593" s="247" t="s">
        <v>45</v>
      </c>
      <c r="D593" s="247"/>
      <c r="E593" s="193">
        <f>+AA416+AE416</f>
        <v>0</v>
      </c>
      <c r="F593" s="197">
        <f t="shared" ca="1" si="937"/>
        <v>0</v>
      </c>
      <c r="G593" s="193">
        <f t="shared" ca="1" si="938"/>
        <v>0</v>
      </c>
      <c r="I593" s="11"/>
    </row>
    <row r="594" spans="1:10" ht="21" hidden="1" customHeight="1" x14ac:dyDescent="0.3">
      <c r="B594" s="192">
        <v>74</v>
      </c>
      <c r="C594" s="247" t="s">
        <v>804</v>
      </c>
      <c r="D594" s="247"/>
      <c r="E594" s="193">
        <f ca="1">+SUMIF(Z296:AA302,5%,AA296:AA302)+SUMIF(AD296:AE302,5%,AE296:AE302)+AA345+AE345</f>
        <v>0</v>
      </c>
      <c r="F594" s="197">
        <f t="shared" ca="1" si="937"/>
        <v>0</v>
      </c>
      <c r="G594" s="193">
        <f t="shared" ca="1" si="938"/>
        <v>0</v>
      </c>
      <c r="I594" s="11"/>
    </row>
    <row r="595" spans="1:10" ht="21" hidden="1" customHeight="1" x14ac:dyDescent="0.3">
      <c r="B595" s="192">
        <v>75</v>
      </c>
      <c r="C595" s="247" t="s">
        <v>805</v>
      </c>
      <c r="D595" s="247"/>
      <c r="E595" s="193">
        <f ca="1">+SUMIF(Z296:AA302,19%,AA296:AA302)+SUMIF(AD296:AE302,19%,AE296:AE302)+AA359+AE359</f>
        <v>0</v>
      </c>
      <c r="F595" s="197">
        <f t="shared" ca="1" si="937"/>
        <v>0</v>
      </c>
      <c r="G595" s="193">
        <f t="shared" ca="1" si="938"/>
        <v>0</v>
      </c>
      <c r="I595" s="11"/>
    </row>
    <row r="596" spans="1:10" ht="21" hidden="1" customHeight="1" x14ac:dyDescent="0.3">
      <c r="B596" s="195"/>
      <c r="C596" s="248" t="s">
        <v>903</v>
      </c>
      <c r="D596" s="248"/>
      <c r="E596" s="194">
        <f ca="1">SUM(E588:E595)</f>
        <v>0</v>
      </c>
      <c r="F596" s="197"/>
      <c r="G596" s="194">
        <f ca="1">SUM(G588:G595)</f>
        <v>0</v>
      </c>
      <c r="I596" s="11"/>
    </row>
    <row r="597" spans="1:10" hidden="1" x14ac:dyDescent="0.3"/>
    <row r="598" spans="1:10" ht="36" hidden="1" customHeight="1" x14ac:dyDescent="0.3">
      <c r="A598" s="11"/>
      <c r="B598" s="249" t="s">
        <v>940</v>
      </c>
      <c r="C598" s="249"/>
      <c r="D598" s="249"/>
      <c r="E598" s="249"/>
      <c r="F598" s="249"/>
      <c r="G598" s="249"/>
      <c r="H598" s="249"/>
      <c r="I598" s="249"/>
      <c r="J598" s="249"/>
    </row>
    <row r="599" spans="1:10" hidden="1" x14ac:dyDescent="0.3"/>
    <row r="600" spans="1:10" ht="21" hidden="1" customHeight="1" x14ac:dyDescent="0.3">
      <c r="B600" s="248" t="s">
        <v>933</v>
      </c>
      <c r="C600" s="248"/>
      <c r="D600" s="175" t="s">
        <v>835</v>
      </c>
      <c r="E600" s="11"/>
    </row>
    <row r="601" spans="1:10" ht="21" hidden="1" customHeight="1" x14ac:dyDescent="0.3"/>
    <row r="602" spans="1:10" s="187" customFormat="1" ht="56.25" hidden="1" x14ac:dyDescent="0.25">
      <c r="B602" s="189" t="s">
        <v>887</v>
      </c>
      <c r="C602" s="250" t="s">
        <v>896</v>
      </c>
      <c r="D602" s="250"/>
      <c r="E602" s="190" t="s">
        <v>848</v>
      </c>
      <c r="F602" s="191" t="s">
        <v>778</v>
      </c>
      <c r="G602" s="190" t="s">
        <v>901</v>
      </c>
    </row>
    <row r="603" spans="1:10" ht="21" hidden="1" customHeight="1" x14ac:dyDescent="0.3">
      <c r="B603" s="192">
        <v>27</v>
      </c>
      <c r="C603" s="247" t="s">
        <v>761</v>
      </c>
      <c r="D603" s="247"/>
      <c r="E603" s="193">
        <f>+AG30+AK30</f>
        <v>0</v>
      </c>
      <c r="F603" s="193">
        <f t="shared" ref="F603:F616" ca="1" si="939">+SUMIF($F$212:$BG$219,C603,$AG$212:$AG$219)+SUMIF($F$212:$BG$219,C603,$AK$212:$AK$219)</f>
        <v>0</v>
      </c>
      <c r="G603" s="194">
        <f ca="1">+E603-F603</f>
        <v>0</v>
      </c>
      <c r="H603" s="187"/>
      <c r="I603" s="187"/>
    </row>
    <row r="604" spans="1:10" ht="21" hidden="1" customHeight="1" x14ac:dyDescent="0.3">
      <c r="B604" s="192">
        <v>28</v>
      </c>
      <c r="C604" s="247" t="s">
        <v>762</v>
      </c>
      <c r="D604" s="247"/>
      <c r="E604" s="193">
        <f>+AG44+AK44</f>
        <v>0</v>
      </c>
      <c r="F604" s="193">
        <f t="shared" ca="1" si="939"/>
        <v>0</v>
      </c>
      <c r="G604" s="194">
        <f t="shared" ref="G604:G617" ca="1" si="940">+E604-F604</f>
        <v>0</v>
      </c>
      <c r="H604" s="187"/>
      <c r="I604" s="187"/>
    </row>
    <row r="605" spans="1:10" ht="21" hidden="1" customHeight="1" x14ac:dyDescent="0.3">
      <c r="B605" s="192">
        <v>29</v>
      </c>
      <c r="C605" s="247" t="s">
        <v>763</v>
      </c>
      <c r="D605" s="247"/>
      <c r="E605" s="193">
        <f>+AG58+AK58</f>
        <v>0</v>
      </c>
      <c r="F605" s="193">
        <f t="shared" ca="1" si="939"/>
        <v>0</v>
      </c>
      <c r="G605" s="194">
        <f t="shared" ca="1" si="940"/>
        <v>0</v>
      </c>
      <c r="H605" s="187"/>
      <c r="I605" s="187"/>
    </row>
    <row r="606" spans="1:10" ht="21" hidden="1" customHeight="1" x14ac:dyDescent="0.3">
      <c r="B606" s="192">
        <v>30</v>
      </c>
      <c r="C606" s="247" t="s">
        <v>766</v>
      </c>
      <c r="D606" s="247"/>
      <c r="E606" s="193">
        <f>+AG71+AK71</f>
        <v>0</v>
      </c>
      <c r="F606" s="193">
        <f t="shared" ca="1" si="939"/>
        <v>0</v>
      </c>
      <c r="G606" s="194">
        <f t="shared" ca="1" si="940"/>
        <v>0</v>
      </c>
      <c r="H606" s="187"/>
      <c r="I606" s="187"/>
    </row>
    <row r="607" spans="1:10" ht="21" hidden="1" customHeight="1" x14ac:dyDescent="0.3">
      <c r="B607" s="192">
        <v>31</v>
      </c>
      <c r="C607" s="247" t="s">
        <v>767</v>
      </c>
      <c r="D607" s="247"/>
      <c r="E607" s="193">
        <f>+AG84+AK84</f>
        <v>0</v>
      </c>
      <c r="F607" s="193">
        <f t="shared" ca="1" si="939"/>
        <v>0</v>
      </c>
      <c r="G607" s="194">
        <f t="shared" ca="1" si="940"/>
        <v>0</v>
      </c>
      <c r="H607" s="187"/>
      <c r="I607" s="187"/>
    </row>
    <row r="608" spans="1:10" ht="21" hidden="1" customHeight="1" x14ac:dyDescent="0.3">
      <c r="B608" s="192">
        <v>32</v>
      </c>
      <c r="C608" s="247" t="s">
        <v>768</v>
      </c>
      <c r="D608" s="247"/>
      <c r="E608" s="193">
        <f>+AG97+AK97</f>
        <v>0</v>
      </c>
      <c r="F608" s="193">
        <f t="shared" ca="1" si="939"/>
        <v>0</v>
      </c>
      <c r="G608" s="194">
        <f t="shared" ca="1" si="940"/>
        <v>0</v>
      </c>
      <c r="H608" s="187"/>
      <c r="I608" s="187"/>
    </row>
    <row r="609" spans="2:9" ht="21" hidden="1" customHeight="1" x14ac:dyDescent="0.3">
      <c r="B609" s="192">
        <v>33</v>
      </c>
      <c r="C609" s="247" t="s">
        <v>769</v>
      </c>
      <c r="D609" s="247"/>
      <c r="E609" s="193">
        <f>+AG110+AK110</f>
        <v>0</v>
      </c>
      <c r="F609" s="193">
        <f t="shared" ca="1" si="939"/>
        <v>0</v>
      </c>
      <c r="G609" s="194">
        <f t="shared" ca="1" si="940"/>
        <v>0</v>
      </c>
      <c r="H609" s="187"/>
      <c r="I609" s="187"/>
    </row>
    <row r="610" spans="2:9" ht="21" hidden="1" customHeight="1" x14ac:dyDescent="0.3">
      <c r="B610" s="192">
        <v>34</v>
      </c>
      <c r="C610" s="247" t="s">
        <v>772</v>
      </c>
      <c r="D610" s="247"/>
      <c r="E610" s="193">
        <f>+AG124+AK124</f>
        <v>0</v>
      </c>
      <c r="F610" s="193">
        <f t="shared" ca="1" si="939"/>
        <v>0</v>
      </c>
      <c r="G610" s="194">
        <f t="shared" ca="1" si="940"/>
        <v>0</v>
      </c>
      <c r="H610" s="187"/>
      <c r="I610" s="187"/>
    </row>
    <row r="611" spans="2:9" ht="21" hidden="1" customHeight="1" x14ac:dyDescent="0.3">
      <c r="B611" s="192">
        <v>35</v>
      </c>
      <c r="C611" s="247" t="s">
        <v>773</v>
      </c>
      <c r="D611" s="247"/>
      <c r="E611" s="193">
        <f>+AG137+AK137</f>
        <v>0</v>
      </c>
      <c r="F611" s="193">
        <f t="shared" ca="1" si="939"/>
        <v>0</v>
      </c>
      <c r="G611" s="194">
        <f t="shared" ca="1" si="940"/>
        <v>0</v>
      </c>
      <c r="H611" s="187"/>
      <c r="I611" s="187"/>
    </row>
    <row r="612" spans="2:9" ht="21" hidden="1" customHeight="1" x14ac:dyDescent="0.3">
      <c r="B612" s="192">
        <v>36</v>
      </c>
      <c r="C612" s="247" t="s">
        <v>821</v>
      </c>
      <c r="D612" s="247"/>
      <c r="E612" s="193">
        <f>+AG151+AK151</f>
        <v>0</v>
      </c>
      <c r="F612" s="193">
        <f t="shared" ca="1" si="939"/>
        <v>0</v>
      </c>
      <c r="G612" s="194">
        <f t="shared" ca="1" si="940"/>
        <v>0</v>
      </c>
      <c r="H612" s="187"/>
      <c r="I612" s="187"/>
    </row>
    <row r="613" spans="2:9" ht="21" hidden="1" customHeight="1" x14ac:dyDescent="0.3">
      <c r="B613" s="192">
        <v>37</v>
      </c>
      <c r="C613" s="247" t="s">
        <v>774</v>
      </c>
      <c r="D613" s="247"/>
      <c r="E613" s="193">
        <f>+AG165+AK165</f>
        <v>0</v>
      </c>
      <c r="F613" s="193">
        <f t="shared" ca="1" si="939"/>
        <v>0</v>
      </c>
      <c r="G613" s="194">
        <f t="shared" ca="1" si="940"/>
        <v>0</v>
      </c>
      <c r="H613" s="187"/>
      <c r="I613" s="187"/>
    </row>
    <row r="614" spans="2:9" ht="21" hidden="1" customHeight="1" x14ac:dyDescent="0.3">
      <c r="B614" s="192">
        <v>38</v>
      </c>
      <c r="C614" s="247" t="s">
        <v>775</v>
      </c>
      <c r="D614" s="247"/>
      <c r="E614" s="193">
        <f>+AG179+AK179</f>
        <v>0</v>
      </c>
      <c r="F614" s="193">
        <f t="shared" ca="1" si="939"/>
        <v>0</v>
      </c>
      <c r="G614" s="194">
        <f t="shared" ca="1" si="940"/>
        <v>0</v>
      </c>
      <c r="H614" s="187"/>
      <c r="I614" s="187"/>
    </row>
    <row r="615" spans="2:9" ht="21" hidden="1" customHeight="1" x14ac:dyDescent="0.3">
      <c r="B615" s="192">
        <v>39</v>
      </c>
      <c r="C615" s="247" t="s">
        <v>776</v>
      </c>
      <c r="D615" s="247"/>
      <c r="E615" s="193">
        <f>+AG192+AK192</f>
        <v>0</v>
      </c>
      <c r="F615" s="193">
        <f t="shared" ca="1" si="939"/>
        <v>0</v>
      </c>
      <c r="G615" s="194">
        <f t="shared" ca="1" si="940"/>
        <v>0</v>
      </c>
      <c r="H615" s="187"/>
      <c r="I615" s="187"/>
    </row>
    <row r="616" spans="2:9" ht="21" hidden="1" customHeight="1" x14ac:dyDescent="0.3">
      <c r="B616" s="192">
        <v>40</v>
      </c>
      <c r="C616" s="247" t="s">
        <v>777</v>
      </c>
      <c r="D616" s="247"/>
      <c r="E616" s="193">
        <f>+AG205+AK205</f>
        <v>0</v>
      </c>
      <c r="F616" s="193">
        <f t="shared" ca="1" si="939"/>
        <v>0</v>
      </c>
      <c r="G616" s="194">
        <f t="shared" ca="1" si="940"/>
        <v>0</v>
      </c>
      <c r="H616" s="187"/>
      <c r="I616" s="187"/>
    </row>
    <row r="617" spans="2:9" s="186" customFormat="1" ht="21" hidden="1" customHeight="1" x14ac:dyDescent="0.3">
      <c r="B617" s="195"/>
      <c r="C617" s="248" t="s">
        <v>903</v>
      </c>
      <c r="D617" s="248"/>
      <c r="E617" s="194">
        <f>SUM(E603:E616)</f>
        <v>0</v>
      </c>
      <c r="F617" s="194">
        <f ca="1">SUM(F603:F616)</f>
        <v>0</v>
      </c>
      <c r="G617" s="194">
        <f t="shared" ca="1" si="940"/>
        <v>0</v>
      </c>
      <c r="H617" s="187"/>
      <c r="I617" s="187"/>
    </row>
    <row r="618" spans="2:9" ht="21" hidden="1" customHeight="1" x14ac:dyDescent="0.3"/>
    <row r="619" spans="2:9" s="20" customFormat="1" ht="21" hidden="1" customHeight="1" x14ac:dyDescent="0.25">
      <c r="C619" s="250" t="s">
        <v>905</v>
      </c>
      <c r="D619" s="250"/>
      <c r="E619" s="190" t="s">
        <v>912</v>
      </c>
      <c r="F619" s="190" t="s">
        <v>902</v>
      </c>
    </row>
    <row r="620" spans="2:9" ht="21" hidden="1" customHeight="1" x14ac:dyDescent="0.3">
      <c r="C620" s="247" t="s">
        <v>906</v>
      </c>
      <c r="D620" s="247"/>
      <c r="E620" s="193">
        <f ca="1">+G603+G604+G605+G610+G612+G613+G614</f>
        <v>0</v>
      </c>
      <c r="F620" s="196">
        <f ca="1">+IF((E620&gt;0),(E620/$E$624),0)</f>
        <v>0</v>
      </c>
    </row>
    <row r="621" spans="2:9" ht="21" hidden="1" customHeight="1" x14ac:dyDescent="0.3">
      <c r="C621" s="247" t="s">
        <v>907</v>
      </c>
      <c r="D621" s="247"/>
      <c r="E621" s="193">
        <f ca="1">+G615</f>
        <v>0</v>
      </c>
      <c r="F621" s="196">
        <f t="shared" ref="F621:F623" ca="1" si="941">+IF((E621&gt;0),(E621/$E$624),0)</f>
        <v>0</v>
      </c>
    </row>
    <row r="622" spans="2:9" ht="21" hidden="1" customHeight="1" x14ac:dyDescent="0.3">
      <c r="C622" s="247" t="s">
        <v>908</v>
      </c>
      <c r="D622" s="247"/>
      <c r="E622" s="193">
        <f ca="1">+G606+G607+G608+G609+G611</f>
        <v>0</v>
      </c>
      <c r="F622" s="196">
        <f t="shared" ca="1" si="941"/>
        <v>0</v>
      </c>
    </row>
    <row r="623" spans="2:9" ht="21" hidden="1" customHeight="1" x14ac:dyDescent="0.3">
      <c r="C623" s="247" t="s">
        <v>909</v>
      </c>
      <c r="D623" s="247"/>
      <c r="E623" s="193">
        <v>0</v>
      </c>
      <c r="F623" s="196">
        <f t="shared" si="941"/>
        <v>0</v>
      </c>
    </row>
    <row r="624" spans="2:9" ht="21" hidden="1" customHeight="1" x14ac:dyDescent="0.3">
      <c r="C624" s="248" t="s">
        <v>913</v>
      </c>
      <c r="D624" s="248"/>
      <c r="E624" s="194">
        <f ca="1">SUM(E620:E623)</f>
        <v>0</v>
      </c>
      <c r="F624" s="193"/>
    </row>
    <row r="625" spans="1:10" ht="21" hidden="1" customHeight="1" x14ac:dyDescent="0.3"/>
    <row r="626" spans="1:10" s="187" customFormat="1" ht="37.5" hidden="1" x14ac:dyDescent="0.25">
      <c r="B626" s="189" t="s">
        <v>887</v>
      </c>
      <c r="C626" s="250" t="s">
        <v>904</v>
      </c>
      <c r="D626" s="250"/>
      <c r="E626" s="191" t="s">
        <v>915</v>
      </c>
      <c r="F626" s="190" t="s">
        <v>902</v>
      </c>
      <c r="G626" s="190" t="s">
        <v>914</v>
      </c>
      <c r="I626" s="198"/>
    </row>
    <row r="627" spans="1:10" ht="21" hidden="1" customHeight="1" x14ac:dyDescent="0.3">
      <c r="B627" s="192">
        <v>66</v>
      </c>
      <c r="C627" s="247" t="s">
        <v>929</v>
      </c>
      <c r="D627" s="247"/>
      <c r="E627" s="193">
        <f>+AI386+AM386</f>
        <v>0</v>
      </c>
      <c r="F627" s="197">
        <f ca="1">+$F$621</f>
        <v>0</v>
      </c>
      <c r="G627" s="193">
        <f ca="1">+E627*F627</f>
        <v>0</v>
      </c>
      <c r="I627" s="11"/>
    </row>
    <row r="628" spans="1:10" ht="21" hidden="1" customHeight="1" x14ac:dyDescent="0.3">
      <c r="B628" s="192">
        <v>68</v>
      </c>
      <c r="C628" s="247" t="s">
        <v>800</v>
      </c>
      <c r="D628" s="247"/>
      <c r="E628" s="193">
        <f>+AI235+AM235</f>
        <v>0</v>
      </c>
      <c r="F628" s="197">
        <f t="shared" ref="F628:F635" ca="1" si="942">+$F$621</f>
        <v>0</v>
      </c>
      <c r="G628" s="193">
        <f ca="1">+E628*F628</f>
        <v>0</v>
      </c>
      <c r="I628" s="11"/>
    </row>
    <row r="629" spans="1:10" ht="21" hidden="1" customHeight="1" x14ac:dyDescent="0.3">
      <c r="B629" s="192">
        <v>69</v>
      </c>
      <c r="C629" s="247" t="s">
        <v>801</v>
      </c>
      <c r="D629" s="247"/>
      <c r="E629" s="193">
        <f>+AI249+AM249</f>
        <v>0</v>
      </c>
      <c r="F629" s="197">
        <f t="shared" ca="1" si="942"/>
        <v>0</v>
      </c>
      <c r="G629" s="193">
        <f t="shared" ref="G629:G635" ca="1" si="943">+E629*F629</f>
        <v>0</v>
      </c>
      <c r="I629" s="11"/>
    </row>
    <row r="630" spans="1:10" ht="21" hidden="1" customHeight="1" x14ac:dyDescent="0.3">
      <c r="B630" s="192">
        <v>70</v>
      </c>
      <c r="C630" s="247" t="s">
        <v>783</v>
      </c>
      <c r="D630" s="247"/>
      <c r="E630" s="193">
        <f>+AI263+AM263</f>
        <v>0</v>
      </c>
      <c r="F630" s="197">
        <f t="shared" ca="1" si="942"/>
        <v>0</v>
      </c>
      <c r="G630" s="193">
        <f t="shared" ca="1" si="943"/>
        <v>0</v>
      </c>
      <c r="I630" s="11"/>
    </row>
    <row r="631" spans="1:10" ht="21" hidden="1" customHeight="1" x14ac:dyDescent="0.3">
      <c r="B631" s="192">
        <v>71</v>
      </c>
      <c r="C631" s="247" t="s">
        <v>802</v>
      </c>
      <c r="D631" s="247"/>
      <c r="E631" s="193">
        <f>+AI317+AM317</f>
        <v>0</v>
      </c>
      <c r="F631" s="197">
        <f t="shared" ca="1" si="942"/>
        <v>0</v>
      </c>
      <c r="G631" s="193">
        <f t="shared" ca="1" si="943"/>
        <v>0</v>
      </c>
      <c r="I631" s="11"/>
    </row>
    <row r="632" spans="1:10" ht="21" hidden="1" customHeight="1" x14ac:dyDescent="0.3">
      <c r="B632" s="192">
        <v>72</v>
      </c>
      <c r="C632" s="247" t="s">
        <v>803</v>
      </c>
      <c r="D632" s="247"/>
      <c r="E632" s="193">
        <f>+AI331+AM331</f>
        <v>0</v>
      </c>
      <c r="F632" s="197">
        <f t="shared" ca="1" si="942"/>
        <v>0</v>
      </c>
      <c r="G632" s="193">
        <f t="shared" ca="1" si="943"/>
        <v>0</v>
      </c>
      <c r="I632" s="11"/>
    </row>
    <row r="633" spans="1:10" ht="21" hidden="1" customHeight="1" x14ac:dyDescent="0.3">
      <c r="B633" s="192">
        <v>73</v>
      </c>
      <c r="C633" s="247" t="s">
        <v>45</v>
      </c>
      <c r="D633" s="247"/>
      <c r="E633" s="193">
        <f>+AI416+AM416</f>
        <v>0</v>
      </c>
      <c r="F633" s="197">
        <f t="shared" ca="1" si="942"/>
        <v>0</v>
      </c>
      <c r="G633" s="193">
        <f t="shared" ca="1" si="943"/>
        <v>0</v>
      </c>
      <c r="I633" s="11"/>
    </row>
    <row r="634" spans="1:10" ht="21" hidden="1" customHeight="1" x14ac:dyDescent="0.3">
      <c r="B634" s="192">
        <v>74</v>
      </c>
      <c r="C634" s="247" t="s">
        <v>804</v>
      </c>
      <c r="D634" s="247"/>
      <c r="E634" s="193">
        <f ca="1">+SUMIF(AH296:AI302,5%,AI296:AI302)+SUMIF(AL296:AM302,5%,AM296:AM302)+AI345+AM345</f>
        <v>0</v>
      </c>
      <c r="F634" s="197">
        <f t="shared" ca="1" si="942"/>
        <v>0</v>
      </c>
      <c r="G634" s="193">
        <f t="shared" ca="1" si="943"/>
        <v>0</v>
      </c>
      <c r="I634" s="11"/>
    </row>
    <row r="635" spans="1:10" ht="21" hidden="1" customHeight="1" x14ac:dyDescent="0.3">
      <c r="B635" s="192">
        <v>75</v>
      </c>
      <c r="C635" s="247" t="s">
        <v>805</v>
      </c>
      <c r="D635" s="247"/>
      <c r="E635" s="193">
        <f ca="1">+SUMIF(AH296:AI302,19%,AI296:AI302)+SUMIF(AL296:AM302,19%,AM296:AM302)+AI359+AM359</f>
        <v>0</v>
      </c>
      <c r="F635" s="197">
        <f t="shared" ca="1" si="942"/>
        <v>0</v>
      </c>
      <c r="G635" s="193">
        <f t="shared" ca="1" si="943"/>
        <v>0</v>
      </c>
      <c r="I635" s="11"/>
    </row>
    <row r="636" spans="1:10" ht="21" hidden="1" customHeight="1" x14ac:dyDescent="0.3">
      <c r="B636" s="195"/>
      <c r="C636" s="248" t="s">
        <v>903</v>
      </c>
      <c r="D636" s="248"/>
      <c r="E636" s="194">
        <f ca="1">SUM(E628:E635)</f>
        <v>0</v>
      </c>
      <c r="F636" s="197"/>
      <c r="G636" s="194">
        <f ca="1">SUM(G628:G635)</f>
        <v>0</v>
      </c>
      <c r="I636" s="11"/>
    </row>
    <row r="637" spans="1:10" hidden="1" x14ac:dyDescent="0.3"/>
    <row r="638" spans="1:10" ht="36" hidden="1" customHeight="1" x14ac:dyDescent="0.3">
      <c r="A638" s="11"/>
      <c r="B638" s="249" t="s">
        <v>941</v>
      </c>
      <c r="C638" s="249"/>
      <c r="D638" s="249"/>
      <c r="E638" s="249"/>
      <c r="F638" s="249"/>
      <c r="G638" s="249"/>
      <c r="H638" s="249"/>
      <c r="I638" s="249"/>
      <c r="J638" s="249"/>
    </row>
    <row r="639" spans="1:10" hidden="1" x14ac:dyDescent="0.3"/>
    <row r="640" spans="1:10" ht="21" hidden="1" customHeight="1" x14ac:dyDescent="0.3">
      <c r="B640" s="248" t="s">
        <v>934</v>
      </c>
      <c r="C640" s="248"/>
      <c r="D640" s="175" t="s">
        <v>835</v>
      </c>
      <c r="E640" s="11"/>
    </row>
    <row r="641" spans="2:9" ht="21" hidden="1" customHeight="1" x14ac:dyDescent="0.3"/>
    <row r="642" spans="2:9" s="187" customFormat="1" ht="56.25" hidden="1" x14ac:dyDescent="0.25">
      <c r="B642" s="189" t="s">
        <v>887</v>
      </c>
      <c r="C642" s="250" t="s">
        <v>896</v>
      </c>
      <c r="D642" s="250"/>
      <c r="E642" s="190" t="s">
        <v>848</v>
      </c>
      <c r="F642" s="191" t="s">
        <v>778</v>
      </c>
      <c r="G642" s="190" t="s">
        <v>901</v>
      </c>
      <c r="I642" s="198"/>
    </row>
    <row r="643" spans="2:9" ht="21" hidden="1" customHeight="1" x14ac:dyDescent="0.3">
      <c r="B643" s="192">
        <v>27</v>
      </c>
      <c r="C643" s="247" t="s">
        <v>761</v>
      </c>
      <c r="D643" s="247"/>
      <c r="E643" s="193">
        <f>+AO30+AS30</f>
        <v>0</v>
      </c>
      <c r="F643" s="193">
        <f t="shared" ref="F643:F656" ca="1" si="944">+SUMIF($F$212:$BG$219,C643,$AO$212:$AO$219)+SUMIF($F$212:$BG$219,C643,$AS$212:$AS$219)</f>
        <v>0</v>
      </c>
      <c r="G643" s="194">
        <f ca="1">+E643-F643</f>
        <v>0</v>
      </c>
      <c r="H643" s="187"/>
      <c r="I643" s="198"/>
    </row>
    <row r="644" spans="2:9" ht="21" hidden="1" customHeight="1" x14ac:dyDescent="0.3">
      <c r="B644" s="192">
        <v>28</v>
      </c>
      <c r="C644" s="247" t="s">
        <v>762</v>
      </c>
      <c r="D644" s="247"/>
      <c r="E644" s="193">
        <f>+AO44+AS44</f>
        <v>0</v>
      </c>
      <c r="F644" s="193">
        <f t="shared" ca="1" si="944"/>
        <v>0</v>
      </c>
      <c r="G644" s="194">
        <f t="shared" ref="G644:G657" ca="1" si="945">+E644-F644</f>
        <v>0</v>
      </c>
      <c r="H644" s="187"/>
      <c r="I644" s="198"/>
    </row>
    <row r="645" spans="2:9" ht="21" hidden="1" customHeight="1" x14ac:dyDescent="0.3">
      <c r="B645" s="192">
        <v>29</v>
      </c>
      <c r="C645" s="247" t="s">
        <v>763</v>
      </c>
      <c r="D645" s="247"/>
      <c r="E645" s="193">
        <f>+AO58+AS58</f>
        <v>0</v>
      </c>
      <c r="F645" s="193">
        <f t="shared" ca="1" si="944"/>
        <v>0</v>
      </c>
      <c r="G645" s="194">
        <f t="shared" ca="1" si="945"/>
        <v>0</v>
      </c>
      <c r="H645" s="187"/>
      <c r="I645" s="198"/>
    </row>
    <row r="646" spans="2:9" ht="21" hidden="1" customHeight="1" x14ac:dyDescent="0.3">
      <c r="B646" s="192">
        <v>30</v>
      </c>
      <c r="C646" s="247" t="s">
        <v>766</v>
      </c>
      <c r="D646" s="247"/>
      <c r="E646" s="193">
        <f>+AO71+AS71</f>
        <v>0</v>
      </c>
      <c r="F646" s="193">
        <f t="shared" ca="1" si="944"/>
        <v>0</v>
      </c>
      <c r="G646" s="194">
        <f t="shared" ca="1" si="945"/>
        <v>0</v>
      </c>
      <c r="H646" s="187"/>
      <c r="I646" s="198"/>
    </row>
    <row r="647" spans="2:9" ht="21" hidden="1" customHeight="1" x14ac:dyDescent="0.3">
      <c r="B647" s="192">
        <v>31</v>
      </c>
      <c r="C647" s="247" t="s">
        <v>767</v>
      </c>
      <c r="D647" s="247"/>
      <c r="E647" s="193">
        <f>+AO84+AS84</f>
        <v>0</v>
      </c>
      <c r="F647" s="193">
        <f t="shared" ca="1" si="944"/>
        <v>0</v>
      </c>
      <c r="G647" s="194">
        <f t="shared" ca="1" si="945"/>
        <v>0</v>
      </c>
      <c r="H647" s="187"/>
      <c r="I647" s="198"/>
    </row>
    <row r="648" spans="2:9" ht="21" hidden="1" customHeight="1" x14ac:dyDescent="0.3">
      <c r="B648" s="192">
        <v>32</v>
      </c>
      <c r="C648" s="247" t="s">
        <v>768</v>
      </c>
      <c r="D648" s="247"/>
      <c r="E648" s="193">
        <f>+AO97+AS97</f>
        <v>0</v>
      </c>
      <c r="F648" s="193">
        <f t="shared" ca="1" si="944"/>
        <v>0</v>
      </c>
      <c r="G648" s="194">
        <f t="shared" ca="1" si="945"/>
        <v>0</v>
      </c>
      <c r="H648" s="187"/>
      <c r="I648" s="198"/>
    </row>
    <row r="649" spans="2:9" ht="21" hidden="1" customHeight="1" x14ac:dyDescent="0.3">
      <c r="B649" s="192">
        <v>33</v>
      </c>
      <c r="C649" s="247" t="s">
        <v>769</v>
      </c>
      <c r="D649" s="247"/>
      <c r="E649" s="193">
        <f>+AO110+AS110</f>
        <v>0</v>
      </c>
      <c r="F649" s="193">
        <f t="shared" ca="1" si="944"/>
        <v>0</v>
      </c>
      <c r="G649" s="194">
        <f t="shared" ca="1" si="945"/>
        <v>0</v>
      </c>
      <c r="H649" s="187"/>
      <c r="I649" s="198"/>
    </row>
    <row r="650" spans="2:9" ht="21" hidden="1" customHeight="1" x14ac:dyDescent="0.3">
      <c r="B650" s="192">
        <v>34</v>
      </c>
      <c r="C650" s="247" t="s">
        <v>772</v>
      </c>
      <c r="D650" s="247"/>
      <c r="E650" s="193">
        <f>+AO124+AS124</f>
        <v>0</v>
      </c>
      <c r="F650" s="193">
        <f t="shared" ca="1" si="944"/>
        <v>0</v>
      </c>
      <c r="G650" s="194">
        <f t="shared" ca="1" si="945"/>
        <v>0</v>
      </c>
      <c r="H650" s="187"/>
      <c r="I650" s="198"/>
    </row>
    <row r="651" spans="2:9" ht="21" hidden="1" customHeight="1" x14ac:dyDescent="0.3">
      <c r="B651" s="192">
        <v>35</v>
      </c>
      <c r="C651" s="247" t="s">
        <v>773</v>
      </c>
      <c r="D651" s="247"/>
      <c r="E651" s="193">
        <f>+AO137+AS137</f>
        <v>0</v>
      </c>
      <c r="F651" s="193">
        <f t="shared" ca="1" si="944"/>
        <v>0</v>
      </c>
      <c r="G651" s="194">
        <f t="shared" ca="1" si="945"/>
        <v>0</v>
      </c>
      <c r="H651" s="187"/>
      <c r="I651" s="198"/>
    </row>
    <row r="652" spans="2:9" ht="21" hidden="1" customHeight="1" x14ac:dyDescent="0.3">
      <c r="B652" s="192">
        <v>36</v>
      </c>
      <c r="C652" s="247" t="s">
        <v>821</v>
      </c>
      <c r="D652" s="247"/>
      <c r="E652" s="193">
        <f>+AO151+AS151</f>
        <v>0</v>
      </c>
      <c r="F652" s="193">
        <f t="shared" ca="1" si="944"/>
        <v>0</v>
      </c>
      <c r="G652" s="194">
        <f t="shared" ca="1" si="945"/>
        <v>0</v>
      </c>
      <c r="H652" s="187"/>
      <c r="I652" s="198"/>
    </row>
    <row r="653" spans="2:9" ht="21" hidden="1" customHeight="1" x14ac:dyDescent="0.3">
      <c r="B653" s="192">
        <v>37</v>
      </c>
      <c r="C653" s="247" t="s">
        <v>774</v>
      </c>
      <c r="D653" s="247"/>
      <c r="E653" s="193">
        <f>+AO165+AS165</f>
        <v>0</v>
      </c>
      <c r="F653" s="193">
        <f t="shared" ca="1" si="944"/>
        <v>0</v>
      </c>
      <c r="G653" s="194">
        <f t="shared" ca="1" si="945"/>
        <v>0</v>
      </c>
      <c r="H653" s="187"/>
      <c r="I653" s="198"/>
    </row>
    <row r="654" spans="2:9" ht="21" hidden="1" customHeight="1" x14ac:dyDescent="0.3">
      <c r="B654" s="192">
        <v>38</v>
      </c>
      <c r="C654" s="247" t="s">
        <v>775</v>
      </c>
      <c r="D654" s="247"/>
      <c r="E654" s="193">
        <f>+AO179+AS179</f>
        <v>0</v>
      </c>
      <c r="F654" s="193">
        <f t="shared" ca="1" si="944"/>
        <v>0</v>
      </c>
      <c r="G654" s="194">
        <f t="shared" ca="1" si="945"/>
        <v>0</v>
      </c>
      <c r="H654" s="187"/>
      <c r="I654" s="198"/>
    </row>
    <row r="655" spans="2:9" ht="21" hidden="1" customHeight="1" x14ac:dyDescent="0.3">
      <c r="B655" s="192">
        <v>39</v>
      </c>
      <c r="C655" s="247" t="s">
        <v>776</v>
      </c>
      <c r="D655" s="247"/>
      <c r="E655" s="193">
        <f>+AO192+AS192</f>
        <v>0</v>
      </c>
      <c r="F655" s="193">
        <f t="shared" ca="1" si="944"/>
        <v>0</v>
      </c>
      <c r="G655" s="194">
        <f t="shared" ca="1" si="945"/>
        <v>0</v>
      </c>
      <c r="H655" s="187"/>
      <c r="I655" s="198"/>
    </row>
    <row r="656" spans="2:9" ht="21" hidden="1" customHeight="1" x14ac:dyDescent="0.3">
      <c r="B656" s="192">
        <v>40</v>
      </c>
      <c r="C656" s="247" t="s">
        <v>777</v>
      </c>
      <c r="D656" s="247"/>
      <c r="E656" s="193">
        <f>+AO205+AS205</f>
        <v>0</v>
      </c>
      <c r="F656" s="193">
        <f t="shared" ca="1" si="944"/>
        <v>0</v>
      </c>
      <c r="G656" s="194">
        <f t="shared" ca="1" si="945"/>
        <v>0</v>
      </c>
      <c r="H656" s="187"/>
      <c r="I656" s="198"/>
    </row>
    <row r="657" spans="2:9" s="186" customFormat="1" ht="21" hidden="1" customHeight="1" x14ac:dyDescent="0.3">
      <c r="B657" s="195"/>
      <c r="C657" s="248" t="s">
        <v>903</v>
      </c>
      <c r="D657" s="248"/>
      <c r="E657" s="194">
        <f>SUM(E643:E656)</f>
        <v>0</v>
      </c>
      <c r="F657" s="194">
        <f ca="1">SUM(F643:F656)</f>
        <v>0</v>
      </c>
      <c r="G657" s="194">
        <f t="shared" ca="1" si="945"/>
        <v>0</v>
      </c>
      <c r="H657" s="187"/>
      <c r="I657" s="198"/>
    </row>
    <row r="658" spans="2:9" ht="21" hidden="1" customHeight="1" x14ac:dyDescent="0.3"/>
    <row r="659" spans="2:9" s="20" customFormat="1" ht="21" hidden="1" customHeight="1" x14ac:dyDescent="0.25">
      <c r="C659" s="250" t="s">
        <v>905</v>
      </c>
      <c r="D659" s="250"/>
      <c r="E659" s="190" t="s">
        <v>912</v>
      </c>
      <c r="F659" s="190" t="s">
        <v>902</v>
      </c>
    </row>
    <row r="660" spans="2:9" ht="21" hidden="1" customHeight="1" x14ac:dyDescent="0.3">
      <c r="C660" s="247" t="s">
        <v>906</v>
      </c>
      <c r="D660" s="247"/>
      <c r="E660" s="193">
        <f ca="1">+G643+G644+G645+G650+G652+G653+G654</f>
        <v>0</v>
      </c>
      <c r="F660" s="196">
        <f ca="1">+IF((E660&gt;0),(E660/$E$664),0)</f>
        <v>0</v>
      </c>
    </row>
    <row r="661" spans="2:9" ht="21" hidden="1" customHeight="1" x14ac:dyDescent="0.3">
      <c r="C661" s="247" t="s">
        <v>907</v>
      </c>
      <c r="D661" s="247"/>
      <c r="E661" s="193">
        <f ca="1">+G655</f>
        <v>0</v>
      </c>
      <c r="F661" s="196">
        <f t="shared" ref="F661:F663" ca="1" si="946">+IF((E661&gt;0),(E661/$E$664),0)</f>
        <v>0</v>
      </c>
    </row>
    <row r="662" spans="2:9" ht="21" hidden="1" customHeight="1" x14ac:dyDescent="0.3">
      <c r="C662" s="247" t="s">
        <v>908</v>
      </c>
      <c r="D662" s="247"/>
      <c r="E662" s="193">
        <f ca="1">+G646+G647+G648+G649+G651</f>
        <v>0</v>
      </c>
      <c r="F662" s="196">
        <f t="shared" ca="1" si="946"/>
        <v>0</v>
      </c>
    </row>
    <row r="663" spans="2:9" ht="21" hidden="1" customHeight="1" x14ac:dyDescent="0.3">
      <c r="C663" s="247" t="s">
        <v>909</v>
      </c>
      <c r="D663" s="247"/>
      <c r="E663" s="193">
        <v>0</v>
      </c>
      <c r="F663" s="196">
        <f t="shared" si="946"/>
        <v>0</v>
      </c>
    </row>
    <row r="664" spans="2:9" ht="21" hidden="1" customHeight="1" x14ac:dyDescent="0.3">
      <c r="C664" s="248" t="s">
        <v>913</v>
      </c>
      <c r="D664" s="248"/>
      <c r="E664" s="194">
        <f ca="1">SUM(E660:E663)</f>
        <v>0</v>
      </c>
      <c r="F664" s="193"/>
    </row>
    <row r="665" spans="2:9" ht="21" hidden="1" customHeight="1" x14ac:dyDescent="0.3"/>
    <row r="666" spans="2:9" s="187" customFormat="1" ht="37.5" hidden="1" x14ac:dyDescent="0.25">
      <c r="B666" s="189" t="s">
        <v>887</v>
      </c>
      <c r="C666" s="250" t="s">
        <v>904</v>
      </c>
      <c r="D666" s="250"/>
      <c r="E666" s="191" t="s">
        <v>915</v>
      </c>
      <c r="F666" s="190" t="s">
        <v>902</v>
      </c>
      <c r="G666" s="190" t="s">
        <v>914</v>
      </c>
      <c r="I666" s="198"/>
    </row>
    <row r="667" spans="2:9" ht="21" hidden="1" customHeight="1" x14ac:dyDescent="0.3">
      <c r="B667" s="192">
        <v>66</v>
      </c>
      <c r="C667" s="247" t="s">
        <v>929</v>
      </c>
      <c r="D667" s="247"/>
      <c r="E667" s="193">
        <f>+AQ386+AU386</f>
        <v>0</v>
      </c>
      <c r="F667" s="197">
        <f ca="1">$F$661</f>
        <v>0</v>
      </c>
      <c r="G667" s="193">
        <f ca="1">+E667*F667</f>
        <v>0</v>
      </c>
      <c r="I667" s="11"/>
    </row>
    <row r="668" spans="2:9" ht="21" hidden="1" customHeight="1" x14ac:dyDescent="0.3">
      <c r="B668" s="192">
        <v>68</v>
      </c>
      <c r="C668" s="247" t="s">
        <v>800</v>
      </c>
      <c r="D668" s="247"/>
      <c r="E668" s="193">
        <f>+AQ235+AU235</f>
        <v>0</v>
      </c>
      <c r="F668" s="197">
        <f t="shared" ref="F668:F675" ca="1" si="947">$F$661</f>
        <v>0</v>
      </c>
      <c r="G668" s="193">
        <f ca="1">+E668*F668</f>
        <v>0</v>
      </c>
      <c r="I668" s="11"/>
    </row>
    <row r="669" spans="2:9" ht="21" hidden="1" customHeight="1" x14ac:dyDescent="0.3">
      <c r="B669" s="192">
        <v>69</v>
      </c>
      <c r="C669" s="247" t="s">
        <v>801</v>
      </c>
      <c r="D669" s="247"/>
      <c r="E669" s="193">
        <f>+AQ249+AU249</f>
        <v>0</v>
      </c>
      <c r="F669" s="197">
        <f t="shared" ca="1" si="947"/>
        <v>0</v>
      </c>
      <c r="G669" s="193">
        <f t="shared" ref="G669:G675" ca="1" si="948">+E669*F669</f>
        <v>0</v>
      </c>
      <c r="I669" s="11"/>
    </row>
    <row r="670" spans="2:9" ht="21" hidden="1" customHeight="1" x14ac:dyDescent="0.3">
      <c r="B670" s="192">
        <v>70</v>
      </c>
      <c r="C670" s="247" t="s">
        <v>783</v>
      </c>
      <c r="D670" s="247"/>
      <c r="E670" s="193">
        <f>+AQ263+AU263</f>
        <v>0</v>
      </c>
      <c r="F670" s="197">
        <f t="shared" ca="1" si="947"/>
        <v>0</v>
      </c>
      <c r="G670" s="193">
        <f t="shared" ca="1" si="948"/>
        <v>0</v>
      </c>
      <c r="I670" s="11"/>
    </row>
    <row r="671" spans="2:9" ht="21" hidden="1" customHeight="1" x14ac:dyDescent="0.3">
      <c r="B671" s="192">
        <v>71</v>
      </c>
      <c r="C671" s="247" t="s">
        <v>802</v>
      </c>
      <c r="D671" s="247"/>
      <c r="E671" s="193">
        <f>+AQ317+AU317</f>
        <v>0</v>
      </c>
      <c r="F671" s="197">
        <f t="shared" ca="1" si="947"/>
        <v>0</v>
      </c>
      <c r="G671" s="193">
        <f t="shared" ca="1" si="948"/>
        <v>0</v>
      </c>
      <c r="I671" s="11"/>
    </row>
    <row r="672" spans="2:9" ht="21" hidden="1" customHeight="1" x14ac:dyDescent="0.3">
      <c r="B672" s="192">
        <v>72</v>
      </c>
      <c r="C672" s="247" t="s">
        <v>803</v>
      </c>
      <c r="D672" s="247"/>
      <c r="E672" s="193">
        <f>+AQ331+AU331</f>
        <v>0</v>
      </c>
      <c r="F672" s="197">
        <f t="shared" ca="1" si="947"/>
        <v>0</v>
      </c>
      <c r="G672" s="193">
        <f t="shared" ca="1" si="948"/>
        <v>0</v>
      </c>
      <c r="I672" s="11"/>
    </row>
    <row r="673" spans="1:10" ht="21" hidden="1" customHeight="1" x14ac:dyDescent="0.3">
      <c r="B673" s="192">
        <v>73</v>
      </c>
      <c r="C673" s="247" t="s">
        <v>45</v>
      </c>
      <c r="D673" s="247"/>
      <c r="E673" s="193">
        <f>+AQ416+AU416</f>
        <v>0</v>
      </c>
      <c r="F673" s="197">
        <f t="shared" ca="1" si="947"/>
        <v>0</v>
      </c>
      <c r="G673" s="193">
        <f t="shared" ca="1" si="948"/>
        <v>0</v>
      </c>
      <c r="I673" s="11"/>
    </row>
    <row r="674" spans="1:10" ht="21" hidden="1" customHeight="1" x14ac:dyDescent="0.3">
      <c r="B674" s="192">
        <v>74</v>
      </c>
      <c r="C674" s="247" t="s">
        <v>804</v>
      </c>
      <c r="D674" s="247"/>
      <c r="E674" s="193">
        <f ca="1">+SUMIF(AP296:AQ302,5%,AQ296:AQ302)+SUMIF(AT296:AU302,5%,AU296:AU302)+AQ345+AU345</f>
        <v>0</v>
      </c>
      <c r="F674" s="197">
        <f t="shared" ca="1" si="947"/>
        <v>0</v>
      </c>
      <c r="G674" s="193">
        <f t="shared" ca="1" si="948"/>
        <v>0</v>
      </c>
      <c r="I674" s="11"/>
    </row>
    <row r="675" spans="1:10" ht="21" hidden="1" customHeight="1" x14ac:dyDescent="0.3">
      <c r="B675" s="192">
        <v>75</v>
      </c>
      <c r="C675" s="247" t="s">
        <v>805</v>
      </c>
      <c r="D675" s="247"/>
      <c r="E675" s="193">
        <f ca="1">+SUMIF(AP296:AQ302,19%,AQ296:AQ302)+SUMIF(AT296:AU302,19%,AU296:AU302)+AQ359+AU359</f>
        <v>0</v>
      </c>
      <c r="F675" s="197">
        <f t="shared" ca="1" si="947"/>
        <v>0</v>
      </c>
      <c r="G675" s="193">
        <f t="shared" ca="1" si="948"/>
        <v>0</v>
      </c>
      <c r="I675" s="11"/>
    </row>
    <row r="676" spans="1:10" ht="21" hidden="1" customHeight="1" x14ac:dyDescent="0.3">
      <c r="B676" s="195"/>
      <c r="C676" s="248" t="s">
        <v>903</v>
      </c>
      <c r="D676" s="248"/>
      <c r="E676" s="194">
        <f ca="1">SUM(E668:E675)</f>
        <v>0</v>
      </c>
      <c r="F676" s="197"/>
      <c r="G676" s="194">
        <f ca="1">SUM(G668:G675)</f>
        <v>0</v>
      </c>
      <c r="I676" s="11"/>
    </row>
    <row r="677" spans="1:10" hidden="1" x14ac:dyDescent="0.3"/>
    <row r="678" spans="1:10" ht="36" hidden="1" customHeight="1" x14ac:dyDescent="0.3">
      <c r="A678" s="11"/>
      <c r="B678" s="249" t="s">
        <v>942</v>
      </c>
      <c r="C678" s="249"/>
      <c r="D678" s="249"/>
      <c r="E678" s="249"/>
      <c r="F678" s="249"/>
      <c r="G678" s="249"/>
      <c r="H678" s="249"/>
      <c r="I678" s="249"/>
      <c r="J678" s="249"/>
    </row>
    <row r="679" spans="1:10" hidden="1" x14ac:dyDescent="0.3"/>
    <row r="680" spans="1:10" ht="21" hidden="1" customHeight="1" x14ac:dyDescent="0.3">
      <c r="B680" s="248" t="s">
        <v>935</v>
      </c>
      <c r="C680" s="248"/>
      <c r="D680" s="175" t="s">
        <v>835</v>
      </c>
      <c r="E680" s="11"/>
    </row>
    <row r="681" spans="1:10" ht="21" hidden="1" customHeight="1" x14ac:dyDescent="0.3"/>
    <row r="682" spans="1:10" s="187" customFormat="1" ht="56.25" hidden="1" x14ac:dyDescent="0.25">
      <c r="B682" s="189" t="s">
        <v>887</v>
      </c>
      <c r="C682" s="250" t="s">
        <v>896</v>
      </c>
      <c r="D682" s="250"/>
      <c r="E682" s="190" t="s">
        <v>848</v>
      </c>
      <c r="F682" s="191" t="s">
        <v>778</v>
      </c>
      <c r="G682" s="190" t="s">
        <v>901</v>
      </c>
    </row>
    <row r="683" spans="1:10" ht="21" hidden="1" customHeight="1" x14ac:dyDescent="0.3">
      <c r="B683" s="192">
        <v>27</v>
      </c>
      <c r="C683" s="247" t="s">
        <v>761</v>
      </c>
      <c r="D683" s="247"/>
      <c r="E683" s="193">
        <f>+AW30+BA30</f>
        <v>0</v>
      </c>
      <c r="F683" s="193">
        <f t="shared" ref="F683:F696" ca="1" si="949">+SUMIF($F$212:$BG$219,C683,$AW$212:$AW$219)+SUMIF($F$212:$BG$219,C683,$BA$212:$BA$219)</f>
        <v>0</v>
      </c>
      <c r="G683" s="194">
        <f ca="1">+E683-F683</f>
        <v>0</v>
      </c>
      <c r="H683" s="187"/>
      <c r="I683" s="187"/>
    </row>
    <row r="684" spans="1:10" ht="21" hidden="1" customHeight="1" x14ac:dyDescent="0.3">
      <c r="B684" s="192">
        <v>28</v>
      </c>
      <c r="C684" s="247" t="s">
        <v>762</v>
      </c>
      <c r="D684" s="247"/>
      <c r="E684" s="193">
        <f>+AW44+BA44</f>
        <v>0</v>
      </c>
      <c r="F684" s="193">
        <f t="shared" ca="1" si="949"/>
        <v>0</v>
      </c>
      <c r="G684" s="194">
        <f t="shared" ref="G684:G697" ca="1" si="950">+E684-F684</f>
        <v>0</v>
      </c>
      <c r="H684" s="187"/>
      <c r="I684" s="187"/>
    </row>
    <row r="685" spans="1:10" ht="21" hidden="1" customHeight="1" x14ac:dyDescent="0.3">
      <c r="B685" s="192">
        <v>29</v>
      </c>
      <c r="C685" s="247" t="s">
        <v>763</v>
      </c>
      <c r="D685" s="247"/>
      <c r="E685" s="193">
        <f>+AW58+BA58</f>
        <v>0</v>
      </c>
      <c r="F685" s="193">
        <f t="shared" ca="1" si="949"/>
        <v>0</v>
      </c>
      <c r="G685" s="194">
        <f t="shared" ca="1" si="950"/>
        <v>0</v>
      </c>
      <c r="H685" s="187"/>
      <c r="I685" s="187"/>
    </row>
    <row r="686" spans="1:10" ht="21" hidden="1" customHeight="1" x14ac:dyDescent="0.3">
      <c r="B686" s="192">
        <v>30</v>
      </c>
      <c r="C686" s="247" t="s">
        <v>766</v>
      </c>
      <c r="D686" s="247"/>
      <c r="E686" s="193">
        <f>+AW71+BA71</f>
        <v>0</v>
      </c>
      <c r="F686" s="193">
        <f t="shared" ca="1" si="949"/>
        <v>0</v>
      </c>
      <c r="G686" s="194">
        <f t="shared" ca="1" si="950"/>
        <v>0</v>
      </c>
      <c r="H686" s="187"/>
      <c r="I686" s="187"/>
    </row>
    <row r="687" spans="1:10" ht="21" hidden="1" customHeight="1" x14ac:dyDescent="0.3">
      <c r="B687" s="192">
        <v>31</v>
      </c>
      <c r="C687" s="247" t="s">
        <v>767</v>
      </c>
      <c r="D687" s="247"/>
      <c r="E687" s="193">
        <f>+AW84+BA84</f>
        <v>0</v>
      </c>
      <c r="F687" s="193">
        <f t="shared" ca="1" si="949"/>
        <v>0</v>
      </c>
      <c r="G687" s="194">
        <f t="shared" ca="1" si="950"/>
        <v>0</v>
      </c>
      <c r="H687" s="187"/>
      <c r="I687" s="187"/>
    </row>
    <row r="688" spans="1:10" ht="21" hidden="1" customHeight="1" x14ac:dyDescent="0.3">
      <c r="B688" s="192">
        <v>32</v>
      </c>
      <c r="C688" s="247" t="s">
        <v>768</v>
      </c>
      <c r="D688" s="247"/>
      <c r="E688" s="193">
        <f>+AW97+BA97</f>
        <v>0</v>
      </c>
      <c r="F688" s="193">
        <f t="shared" ca="1" si="949"/>
        <v>0</v>
      </c>
      <c r="G688" s="194">
        <f t="shared" ca="1" si="950"/>
        <v>0</v>
      </c>
      <c r="H688" s="187"/>
      <c r="I688" s="187"/>
    </row>
    <row r="689" spans="2:9" ht="21" hidden="1" customHeight="1" x14ac:dyDescent="0.3">
      <c r="B689" s="192">
        <v>33</v>
      </c>
      <c r="C689" s="247" t="s">
        <v>769</v>
      </c>
      <c r="D689" s="247"/>
      <c r="E689" s="193">
        <f>+AW110+BA110</f>
        <v>0</v>
      </c>
      <c r="F689" s="193">
        <f t="shared" ca="1" si="949"/>
        <v>0</v>
      </c>
      <c r="G689" s="194">
        <f t="shared" ca="1" si="950"/>
        <v>0</v>
      </c>
      <c r="H689" s="187"/>
      <c r="I689" s="187"/>
    </row>
    <row r="690" spans="2:9" ht="21" hidden="1" customHeight="1" x14ac:dyDescent="0.3">
      <c r="B690" s="192">
        <v>34</v>
      </c>
      <c r="C690" s="247" t="s">
        <v>772</v>
      </c>
      <c r="D690" s="247"/>
      <c r="E690" s="193">
        <f>+AW124+BA124</f>
        <v>0</v>
      </c>
      <c r="F690" s="193">
        <f t="shared" ca="1" si="949"/>
        <v>0</v>
      </c>
      <c r="G690" s="194">
        <f t="shared" ca="1" si="950"/>
        <v>0</v>
      </c>
      <c r="H690" s="187"/>
      <c r="I690" s="187"/>
    </row>
    <row r="691" spans="2:9" ht="21" hidden="1" customHeight="1" x14ac:dyDescent="0.3">
      <c r="B691" s="192">
        <v>35</v>
      </c>
      <c r="C691" s="247" t="s">
        <v>773</v>
      </c>
      <c r="D691" s="247"/>
      <c r="E691" s="193">
        <f>+AW137+BA137</f>
        <v>0</v>
      </c>
      <c r="F691" s="193">
        <f t="shared" ca="1" si="949"/>
        <v>0</v>
      </c>
      <c r="G691" s="194">
        <f t="shared" ca="1" si="950"/>
        <v>0</v>
      </c>
      <c r="H691" s="187"/>
      <c r="I691" s="187"/>
    </row>
    <row r="692" spans="2:9" ht="21" hidden="1" customHeight="1" x14ac:dyDescent="0.3">
      <c r="B692" s="192">
        <v>36</v>
      </c>
      <c r="C692" s="247" t="s">
        <v>821</v>
      </c>
      <c r="D692" s="247"/>
      <c r="E692" s="193">
        <f>+AW151+BA151</f>
        <v>0</v>
      </c>
      <c r="F692" s="193">
        <f t="shared" ca="1" si="949"/>
        <v>0</v>
      </c>
      <c r="G692" s="194">
        <f t="shared" ca="1" si="950"/>
        <v>0</v>
      </c>
      <c r="H692" s="187"/>
      <c r="I692" s="187"/>
    </row>
    <row r="693" spans="2:9" ht="21" hidden="1" customHeight="1" x14ac:dyDescent="0.3">
      <c r="B693" s="192">
        <v>37</v>
      </c>
      <c r="C693" s="247" t="s">
        <v>774</v>
      </c>
      <c r="D693" s="247"/>
      <c r="E693" s="193">
        <f>+AW165+BA165</f>
        <v>0</v>
      </c>
      <c r="F693" s="193">
        <f t="shared" ca="1" si="949"/>
        <v>0</v>
      </c>
      <c r="G693" s="194">
        <f t="shared" ca="1" si="950"/>
        <v>0</v>
      </c>
      <c r="H693" s="187"/>
      <c r="I693" s="187"/>
    </row>
    <row r="694" spans="2:9" ht="21" hidden="1" customHeight="1" x14ac:dyDescent="0.3">
      <c r="B694" s="192">
        <v>38</v>
      </c>
      <c r="C694" s="247" t="s">
        <v>775</v>
      </c>
      <c r="D694" s="247"/>
      <c r="E694" s="193">
        <f>+AW179+BA179</f>
        <v>0</v>
      </c>
      <c r="F694" s="193">
        <f t="shared" ca="1" si="949"/>
        <v>0</v>
      </c>
      <c r="G694" s="194">
        <f t="shared" ca="1" si="950"/>
        <v>0</v>
      </c>
      <c r="H694" s="187"/>
      <c r="I694" s="187"/>
    </row>
    <row r="695" spans="2:9" ht="21" hidden="1" customHeight="1" x14ac:dyDescent="0.3">
      <c r="B695" s="192">
        <v>39</v>
      </c>
      <c r="C695" s="247" t="s">
        <v>776</v>
      </c>
      <c r="D695" s="247"/>
      <c r="E695" s="193">
        <f>+AW192+BA192</f>
        <v>0</v>
      </c>
      <c r="F695" s="193">
        <f t="shared" ca="1" si="949"/>
        <v>0</v>
      </c>
      <c r="G695" s="194">
        <f t="shared" ca="1" si="950"/>
        <v>0</v>
      </c>
      <c r="H695" s="187"/>
      <c r="I695" s="187"/>
    </row>
    <row r="696" spans="2:9" ht="21" hidden="1" customHeight="1" x14ac:dyDescent="0.3">
      <c r="B696" s="192">
        <v>40</v>
      </c>
      <c r="C696" s="247" t="s">
        <v>777</v>
      </c>
      <c r="D696" s="247"/>
      <c r="E696" s="193">
        <f>+AW205+BA205</f>
        <v>0</v>
      </c>
      <c r="F696" s="193">
        <f t="shared" ca="1" si="949"/>
        <v>0</v>
      </c>
      <c r="G696" s="194">
        <f t="shared" ca="1" si="950"/>
        <v>0</v>
      </c>
      <c r="H696" s="187"/>
      <c r="I696" s="187"/>
    </row>
    <row r="697" spans="2:9" s="186" customFormat="1" ht="21" hidden="1" customHeight="1" x14ac:dyDescent="0.3">
      <c r="B697" s="195"/>
      <c r="C697" s="248" t="s">
        <v>903</v>
      </c>
      <c r="D697" s="248"/>
      <c r="E697" s="194">
        <f>SUM(E683:E696)</f>
        <v>0</v>
      </c>
      <c r="F697" s="194">
        <f ca="1">SUM(F683:F696)</f>
        <v>0</v>
      </c>
      <c r="G697" s="194">
        <f t="shared" ca="1" si="950"/>
        <v>0</v>
      </c>
      <c r="H697" s="187"/>
      <c r="I697" s="187"/>
    </row>
    <row r="698" spans="2:9" ht="21" hidden="1" customHeight="1" x14ac:dyDescent="0.3"/>
    <row r="699" spans="2:9" s="20" customFormat="1" ht="21" hidden="1" customHeight="1" x14ac:dyDescent="0.25">
      <c r="C699" s="250" t="s">
        <v>905</v>
      </c>
      <c r="D699" s="250"/>
      <c r="E699" s="190" t="s">
        <v>912</v>
      </c>
      <c r="F699" s="190" t="s">
        <v>902</v>
      </c>
    </row>
    <row r="700" spans="2:9" ht="21" hidden="1" customHeight="1" x14ac:dyDescent="0.3">
      <c r="C700" s="247" t="s">
        <v>906</v>
      </c>
      <c r="D700" s="247"/>
      <c r="E700" s="193">
        <f ca="1">+G683+G684+G685+G690+G692+G693+G694</f>
        <v>0</v>
      </c>
      <c r="F700" s="196">
        <f ca="1">+IF((E700&gt;0),(E700/$E$704),0)</f>
        <v>0</v>
      </c>
    </row>
    <row r="701" spans="2:9" ht="21" hidden="1" customHeight="1" x14ac:dyDescent="0.3">
      <c r="C701" s="247" t="s">
        <v>907</v>
      </c>
      <c r="D701" s="247"/>
      <c r="E701" s="193">
        <f ca="1">+G695</f>
        <v>0</v>
      </c>
      <c r="F701" s="196">
        <f t="shared" ref="F701:F703" ca="1" si="951">+IF((E701&gt;0),(E701/$E$704),0)</f>
        <v>0</v>
      </c>
    </row>
    <row r="702" spans="2:9" ht="21" hidden="1" customHeight="1" x14ac:dyDescent="0.3">
      <c r="C702" s="247" t="s">
        <v>908</v>
      </c>
      <c r="D702" s="247"/>
      <c r="E702" s="193">
        <f ca="1">+G686+G687+G688+G689+G691</f>
        <v>0</v>
      </c>
      <c r="F702" s="196">
        <f t="shared" ca="1" si="951"/>
        <v>0</v>
      </c>
    </row>
    <row r="703" spans="2:9" ht="21" hidden="1" customHeight="1" x14ac:dyDescent="0.3">
      <c r="C703" s="247" t="s">
        <v>909</v>
      </c>
      <c r="D703" s="247"/>
      <c r="E703" s="193">
        <v>0</v>
      </c>
      <c r="F703" s="196">
        <f t="shared" si="951"/>
        <v>0</v>
      </c>
    </row>
    <row r="704" spans="2:9" ht="21" hidden="1" customHeight="1" x14ac:dyDescent="0.3">
      <c r="C704" s="248" t="s">
        <v>913</v>
      </c>
      <c r="D704" s="248"/>
      <c r="E704" s="194">
        <f ca="1">SUM(E700:E703)</f>
        <v>0</v>
      </c>
      <c r="F704" s="193"/>
    </row>
    <row r="705" spans="1:10" ht="21" hidden="1" customHeight="1" x14ac:dyDescent="0.3"/>
    <row r="706" spans="1:10" s="187" customFormat="1" ht="37.5" hidden="1" x14ac:dyDescent="0.25">
      <c r="B706" s="189" t="s">
        <v>887</v>
      </c>
      <c r="C706" s="250" t="s">
        <v>904</v>
      </c>
      <c r="D706" s="250"/>
      <c r="E706" s="191" t="s">
        <v>915</v>
      </c>
      <c r="F706" s="190" t="s">
        <v>902</v>
      </c>
      <c r="G706" s="190" t="s">
        <v>914</v>
      </c>
      <c r="I706" s="198"/>
    </row>
    <row r="707" spans="1:10" ht="21" hidden="1" customHeight="1" x14ac:dyDescent="0.3">
      <c r="B707" s="192">
        <v>66</v>
      </c>
      <c r="C707" s="247" t="s">
        <v>929</v>
      </c>
      <c r="D707" s="247"/>
      <c r="E707" s="193">
        <f>+AY386+BC386</f>
        <v>0</v>
      </c>
      <c r="F707" s="197">
        <f ca="1">+$F$701</f>
        <v>0</v>
      </c>
      <c r="G707" s="193">
        <f ca="1">+E707*F707</f>
        <v>0</v>
      </c>
      <c r="I707" s="11"/>
    </row>
    <row r="708" spans="1:10" ht="21" hidden="1" customHeight="1" x14ac:dyDescent="0.3">
      <c r="B708" s="192">
        <v>68</v>
      </c>
      <c r="C708" s="247" t="s">
        <v>800</v>
      </c>
      <c r="D708" s="247"/>
      <c r="E708" s="193">
        <f>+AY235+BC235</f>
        <v>0</v>
      </c>
      <c r="F708" s="197">
        <f t="shared" ref="F708:F715" ca="1" si="952">+$F$701</f>
        <v>0</v>
      </c>
      <c r="G708" s="193">
        <f ca="1">+E708*F708</f>
        <v>0</v>
      </c>
      <c r="I708" s="11"/>
    </row>
    <row r="709" spans="1:10" ht="21" hidden="1" customHeight="1" x14ac:dyDescent="0.3">
      <c r="B709" s="192">
        <v>69</v>
      </c>
      <c r="C709" s="247" t="s">
        <v>801</v>
      </c>
      <c r="D709" s="247"/>
      <c r="E709" s="193">
        <f>+AY249+BC249</f>
        <v>0</v>
      </c>
      <c r="F709" s="197">
        <f t="shared" ca="1" si="952"/>
        <v>0</v>
      </c>
      <c r="G709" s="193">
        <f t="shared" ref="G709:G715" ca="1" si="953">+E709*F709</f>
        <v>0</v>
      </c>
      <c r="I709" s="11"/>
    </row>
    <row r="710" spans="1:10" ht="21" hidden="1" customHeight="1" x14ac:dyDescent="0.3">
      <c r="B710" s="192">
        <v>70</v>
      </c>
      <c r="C710" s="247" t="s">
        <v>783</v>
      </c>
      <c r="D710" s="247"/>
      <c r="E710" s="193">
        <f>+AY263+BC263</f>
        <v>0</v>
      </c>
      <c r="F710" s="197">
        <f t="shared" ca="1" si="952"/>
        <v>0</v>
      </c>
      <c r="G710" s="193">
        <f t="shared" ca="1" si="953"/>
        <v>0</v>
      </c>
      <c r="I710" s="11"/>
    </row>
    <row r="711" spans="1:10" ht="21" hidden="1" customHeight="1" x14ac:dyDescent="0.3">
      <c r="B711" s="192">
        <v>71</v>
      </c>
      <c r="C711" s="247" t="s">
        <v>802</v>
      </c>
      <c r="D711" s="247"/>
      <c r="E711" s="193">
        <f>+AY317+BC317</f>
        <v>0</v>
      </c>
      <c r="F711" s="197">
        <f t="shared" ca="1" si="952"/>
        <v>0</v>
      </c>
      <c r="G711" s="193">
        <f t="shared" ca="1" si="953"/>
        <v>0</v>
      </c>
      <c r="I711" s="11"/>
    </row>
    <row r="712" spans="1:10" ht="21" hidden="1" customHeight="1" x14ac:dyDescent="0.3">
      <c r="B712" s="192">
        <v>72</v>
      </c>
      <c r="C712" s="247" t="s">
        <v>803</v>
      </c>
      <c r="D712" s="247"/>
      <c r="E712" s="193">
        <f>+AY331+BC331</f>
        <v>0</v>
      </c>
      <c r="F712" s="197">
        <f t="shared" ca="1" si="952"/>
        <v>0</v>
      </c>
      <c r="G712" s="193">
        <f t="shared" ca="1" si="953"/>
        <v>0</v>
      </c>
      <c r="I712" s="11"/>
    </row>
    <row r="713" spans="1:10" ht="21" hidden="1" customHeight="1" x14ac:dyDescent="0.3">
      <c r="B713" s="192">
        <v>73</v>
      </c>
      <c r="C713" s="247" t="s">
        <v>45</v>
      </c>
      <c r="D713" s="247"/>
      <c r="E713" s="193">
        <f>+AY416+BC416</f>
        <v>0</v>
      </c>
      <c r="F713" s="197">
        <f t="shared" ca="1" si="952"/>
        <v>0</v>
      </c>
      <c r="G713" s="193">
        <f t="shared" ca="1" si="953"/>
        <v>0</v>
      </c>
      <c r="I713" s="11"/>
    </row>
    <row r="714" spans="1:10" ht="21" hidden="1" customHeight="1" x14ac:dyDescent="0.3">
      <c r="B714" s="192">
        <v>74</v>
      </c>
      <c r="C714" s="247" t="s">
        <v>804</v>
      </c>
      <c r="D714" s="247"/>
      <c r="E714" s="193">
        <f ca="1">+SUMIF(AX296:AY302,5%,AY296:AY302)+SUMIF(BB296:BC302,5%,BC296:BC302)+AY345+BC345</f>
        <v>0</v>
      </c>
      <c r="F714" s="197">
        <f t="shared" ca="1" si="952"/>
        <v>0</v>
      </c>
      <c r="G714" s="193">
        <f t="shared" ca="1" si="953"/>
        <v>0</v>
      </c>
      <c r="I714" s="11"/>
    </row>
    <row r="715" spans="1:10" ht="21" hidden="1" customHeight="1" x14ac:dyDescent="0.3">
      <c r="B715" s="192">
        <v>75</v>
      </c>
      <c r="C715" s="247" t="s">
        <v>805</v>
      </c>
      <c r="D715" s="247"/>
      <c r="E715" s="193">
        <f ca="1">+SUMIF(AX296:AY302,19%,AY296:AY302)+SUMIF(BB296:BC302,19%,BC296:BC302)+AY359+BC359</f>
        <v>0</v>
      </c>
      <c r="F715" s="197">
        <f t="shared" ca="1" si="952"/>
        <v>0</v>
      </c>
      <c r="G715" s="193">
        <f t="shared" ca="1" si="953"/>
        <v>0</v>
      </c>
      <c r="I715" s="11"/>
    </row>
    <row r="716" spans="1:10" ht="21" hidden="1" customHeight="1" x14ac:dyDescent="0.3">
      <c r="B716" s="195"/>
      <c r="C716" s="248" t="s">
        <v>903</v>
      </c>
      <c r="D716" s="248"/>
      <c r="E716" s="194">
        <f ca="1">SUM(E708:E715)</f>
        <v>0</v>
      </c>
      <c r="F716" s="197"/>
      <c r="G716" s="194">
        <f ca="1">SUM(G708:G715)</f>
        <v>0</v>
      </c>
      <c r="I716" s="11"/>
    </row>
    <row r="717" spans="1:10" hidden="1" x14ac:dyDescent="0.3"/>
    <row r="718" spans="1:10" ht="36" hidden="1" customHeight="1" x14ac:dyDescent="0.3">
      <c r="A718" s="11"/>
      <c r="B718" s="254" t="s">
        <v>943</v>
      </c>
      <c r="C718" s="254"/>
      <c r="D718" s="254"/>
      <c r="E718" s="254"/>
      <c r="F718" s="254"/>
      <c r="G718" s="254"/>
      <c r="H718" s="254"/>
      <c r="I718" s="254"/>
      <c r="J718" s="254"/>
    </row>
    <row r="719" spans="1:10" hidden="1" x14ac:dyDescent="0.3"/>
    <row r="720" spans="1:10" ht="36" hidden="1" customHeight="1" x14ac:dyDescent="0.3">
      <c r="A720" s="11"/>
      <c r="B720" s="249" t="s">
        <v>944</v>
      </c>
      <c r="C720" s="249"/>
      <c r="D720" s="249"/>
      <c r="E720" s="249"/>
      <c r="F720" s="249"/>
      <c r="G720" s="249"/>
      <c r="H720" s="249"/>
      <c r="I720" s="249"/>
      <c r="J720" s="249"/>
    </row>
    <row r="721" spans="2:9" hidden="1" x14ac:dyDescent="0.3"/>
    <row r="722" spans="2:9" ht="21" hidden="1" customHeight="1" x14ac:dyDescent="0.3">
      <c r="B722" s="248" t="s">
        <v>956</v>
      </c>
      <c r="C722" s="248"/>
      <c r="D722" s="175" t="s">
        <v>835</v>
      </c>
      <c r="E722" s="11"/>
    </row>
    <row r="723" spans="2:9" ht="21" hidden="1" customHeight="1" x14ac:dyDescent="0.3"/>
    <row r="724" spans="2:9" s="187" customFormat="1" ht="56.25" hidden="1" x14ac:dyDescent="0.25">
      <c r="B724" s="189" t="s">
        <v>887</v>
      </c>
      <c r="C724" s="250" t="s">
        <v>896</v>
      </c>
      <c r="D724" s="250"/>
      <c r="E724" s="190" t="s">
        <v>848</v>
      </c>
      <c r="F724" s="191" t="s">
        <v>778</v>
      </c>
      <c r="G724" s="190" t="s">
        <v>901</v>
      </c>
      <c r="H724" s="198"/>
    </row>
    <row r="725" spans="2:9" ht="21" hidden="1" customHeight="1" x14ac:dyDescent="0.3">
      <c r="B725" s="192">
        <v>27</v>
      </c>
      <c r="C725" s="247" t="s">
        <v>761</v>
      </c>
      <c r="D725" s="247"/>
      <c r="E725" s="193">
        <f>+I30+M30+Q30+U30</f>
        <v>0</v>
      </c>
      <c r="F725" s="193">
        <f t="shared" ref="F725:F738" ca="1" si="954">+SUMIF($F$212:$BG$219,C483,$I$212:$I$219)+SUMIF($F$212:$BG$219,C483,$M$212:$M$219)+SUMIF($F$212:$BG$219,C523,$Q$212:$Q$219)+SUMIF($F$212:$BG$219,C523,$U$212:$U$219)</f>
        <v>0</v>
      </c>
      <c r="G725" s="194">
        <f ca="1">+E725-F725</f>
        <v>0</v>
      </c>
      <c r="H725" s="198"/>
      <c r="I725" s="187"/>
    </row>
    <row r="726" spans="2:9" ht="21" hidden="1" customHeight="1" x14ac:dyDescent="0.3">
      <c r="B726" s="192">
        <v>28</v>
      </c>
      <c r="C726" s="247" t="s">
        <v>762</v>
      </c>
      <c r="D726" s="247"/>
      <c r="E726" s="193">
        <f>+I44+M44+Q44+U44</f>
        <v>0</v>
      </c>
      <c r="F726" s="193">
        <f t="shared" ca="1" si="954"/>
        <v>0</v>
      </c>
      <c r="G726" s="194">
        <f t="shared" ref="G726:G739" ca="1" si="955">+E726-F726</f>
        <v>0</v>
      </c>
      <c r="H726" s="198"/>
      <c r="I726" s="187"/>
    </row>
    <row r="727" spans="2:9" ht="21" hidden="1" customHeight="1" x14ac:dyDescent="0.3">
      <c r="B727" s="192">
        <v>29</v>
      </c>
      <c r="C727" s="247" t="s">
        <v>763</v>
      </c>
      <c r="D727" s="247"/>
      <c r="E727" s="193">
        <f>+I58+M58+Q58+U58</f>
        <v>0</v>
      </c>
      <c r="F727" s="193">
        <f t="shared" ca="1" si="954"/>
        <v>0</v>
      </c>
      <c r="G727" s="194">
        <f t="shared" ca="1" si="955"/>
        <v>0</v>
      </c>
      <c r="H727" s="198"/>
      <c r="I727" s="187"/>
    </row>
    <row r="728" spans="2:9" ht="21" hidden="1" customHeight="1" x14ac:dyDescent="0.3">
      <c r="B728" s="192">
        <v>30</v>
      </c>
      <c r="C728" s="247" t="s">
        <v>766</v>
      </c>
      <c r="D728" s="247"/>
      <c r="E728" s="193">
        <f>+I71+M71+Q71+U71</f>
        <v>0</v>
      </c>
      <c r="F728" s="193">
        <f t="shared" ca="1" si="954"/>
        <v>0</v>
      </c>
      <c r="G728" s="194">
        <f t="shared" ca="1" si="955"/>
        <v>0</v>
      </c>
      <c r="H728" s="198"/>
      <c r="I728" s="187"/>
    </row>
    <row r="729" spans="2:9" ht="21" hidden="1" customHeight="1" x14ac:dyDescent="0.3">
      <c r="B729" s="192">
        <v>31</v>
      </c>
      <c r="C729" s="247" t="s">
        <v>767</v>
      </c>
      <c r="D729" s="247"/>
      <c r="E729" s="193">
        <f>+I84+M84+Q84+U84</f>
        <v>0</v>
      </c>
      <c r="F729" s="193">
        <f t="shared" ca="1" si="954"/>
        <v>0</v>
      </c>
      <c r="G729" s="194">
        <f t="shared" ca="1" si="955"/>
        <v>0</v>
      </c>
      <c r="H729" s="198"/>
      <c r="I729" s="187"/>
    </row>
    <row r="730" spans="2:9" ht="21" hidden="1" customHeight="1" x14ac:dyDescent="0.3">
      <c r="B730" s="192">
        <v>32</v>
      </c>
      <c r="C730" s="247" t="s">
        <v>768</v>
      </c>
      <c r="D730" s="247"/>
      <c r="E730" s="193">
        <f>+I97+M97+Q97+U97</f>
        <v>0</v>
      </c>
      <c r="F730" s="193">
        <f t="shared" ca="1" si="954"/>
        <v>0</v>
      </c>
      <c r="G730" s="194">
        <f t="shared" ca="1" si="955"/>
        <v>0</v>
      </c>
      <c r="H730" s="198"/>
      <c r="I730" s="187"/>
    </row>
    <row r="731" spans="2:9" ht="21" hidden="1" customHeight="1" x14ac:dyDescent="0.3">
      <c r="B731" s="192">
        <v>33</v>
      </c>
      <c r="C731" s="247" t="s">
        <v>769</v>
      </c>
      <c r="D731" s="247"/>
      <c r="E731" s="193">
        <f>+I110+M110+Q110+U110</f>
        <v>0</v>
      </c>
      <c r="F731" s="193">
        <f t="shared" ca="1" si="954"/>
        <v>0</v>
      </c>
      <c r="G731" s="194">
        <f t="shared" ca="1" si="955"/>
        <v>0</v>
      </c>
      <c r="H731" s="198"/>
      <c r="I731" s="187"/>
    </row>
    <row r="732" spans="2:9" ht="21" hidden="1" customHeight="1" x14ac:dyDescent="0.3">
      <c r="B732" s="192">
        <v>34</v>
      </c>
      <c r="C732" s="247" t="s">
        <v>772</v>
      </c>
      <c r="D732" s="247"/>
      <c r="E732" s="193">
        <f>+I124+M124+Q124+U124</f>
        <v>0</v>
      </c>
      <c r="F732" s="193">
        <f t="shared" ca="1" si="954"/>
        <v>0</v>
      </c>
      <c r="G732" s="194">
        <f t="shared" ca="1" si="955"/>
        <v>0</v>
      </c>
      <c r="H732" s="198"/>
      <c r="I732" s="187"/>
    </row>
    <row r="733" spans="2:9" ht="21" hidden="1" customHeight="1" x14ac:dyDescent="0.3">
      <c r="B733" s="192">
        <v>35</v>
      </c>
      <c r="C733" s="247" t="s">
        <v>773</v>
      </c>
      <c r="D733" s="247"/>
      <c r="E733" s="193">
        <f>+I137+M137+Q137+U137</f>
        <v>0</v>
      </c>
      <c r="F733" s="193">
        <f t="shared" ca="1" si="954"/>
        <v>0</v>
      </c>
      <c r="G733" s="194">
        <f t="shared" ca="1" si="955"/>
        <v>0</v>
      </c>
      <c r="H733" s="198"/>
      <c r="I733" s="187"/>
    </row>
    <row r="734" spans="2:9" ht="21" hidden="1" customHeight="1" x14ac:dyDescent="0.3">
      <c r="B734" s="192">
        <v>36</v>
      </c>
      <c r="C734" s="247" t="s">
        <v>821</v>
      </c>
      <c r="D734" s="247"/>
      <c r="E734" s="193">
        <f>+I151+M151+Q151+U151</f>
        <v>0</v>
      </c>
      <c r="F734" s="193">
        <f t="shared" ca="1" si="954"/>
        <v>0</v>
      </c>
      <c r="G734" s="194">
        <f t="shared" ca="1" si="955"/>
        <v>0</v>
      </c>
      <c r="H734" s="198"/>
      <c r="I734" s="187"/>
    </row>
    <row r="735" spans="2:9" ht="21" hidden="1" customHeight="1" x14ac:dyDescent="0.3">
      <c r="B735" s="192">
        <v>37</v>
      </c>
      <c r="C735" s="247" t="s">
        <v>774</v>
      </c>
      <c r="D735" s="247"/>
      <c r="E735" s="193">
        <f>+I165+M165+Q165+U165</f>
        <v>0</v>
      </c>
      <c r="F735" s="193">
        <f t="shared" ca="1" si="954"/>
        <v>0</v>
      </c>
      <c r="G735" s="194">
        <f t="shared" ca="1" si="955"/>
        <v>0</v>
      </c>
      <c r="H735" s="198"/>
      <c r="I735" s="187"/>
    </row>
    <row r="736" spans="2:9" ht="21" hidden="1" customHeight="1" x14ac:dyDescent="0.3">
      <c r="B736" s="192">
        <v>38</v>
      </c>
      <c r="C736" s="247" t="s">
        <v>775</v>
      </c>
      <c r="D736" s="247"/>
      <c r="E736" s="193">
        <f>+I179+M179+Q179+U179</f>
        <v>0</v>
      </c>
      <c r="F736" s="193">
        <f t="shared" ca="1" si="954"/>
        <v>0</v>
      </c>
      <c r="G736" s="194">
        <f t="shared" ca="1" si="955"/>
        <v>0</v>
      </c>
      <c r="H736" s="198"/>
      <c r="I736" s="187"/>
    </row>
    <row r="737" spans="2:9" ht="21" hidden="1" customHeight="1" x14ac:dyDescent="0.3">
      <c r="B737" s="192">
        <v>39</v>
      </c>
      <c r="C737" s="247" t="s">
        <v>776</v>
      </c>
      <c r="D737" s="247"/>
      <c r="E737" s="193">
        <f>+I192+M192+Q192+U192</f>
        <v>0</v>
      </c>
      <c r="F737" s="193">
        <f t="shared" ca="1" si="954"/>
        <v>0</v>
      </c>
      <c r="G737" s="194">
        <f t="shared" ca="1" si="955"/>
        <v>0</v>
      </c>
      <c r="H737" s="198"/>
      <c r="I737" s="187"/>
    </row>
    <row r="738" spans="2:9" ht="21" hidden="1" customHeight="1" x14ac:dyDescent="0.3">
      <c r="B738" s="192">
        <v>40</v>
      </c>
      <c r="C738" s="247" t="s">
        <v>777</v>
      </c>
      <c r="D738" s="247"/>
      <c r="E738" s="193">
        <f>+I205+M205+Q205+U205</f>
        <v>0</v>
      </c>
      <c r="F738" s="193">
        <f t="shared" ca="1" si="954"/>
        <v>0</v>
      </c>
      <c r="G738" s="194">
        <f t="shared" ca="1" si="955"/>
        <v>0</v>
      </c>
      <c r="H738" s="198"/>
      <c r="I738" s="187"/>
    </row>
    <row r="739" spans="2:9" s="186" customFormat="1" ht="21" hidden="1" customHeight="1" x14ac:dyDescent="0.3">
      <c r="B739" s="195"/>
      <c r="C739" s="248" t="s">
        <v>903</v>
      </c>
      <c r="D739" s="248"/>
      <c r="E739" s="194">
        <f>SUM(E725:E738)</f>
        <v>0</v>
      </c>
      <c r="F739" s="194">
        <f ca="1">SUM(F725:F738)</f>
        <v>0</v>
      </c>
      <c r="G739" s="194">
        <f t="shared" ca="1" si="955"/>
        <v>0</v>
      </c>
      <c r="H739" s="198"/>
      <c r="I739" s="187"/>
    </row>
    <row r="740" spans="2:9" ht="21" hidden="1" customHeight="1" x14ac:dyDescent="0.3"/>
    <row r="741" spans="2:9" s="20" customFormat="1" ht="21" hidden="1" customHeight="1" x14ac:dyDescent="0.25">
      <c r="C741" s="250" t="s">
        <v>905</v>
      </c>
      <c r="D741" s="250"/>
      <c r="E741" s="190" t="s">
        <v>912</v>
      </c>
      <c r="F741" s="190" t="s">
        <v>902</v>
      </c>
    </row>
    <row r="742" spans="2:9" ht="21" hidden="1" customHeight="1" x14ac:dyDescent="0.3">
      <c r="C742" s="247" t="s">
        <v>906</v>
      </c>
      <c r="D742" s="247"/>
      <c r="E742" s="193">
        <f ca="1">+G725+G726+G727+G732+G734+G735+G736</f>
        <v>0</v>
      </c>
      <c r="F742" s="196">
        <f ca="1">+IF((E742&gt;0),(E742/$E$746),0)</f>
        <v>0</v>
      </c>
    </row>
    <row r="743" spans="2:9" ht="21" hidden="1" customHeight="1" x14ac:dyDescent="0.3">
      <c r="C743" s="247" t="s">
        <v>907</v>
      </c>
      <c r="D743" s="247"/>
      <c r="E743" s="193">
        <f ca="1">+G737</f>
        <v>0</v>
      </c>
      <c r="F743" s="196">
        <f t="shared" ref="F743:F745" ca="1" si="956">+IF((E743&gt;0),(E743/$E$746),0)</f>
        <v>0</v>
      </c>
    </row>
    <row r="744" spans="2:9" ht="21" hidden="1" customHeight="1" x14ac:dyDescent="0.3">
      <c r="C744" s="247" t="s">
        <v>908</v>
      </c>
      <c r="D744" s="247"/>
      <c r="E744" s="193">
        <f ca="1">+G728+G729+G730+G731+G733</f>
        <v>0</v>
      </c>
      <c r="F744" s="196">
        <f t="shared" ca="1" si="956"/>
        <v>0</v>
      </c>
    </row>
    <row r="745" spans="2:9" ht="21" hidden="1" customHeight="1" x14ac:dyDescent="0.3">
      <c r="C745" s="247" t="s">
        <v>909</v>
      </c>
      <c r="D745" s="247"/>
      <c r="E745" s="193">
        <v>0</v>
      </c>
      <c r="F745" s="196">
        <f t="shared" si="956"/>
        <v>0</v>
      </c>
    </row>
    <row r="746" spans="2:9" ht="21" hidden="1" customHeight="1" x14ac:dyDescent="0.3">
      <c r="C746" s="248" t="s">
        <v>913</v>
      </c>
      <c r="D746" s="248"/>
      <c r="E746" s="194">
        <f ca="1">SUM(E742:E745)</f>
        <v>0</v>
      </c>
      <c r="F746" s="193"/>
    </row>
    <row r="747" spans="2:9" ht="21" hidden="1" customHeight="1" x14ac:dyDescent="0.3"/>
    <row r="748" spans="2:9" s="187" customFormat="1" ht="37.5" hidden="1" x14ac:dyDescent="0.25">
      <c r="B748" s="189" t="s">
        <v>887</v>
      </c>
      <c r="C748" s="250" t="s">
        <v>904</v>
      </c>
      <c r="D748" s="250"/>
      <c r="E748" s="191" t="s">
        <v>915</v>
      </c>
      <c r="F748" s="190" t="s">
        <v>902</v>
      </c>
      <c r="G748" s="190" t="s">
        <v>914</v>
      </c>
      <c r="H748" s="198"/>
      <c r="I748" s="198"/>
    </row>
    <row r="749" spans="2:9" ht="21" hidden="1" customHeight="1" x14ac:dyDescent="0.3">
      <c r="B749" s="192">
        <v>66</v>
      </c>
      <c r="C749" s="247" t="s">
        <v>929</v>
      </c>
      <c r="D749" s="247"/>
      <c r="E749" s="193">
        <f>+K386+O386+S386+W386</f>
        <v>0</v>
      </c>
      <c r="F749" s="197">
        <f ca="1">+$F$743</f>
        <v>0</v>
      </c>
      <c r="G749" s="193">
        <f ca="1">+E749*F749</f>
        <v>0</v>
      </c>
      <c r="H749" s="11"/>
      <c r="I749" s="11"/>
    </row>
    <row r="750" spans="2:9" ht="21" hidden="1" customHeight="1" x14ac:dyDescent="0.3">
      <c r="B750" s="192">
        <v>68</v>
      </c>
      <c r="C750" s="247" t="s">
        <v>800</v>
      </c>
      <c r="D750" s="247"/>
      <c r="E750" s="193">
        <f>+K235+O235+S235+W235</f>
        <v>0</v>
      </c>
      <c r="F750" s="197">
        <f t="shared" ref="F750:F757" ca="1" si="957">+$F$743</f>
        <v>0</v>
      </c>
      <c r="G750" s="193">
        <f ca="1">+E750*F750</f>
        <v>0</v>
      </c>
      <c r="H750" s="11"/>
      <c r="I750" s="11"/>
    </row>
    <row r="751" spans="2:9" ht="21" hidden="1" customHeight="1" x14ac:dyDescent="0.3">
      <c r="B751" s="192">
        <v>69</v>
      </c>
      <c r="C751" s="247" t="s">
        <v>801</v>
      </c>
      <c r="D751" s="247"/>
      <c r="E751" s="193">
        <f>+K249+O249+S249+W249</f>
        <v>0</v>
      </c>
      <c r="F751" s="197">
        <f t="shared" ca="1" si="957"/>
        <v>0</v>
      </c>
      <c r="G751" s="193">
        <f t="shared" ref="G751:G757" ca="1" si="958">+E751*F751</f>
        <v>0</v>
      </c>
      <c r="H751" s="11"/>
      <c r="I751" s="11"/>
    </row>
    <row r="752" spans="2:9" ht="21" hidden="1" customHeight="1" x14ac:dyDescent="0.3">
      <c r="B752" s="192">
        <v>70</v>
      </c>
      <c r="C752" s="247" t="s">
        <v>783</v>
      </c>
      <c r="D752" s="247"/>
      <c r="E752" s="193">
        <f>+K263+O263+S263+W263</f>
        <v>0</v>
      </c>
      <c r="F752" s="197">
        <f t="shared" ca="1" si="957"/>
        <v>0</v>
      </c>
      <c r="G752" s="193">
        <f t="shared" ca="1" si="958"/>
        <v>0</v>
      </c>
      <c r="H752" s="11"/>
      <c r="I752" s="11"/>
    </row>
    <row r="753" spans="1:10" ht="21" hidden="1" customHeight="1" x14ac:dyDescent="0.3">
      <c r="B753" s="192">
        <v>71</v>
      </c>
      <c r="C753" s="247" t="s">
        <v>802</v>
      </c>
      <c r="D753" s="247"/>
      <c r="E753" s="193">
        <f>+K317+O317+S317+W317</f>
        <v>0</v>
      </c>
      <c r="F753" s="197">
        <f t="shared" ca="1" si="957"/>
        <v>0</v>
      </c>
      <c r="G753" s="193">
        <f t="shared" ca="1" si="958"/>
        <v>0</v>
      </c>
      <c r="H753" s="11"/>
      <c r="I753" s="11"/>
    </row>
    <row r="754" spans="1:10" ht="21" hidden="1" customHeight="1" x14ac:dyDescent="0.3">
      <c r="B754" s="192">
        <v>72</v>
      </c>
      <c r="C754" s="247" t="s">
        <v>803</v>
      </c>
      <c r="D754" s="247"/>
      <c r="E754" s="193">
        <f>+K331+O331+S331+W331</f>
        <v>0</v>
      </c>
      <c r="F754" s="197">
        <f t="shared" ca="1" si="957"/>
        <v>0</v>
      </c>
      <c r="G754" s="193">
        <f t="shared" ca="1" si="958"/>
        <v>0</v>
      </c>
      <c r="H754" s="11"/>
      <c r="I754" s="11"/>
    </row>
    <row r="755" spans="1:10" ht="21" hidden="1" customHeight="1" x14ac:dyDescent="0.3">
      <c r="B755" s="192">
        <v>73</v>
      </c>
      <c r="C755" s="247" t="s">
        <v>45</v>
      </c>
      <c r="D755" s="247"/>
      <c r="E755" s="193">
        <f>+K416+O416+S416+W416</f>
        <v>0</v>
      </c>
      <c r="F755" s="197">
        <f t="shared" ca="1" si="957"/>
        <v>0</v>
      </c>
      <c r="G755" s="193">
        <f t="shared" ca="1" si="958"/>
        <v>0</v>
      </c>
      <c r="H755" s="11"/>
      <c r="I755" s="11"/>
    </row>
    <row r="756" spans="1:10" ht="21" hidden="1" customHeight="1" x14ac:dyDescent="0.3">
      <c r="B756" s="192">
        <v>74</v>
      </c>
      <c r="C756" s="247" t="s">
        <v>804</v>
      </c>
      <c r="D756" s="247"/>
      <c r="E756" s="193">
        <f ca="1">+SUMIF(J296:K302,5%,K296:K302)+SUMIF(N296:O302,5%,O296:O302)+K345+O345
+SUMIF(R296:S302,5%,S296:S302)+SUMIF(V296:W302,5%,W296:W302)+S345+W345</f>
        <v>0</v>
      </c>
      <c r="F756" s="197">
        <f t="shared" ca="1" si="957"/>
        <v>0</v>
      </c>
      <c r="G756" s="193">
        <f t="shared" ca="1" si="958"/>
        <v>0</v>
      </c>
      <c r="H756" s="11"/>
      <c r="I756" s="11"/>
    </row>
    <row r="757" spans="1:10" ht="21" hidden="1" customHeight="1" x14ac:dyDescent="0.3">
      <c r="B757" s="192">
        <v>75</v>
      </c>
      <c r="C757" s="247" t="s">
        <v>805</v>
      </c>
      <c r="D757" s="247"/>
      <c r="E757" s="193">
        <f ca="1">+SUMIF(J296:K302,19%,K296:K302)+SUMIF(N296:O302,19%,O296:O302)+K359+O359
+SUMIF(R296:S302,19%,S296:S302)+SUMIF(V296:W302,19%,W296:W302)+S359+W359</f>
        <v>0</v>
      </c>
      <c r="F757" s="197">
        <f t="shared" ca="1" si="957"/>
        <v>0</v>
      </c>
      <c r="G757" s="193">
        <f t="shared" ca="1" si="958"/>
        <v>0</v>
      </c>
      <c r="H757" s="11"/>
      <c r="I757" s="11"/>
    </row>
    <row r="758" spans="1:10" ht="21" hidden="1" customHeight="1" x14ac:dyDescent="0.3">
      <c r="B758" s="195"/>
      <c r="C758" s="248" t="s">
        <v>903</v>
      </c>
      <c r="D758" s="248"/>
      <c r="E758" s="194">
        <f ca="1">SUM(E750:E757)</f>
        <v>0</v>
      </c>
      <c r="F758" s="197"/>
      <c r="G758" s="194">
        <f ca="1">SUM(G750:G757)</f>
        <v>0</v>
      </c>
      <c r="H758" s="11"/>
      <c r="I758" s="11"/>
    </row>
    <row r="759" spans="1:10" hidden="1" x14ac:dyDescent="0.3"/>
    <row r="760" spans="1:10" ht="36" hidden="1" customHeight="1" x14ac:dyDescent="0.3">
      <c r="A760" s="11"/>
      <c r="B760" s="249" t="s">
        <v>957</v>
      </c>
      <c r="C760" s="249"/>
      <c r="D760" s="249"/>
      <c r="E760" s="249"/>
      <c r="F760" s="249"/>
      <c r="G760" s="249"/>
      <c r="H760" s="249"/>
      <c r="I760" s="249"/>
      <c r="J760" s="249"/>
    </row>
    <row r="761" spans="1:10" hidden="1" x14ac:dyDescent="0.3"/>
    <row r="762" spans="1:10" ht="21" hidden="1" customHeight="1" x14ac:dyDescent="0.3">
      <c r="B762" s="248" t="s">
        <v>958</v>
      </c>
      <c r="C762" s="248"/>
      <c r="D762" s="175" t="s">
        <v>835</v>
      </c>
      <c r="E762" s="11"/>
    </row>
    <row r="763" spans="1:10" ht="21" hidden="1" customHeight="1" x14ac:dyDescent="0.3"/>
    <row r="764" spans="1:10" s="187" customFormat="1" ht="56.25" hidden="1" x14ac:dyDescent="0.25">
      <c r="B764" s="189" t="s">
        <v>887</v>
      </c>
      <c r="C764" s="250" t="s">
        <v>896</v>
      </c>
      <c r="D764" s="250"/>
      <c r="E764" s="190" t="s">
        <v>848</v>
      </c>
      <c r="F764" s="191" t="s">
        <v>778</v>
      </c>
      <c r="G764" s="190" t="s">
        <v>901</v>
      </c>
      <c r="H764" s="198"/>
    </row>
    <row r="765" spans="1:10" ht="21" hidden="1" customHeight="1" x14ac:dyDescent="0.3">
      <c r="B765" s="192">
        <v>27</v>
      </c>
      <c r="C765" s="247" t="s">
        <v>761</v>
      </c>
      <c r="D765" s="247"/>
      <c r="E765" s="193">
        <f>+Y30+AC30+AG30+AK30</f>
        <v>0</v>
      </c>
      <c r="F765" s="193">
        <f t="shared" ref="F765:F778" ca="1" si="959">+SUMIF($F$212:$BG$219,C563,$Y$212:$Y$219)+SUMIF($F$212:$BG$219,C563,$AC$212:$AC$219)+SUMIF($F$212:$BG$219,C603,$AG$212:$AG$219)+SUMIF($F$212:$BG$219,C603,$AK$212:$AK$219)</f>
        <v>0</v>
      </c>
      <c r="G765" s="194">
        <f ca="1">+E765-F765</f>
        <v>0</v>
      </c>
      <c r="H765" s="198"/>
      <c r="I765" s="187"/>
    </row>
    <row r="766" spans="1:10" ht="21" hidden="1" customHeight="1" x14ac:dyDescent="0.3">
      <c r="B766" s="192">
        <v>28</v>
      </c>
      <c r="C766" s="247" t="s">
        <v>762</v>
      </c>
      <c r="D766" s="247"/>
      <c r="E766" s="193">
        <f>+Y44+AC44+AG44+AK44</f>
        <v>0</v>
      </c>
      <c r="F766" s="193">
        <f t="shared" ca="1" si="959"/>
        <v>0</v>
      </c>
      <c r="G766" s="194">
        <f t="shared" ref="G766:G779" ca="1" si="960">+E766-F766</f>
        <v>0</v>
      </c>
      <c r="H766" s="198"/>
      <c r="I766" s="187"/>
    </row>
    <row r="767" spans="1:10" ht="21" hidden="1" customHeight="1" x14ac:dyDescent="0.3">
      <c r="B767" s="192">
        <v>29</v>
      </c>
      <c r="C767" s="247" t="s">
        <v>763</v>
      </c>
      <c r="D767" s="247"/>
      <c r="E767" s="193">
        <f>+Y58+AC58+AG58+AK58</f>
        <v>0</v>
      </c>
      <c r="F767" s="193">
        <f t="shared" ca="1" si="959"/>
        <v>0</v>
      </c>
      <c r="G767" s="194">
        <f t="shared" ca="1" si="960"/>
        <v>0</v>
      </c>
      <c r="H767" s="198"/>
      <c r="I767" s="187"/>
    </row>
    <row r="768" spans="1:10" ht="21" hidden="1" customHeight="1" x14ac:dyDescent="0.3">
      <c r="B768" s="192">
        <v>30</v>
      </c>
      <c r="C768" s="247" t="s">
        <v>766</v>
      </c>
      <c r="D768" s="247"/>
      <c r="E768" s="193">
        <f>+Y71+AC71+AG71+AK71</f>
        <v>0</v>
      </c>
      <c r="F768" s="193">
        <f t="shared" ca="1" si="959"/>
        <v>0</v>
      </c>
      <c r="G768" s="194">
        <f t="shared" ca="1" si="960"/>
        <v>0</v>
      </c>
      <c r="H768" s="198"/>
      <c r="I768" s="187"/>
    </row>
    <row r="769" spans="2:9" ht="21" hidden="1" customHeight="1" x14ac:dyDescent="0.3">
      <c r="B769" s="192">
        <v>31</v>
      </c>
      <c r="C769" s="247" t="s">
        <v>767</v>
      </c>
      <c r="D769" s="247"/>
      <c r="E769" s="193">
        <f>+Y84+AC84+AG84+AK84</f>
        <v>0</v>
      </c>
      <c r="F769" s="193">
        <f t="shared" ca="1" si="959"/>
        <v>0</v>
      </c>
      <c r="G769" s="194">
        <f t="shared" ca="1" si="960"/>
        <v>0</v>
      </c>
      <c r="H769" s="198"/>
      <c r="I769" s="187"/>
    </row>
    <row r="770" spans="2:9" ht="21" hidden="1" customHeight="1" x14ac:dyDescent="0.3">
      <c r="B770" s="192">
        <v>32</v>
      </c>
      <c r="C770" s="247" t="s">
        <v>768</v>
      </c>
      <c r="D770" s="247"/>
      <c r="E770" s="193">
        <f>+Y97+AC97+AG97+AK97</f>
        <v>0</v>
      </c>
      <c r="F770" s="193">
        <f t="shared" ca="1" si="959"/>
        <v>0</v>
      </c>
      <c r="G770" s="194">
        <f t="shared" ca="1" si="960"/>
        <v>0</v>
      </c>
      <c r="H770" s="198"/>
      <c r="I770" s="187"/>
    </row>
    <row r="771" spans="2:9" ht="21" hidden="1" customHeight="1" x14ac:dyDescent="0.3">
      <c r="B771" s="192">
        <v>33</v>
      </c>
      <c r="C771" s="247" t="s">
        <v>769</v>
      </c>
      <c r="D771" s="247"/>
      <c r="E771" s="193">
        <f>+Y110+AC110+AG110+AK110</f>
        <v>0</v>
      </c>
      <c r="F771" s="193">
        <f t="shared" ca="1" si="959"/>
        <v>0</v>
      </c>
      <c r="G771" s="194">
        <f t="shared" ca="1" si="960"/>
        <v>0</v>
      </c>
      <c r="H771" s="198"/>
      <c r="I771" s="187"/>
    </row>
    <row r="772" spans="2:9" ht="21" hidden="1" customHeight="1" x14ac:dyDescent="0.3">
      <c r="B772" s="192">
        <v>34</v>
      </c>
      <c r="C772" s="247" t="s">
        <v>772</v>
      </c>
      <c r="D772" s="247"/>
      <c r="E772" s="193">
        <f>+Y124+AC124+AG124+AK124</f>
        <v>0</v>
      </c>
      <c r="F772" s="193">
        <f t="shared" ca="1" si="959"/>
        <v>0</v>
      </c>
      <c r="G772" s="194">
        <f t="shared" ca="1" si="960"/>
        <v>0</v>
      </c>
      <c r="H772" s="198"/>
      <c r="I772" s="187"/>
    </row>
    <row r="773" spans="2:9" ht="21" hidden="1" customHeight="1" x14ac:dyDescent="0.3">
      <c r="B773" s="192">
        <v>35</v>
      </c>
      <c r="C773" s="247" t="s">
        <v>773</v>
      </c>
      <c r="D773" s="247"/>
      <c r="E773" s="193">
        <f>+Y137+AC137+AG137+AK137</f>
        <v>0</v>
      </c>
      <c r="F773" s="193">
        <f t="shared" ca="1" si="959"/>
        <v>0</v>
      </c>
      <c r="G773" s="194">
        <f t="shared" ca="1" si="960"/>
        <v>0</v>
      </c>
      <c r="H773" s="198"/>
      <c r="I773" s="187"/>
    </row>
    <row r="774" spans="2:9" ht="21" hidden="1" customHeight="1" x14ac:dyDescent="0.3">
      <c r="B774" s="192">
        <v>36</v>
      </c>
      <c r="C774" s="247" t="s">
        <v>821</v>
      </c>
      <c r="D774" s="247"/>
      <c r="E774" s="193">
        <f>+Y151+AC151+AG151+AK151</f>
        <v>0</v>
      </c>
      <c r="F774" s="193">
        <f t="shared" ca="1" si="959"/>
        <v>0</v>
      </c>
      <c r="G774" s="194">
        <f t="shared" ca="1" si="960"/>
        <v>0</v>
      </c>
      <c r="H774" s="198"/>
      <c r="I774" s="187"/>
    </row>
    <row r="775" spans="2:9" ht="21" hidden="1" customHeight="1" x14ac:dyDescent="0.3">
      <c r="B775" s="192">
        <v>37</v>
      </c>
      <c r="C775" s="247" t="s">
        <v>774</v>
      </c>
      <c r="D775" s="247"/>
      <c r="E775" s="193">
        <f>+Y165+AC165+AG165+AK165</f>
        <v>0</v>
      </c>
      <c r="F775" s="193">
        <f t="shared" ca="1" si="959"/>
        <v>0</v>
      </c>
      <c r="G775" s="194">
        <f t="shared" ca="1" si="960"/>
        <v>0</v>
      </c>
      <c r="H775" s="198"/>
      <c r="I775" s="187"/>
    </row>
    <row r="776" spans="2:9" ht="21" hidden="1" customHeight="1" x14ac:dyDescent="0.3">
      <c r="B776" s="192">
        <v>38</v>
      </c>
      <c r="C776" s="247" t="s">
        <v>775</v>
      </c>
      <c r="D776" s="247"/>
      <c r="E776" s="193">
        <f>+Y179+AC179+AG179+AK179</f>
        <v>0</v>
      </c>
      <c r="F776" s="193">
        <f t="shared" ca="1" si="959"/>
        <v>0</v>
      </c>
      <c r="G776" s="194">
        <f t="shared" ca="1" si="960"/>
        <v>0</v>
      </c>
      <c r="H776" s="198"/>
      <c r="I776" s="187"/>
    </row>
    <row r="777" spans="2:9" ht="21" hidden="1" customHeight="1" x14ac:dyDescent="0.3">
      <c r="B777" s="192">
        <v>39</v>
      </c>
      <c r="C777" s="247" t="s">
        <v>776</v>
      </c>
      <c r="D777" s="247"/>
      <c r="E777" s="193">
        <f>+Y192+AC192+AG192+AK192</f>
        <v>0</v>
      </c>
      <c r="F777" s="193">
        <f t="shared" ca="1" si="959"/>
        <v>0</v>
      </c>
      <c r="G777" s="194">
        <f t="shared" ca="1" si="960"/>
        <v>0</v>
      </c>
      <c r="H777" s="198"/>
      <c r="I777" s="187"/>
    </row>
    <row r="778" spans="2:9" ht="21" hidden="1" customHeight="1" x14ac:dyDescent="0.3">
      <c r="B778" s="192">
        <v>40</v>
      </c>
      <c r="C778" s="247" t="s">
        <v>777</v>
      </c>
      <c r="D778" s="247"/>
      <c r="E778" s="193">
        <f>+Y205+AC205+AG205+AK205</f>
        <v>0</v>
      </c>
      <c r="F778" s="193">
        <f t="shared" ca="1" si="959"/>
        <v>0</v>
      </c>
      <c r="G778" s="194">
        <f t="shared" ca="1" si="960"/>
        <v>0</v>
      </c>
      <c r="H778" s="198"/>
      <c r="I778" s="187"/>
    </row>
    <row r="779" spans="2:9" s="186" customFormat="1" ht="21" hidden="1" customHeight="1" x14ac:dyDescent="0.3">
      <c r="B779" s="195"/>
      <c r="C779" s="248" t="s">
        <v>903</v>
      </c>
      <c r="D779" s="248"/>
      <c r="E779" s="194">
        <f>SUM(E765:E778)</f>
        <v>0</v>
      </c>
      <c r="F779" s="194">
        <f ca="1">SUM(F765:F778)</f>
        <v>0</v>
      </c>
      <c r="G779" s="194">
        <f t="shared" ca="1" si="960"/>
        <v>0</v>
      </c>
      <c r="H779" s="198"/>
      <c r="I779" s="187"/>
    </row>
    <row r="780" spans="2:9" ht="21" hidden="1" customHeight="1" x14ac:dyDescent="0.3"/>
    <row r="781" spans="2:9" s="20" customFormat="1" ht="21" hidden="1" customHeight="1" x14ac:dyDescent="0.25">
      <c r="C781" s="250" t="s">
        <v>905</v>
      </c>
      <c r="D781" s="250"/>
      <c r="E781" s="190" t="s">
        <v>912</v>
      </c>
      <c r="F781" s="190" t="s">
        <v>902</v>
      </c>
    </row>
    <row r="782" spans="2:9" ht="21" hidden="1" customHeight="1" x14ac:dyDescent="0.3">
      <c r="C782" s="247" t="s">
        <v>906</v>
      </c>
      <c r="D782" s="247"/>
      <c r="E782" s="193">
        <f ca="1">+G765+G766+G767+G772+G774+G775+G776</f>
        <v>0</v>
      </c>
      <c r="F782" s="196">
        <f ca="1">+IF((E782&gt;0),(E782/$E$786),0)</f>
        <v>0</v>
      </c>
    </row>
    <row r="783" spans="2:9" ht="21" hidden="1" customHeight="1" x14ac:dyDescent="0.3">
      <c r="C783" s="247" t="s">
        <v>907</v>
      </c>
      <c r="D783" s="247"/>
      <c r="E783" s="193">
        <f ca="1">+G777</f>
        <v>0</v>
      </c>
      <c r="F783" s="196">
        <f t="shared" ref="F783:F785" ca="1" si="961">+IF((E783&gt;0),(E783/$E$786),0)</f>
        <v>0</v>
      </c>
    </row>
    <row r="784" spans="2:9" ht="21" hidden="1" customHeight="1" x14ac:dyDescent="0.3">
      <c r="C784" s="247" t="s">
        <v>908</v>
      </c>
      <c r="D784" s="247"/>
      <c r="E784" s="193">
        <f ca="1">+G768+G769+G770+G771+G773</f>
        <v>0</v>
      </c>
      <c r="F784" s="196">
        <f t="shared" ca="1" si="961"/>
        <v>0</v>
      </c>
    </row>
    <row r="785" spans="1:10" ht="21" hidden="1" customHeight="1" x14ac:dyDescent="0.3">
      <c r="C785" s="247" t="s">
        <v>909</v>
      </c>
      <c r="D785" s="247"/>
      <c r="E785" s="193">
        <v>0</v>
      </c>
      <c r="F785" s="196">
        <f t="shared" si="961"/>
        <v>0</v>
      </c>
    </row>
    <row r="786" spans="1:10" ht="21" hidden="1" customHeight="1" x14ac:dyDescent="0.3">
      <c r="C786" s="248" t="s">
        <v>913</v>
      </c>
      <c r="D786" s="248"/>
      <c r="E786" s="194">
        <f ca="1">SUM(E782:E785)</f>
        <v>0</v>
      </c>
      <c r="F786" s="193"/>
    </row>
    <row r="787" spans="1:10" ht="21" hidden="1" customHeight="1" x14ac:dyDescent="0.3"/>
    <row r="788" spans="1:10" s="187" customFormat="1" ht="37.5" hidden="1" x14ac:dyDescent="0.25">
      <c r="B788" s="189" t="s">
        <v>887</v>
      </c>
      <c r="C788" s="250" t="s">
        <v>904</v>
      </c>
      <c r="D788" s="250"/>
      <c r="E788" s="191" t="s">
        <v>915</v>
      </c>
      <c r="F788" s="190" t="s">
        <v>902</v>
      </c>
      <c r="G788" s="190" t="s">
        <v>914</v>
      </c>
      <c r="H788" s="198"/>
      <c r="I788" s="198"/>
    </row>
    <row r="789" spans="1:10" ht="21" hidden="1" customHeight="1" x14ac:dyDescent="0.3">
      <c r="B789" s="192">
        <v>66</v>
      </c>
      <c r="C789" s="247" t="s">
        <v>929</v>
      </c>
      <c r="D789" s="247"/>
      <c r="E789" s="193">
        <f>+AA386+AE386+AI386+AM386</f>
        <v>0</v>
      </c>
      <c r="F789" s="197">
        <f ca="1">+$F$783</f>
        <v>0</v>
      </c>
      <c r="G789" s="193">
        <f ca="1">+E789*F789</f>
        <v>0</v>
      </c>
      <c r="H789" s="11"/>
      <c r="I789" s="11"/>
    </row>
    <row r="790" spans="1:10" ht="21" hidden="1" customHeight="1" x14ac:dyDescent="0.3">
      <c r="B790" s="192">
        <v>68</v>
      </c>
      <c r="C790" s="247" t="s">
        <v>800</v>
      </c>
      <c r="D790" s="247"/>
      <c r="E790" s="193">
        <f>+AA235+AE235+AI235+AM235</f>
        <v>0</v>
      </c>
      <c r="F790" s="197">
        <f t="shared" ref="F790:F797" ca="1" si="962">+$F$783</f>
        <v>0</v>
      </c>
      <c r="G790" s="193">
        <f ca="1">+E790*F790</f>
        <v>0</v>
      </c>
      <c r="H790" s="11"/>
      <c r="I790" s="11"/>
    </row>
    <row r="791" spans="1:10" ht="21" hidden="1" customHeight="1" x14ac:dyDescent="0.3">
      <c r="B791" s="192">
        <v>69</v>
      </c>
      <c r="C791" s="247" t="s">
        <v>801</v>
      </c>
      <c r="D791" s="247"/>
      <c r="E791" s="193">
        <f>+AA249+AE249+AI249+AM249</f>
        <v>0</v>
      </c>
      <c r="F791" s="197">
        <f t="shared" ca="1" si="962"/>
        <v>0</v>
      </c>
      <c r="G791" s="193">
        <f t="shared" ref="G791:G797" ca="1" si="963">+E791*F791</f>
        <v>0</v>
      </c>
      <c r="H791" s="11"/>
      <c r="I791" s="11"/>
    </row>
    <row r="792" spans="1:10" ht="21" hidden="1" customHeight="1" x14ac:dyDescent="0.3">
      <c r="B792" s="192">
        <v>70</v>
      </c>
      <c r="C792" s="247" t="s">
        <v>783</v>
      </c>
      <c r="D792" s="247"/>
      <c r="E792" s="193">
        <f>+AA263+AE263+AI263+AM263</f>
        <v>0</v>
      </c>
      <c r="F792" s="197">
        <f t="shared" ca="1" si="962"/>
        <v>0</v>
      </c>
      <c r="G792" s="193">
        <f t="shared" ca="1" si="963"/>
        <v>0</v>
      </c>
      <c r="H792" s="11"/>
      <c r="I792" s="11"/>
    </row>
    <row r="793" spans="1:10" ht="21" hidden="1" customHeight="1" x14ac:dyDescent="0.3">
      <c r="B793" s="192">
        <v>71</v>
      </c>
      <c r="C793" s="247" t="s">
        <v>802</v>
      </c>
      <c r="D793" s="247"/>
      <c r="E793" s="193">
        <f>+AA317+AE317+AI317+AM317</f>
        <v>0</v>
      </c>
      <c r="F793" s="197">
        <f t="shared" ca="1" si="962"/>
        <v>0</v>
      </c>
      <c r="G793" s="193">
        <f t="shared" ca="1" si="963"/>
        <v>0</v>
      </c>
      <c r="H793" s="11"/>
      <c r="I793" s="11"/>
    </row>
    <row r="794" spans="1:10" ht="21" hidden="1" customHeight="1" x14ac:dyDescent="0.3">
      <c r="B794" s="192">
        <v>72</v>
      </c>
      <c r="C794" s="247" t="s">
        <v>803</v>
      </c>
      <c r="D794" s="247"/>
      <c r="E794" s="193">
        <f>+AA331+AE331+AI331+AM331</f>
        <v>0</v>
      </c>
      <c r="F794" s="197">
        <f t="shared" ca="1" si="962"/>
        <v>0</v>
      </c>
      <c r="G794" s="193">
        <f t="shared" ca="1" si="963"/>
        <v>0</v>
      </c>
      <c r="H794" s="11"/>
      <c r="I794" s="11"/>
    </row>
    <row r="795" spans="1:10" ht="21" hidden="1" customHeight="1" x14ac:dyDescent="0.3">
      <c r="B795" s="192">
        <v>73</v>
      </c>
      <c r="C795" s="247" t="s">
        <v>45</v>
      </c>
      <c r="D795" s="247"/>
      <c r="E795" s="193">
        <f>+AA416+AE416+AI416+AM416</f>
        <v>0</v>
      </c>
      <c r="F795" s="197">
        <f t="shared" ca="1" si="962"/>
        <v>0</v>
      </c>
      <c r="G795" s="193">
        <f t="shared" ca="1" si="963"/>
        <v>0</v>
      </c>
      <c r="H795" s="11"/>
      <c r="I795" s="11"/>
    </row>
    <row r="796" spans="1:10" ht="21" hidden="1" customHeight="1" x14ac:dyDescent="0.3">
      <c r="B796" s="192">
        <v>74</v>
      </c>
      <c r="C796" s="247" t="s">
        <v>804</v>
      </c>
      <c r="D796" s="247"/>
      <c r="E796" s="193">
        <f ca="1">+SUMIF(Z296:AA302,5%,AA296:AA302)+SUMIF(AD296:AE302,5%,AE296:AE302)+AA345+AE345
+SUMIF(AH296:AI302,5%,AI296:AI302)+SUMIF(AL296:AM302,5%,AM296:AM302)+AI345+AM345</f>
        <v>0</v>
      </c>
      <c r="F796" s="197">
        <f t="shared" ca="1" si="962"/>
        <v>0</v>
      </c>
      <c r="G796" s="193">
        <f t="shared" ca="1" si="963"/>
        <v>0</v>
      </c>
      <c r="H796" s="11"/>
      <c r="I796" s="11"/>
    </row>
    <row r="797" spans="1:10" ht="21" hidden="1" customHeight="1" x14ac:dyDescent="0.3">
      <c r="B797" s="192">
        <v>75</v>
      </c>
      <c r="C797" s="247" t="s">
        <v>805</v>
      </c>
      <c r="D797" s="247"/>
      <c r="E797" s="193">
        <f ca="1">+SUMIF(Z296:AA302,19%,AA296:AA302)+SUMIF(AD296:AE302,19%,AE296:AE302)+AA359+AE359
+SUMIF(AH296:AI302,19%,AI296:AI302)+SUMIF(AL296:AM302,19%,AM296:AM302)+AI359+AM359</f>
        <v>0</v>
      </c>
      <c r="F797" s="197">
        <f t="shared" ca="1" si="962"/>
        <v>0</v>
      </c>
      <c r="G797" s="193">
        <f t="shared" ca="1" si="963"/>
        <v>0</v>
      </c>
      <c r="H797" s="11"/>
      <c r="I797" s="11"/>
    </row>
    <row r="798" spans="1:10" ht="21" hidden="1" customHeight="1" x14ac:dyDescent="0.3">
      <c r="B798" s="195"/>
      <c r="C798" s="248" t="s">
        <v>903</v>
      </c>
      <c r="D798" s="248"/>
      <c r="E798" s="194">
        <f ca="1">SUM(E790:E797)</f>
        <v>0</v>
      </c>
      <c r="F798" s="197"/>
      <c r="G798" s="194">
        <f ca="1">SUM(G790:G797)</f>
        <v>0</v>
      </c>
      <c r="H798" s="11"/>
      <c r="I798" s="11"/>
    </row>
    <row r="799" spans="1:10" hidden="1" x14ac:dyDescent="0.3"/>
    <row r="800" spans="1:10" ht="36" hidden="1" customHeight="1" x14ac:dyDescent="0.3">
      <c r="A800" s="11"/>
      <c r="B800" s="249" t="s">
        <v>959</v>
      </c>
      <c r="C800" s="249"/>
      <c r="D800" s="249"/>
      <c r="E800" s="249"/>
      <c r="F800" s="249"/>
      <c r="G800" s="249"/>
      <c r="H800" s="249"/>
      <c r="I800" s="249"/>
      <c r="J800" s="249"/>
    </row>
    <row r="801" spans="2:9" hidden="1" x14ac:dyDescent="0.3"/>
    <row r="802" spans="2:9" ht="21" hidden="1" customHeight="1" x14ac:dyDescent="0.3">
      <c r="B802" s="248" t="s">
        <v>960</v>
      </c>
      <c r="C802" s="248"/>
      <c r="D802" s="175" t="s">
        <v>835</v>
      </c>
      <c r="E802" s="11"/>
    </row>
    <row r="803" spans="2:9" ht="21" hidden="1" customHeight="1" x14ac:dyDescent="0.3"/>
    <row r="804" spans="2:9" s="187" customFormat="1" ht="56.25" hidden="1" x14ac:dyDescent="0.25">
      <c r="B804" s="189" t="s">
        <v>887</v>
      </c>
      <c r="C804" s="250" t="s">
        <v>896</v>
      </c>
      <c r="D804" s="250"/>
      <c r="E804" s="190" t="s">
        <v>848</v>
      </c>
      <c r="F804" s="191" t="s">
        <v>778</v>
      </c>
      <c r="G804" s="190" t="s">
        <v>901</v>
      </c>
      <c r="H804" s="198"/>
    </row>
    <row r="805" spans="2:9" ht="21" hidden="1" customHeight="1" x14ac:dyDescent="0.3">
      <c r="B805" s="192">
        <v>27</v>
      </c>
      <c r="C805" s="247" t="s">
        <v>761</v>
      </c>
      <c r="D805" s="247"/>
      <c r="E805" s="193">
        <f>+AO30+AS30+AW30+BA30</f>
        <v>0</v>
      </c>
      <c r="F805" s="193">
        <f t="shared" ref="F805:F818" ca="1" si="964">+SUMIF($F$212:$BG$219,C643,$AO$212:$AO$219)+SUMIF($F$212:$BG$219,C643,$AS$212:$AS$219)+SUMIF($F$212:$BG$219,C683,$AW$212:$AW$219)+SUMIF($F$212:$BG$219,C683,$BA$212:$BA$219)</f>
        <v>0</v>
      </c>
      <c r="G805" s="194">
        <f ca="1">+E805-F805</f>
        <v>0</v>
      </c>
      <c r="H805" s="198"/>
      <c r="I805" s="187"/>
    </row>
    <row r="806" spans="2:9" ht="21" hidden="1" customHeight="1" x14ac:dyDescent="0.3">
      <c r="B806" s="192">
        <v>28</v>
      </c>
      <c r="C806" s="247" t="s">
        <v>762</v>
      </c>
      <c r="D806" s="247"/>
      <c r="E806" s="193">
        <f>+AO44+AS44+AW44+BA44</f>
        <v>0</v>
      </c>
      <c r="F806" s="193">
        <f t="shared" ca="1" si="964"/>
        <v>0</v>
      </c>
      <c r="G806" s="194">
        <f t="shared" ref="G806:G819" ca="1" si="965">+E806-F806</f>
        <v>0</v>
      </c>
      <c r="H806" s="198"/>
      <c r="I806" s="187"/>
    </row>
    <row r="807" spans="2:9" ht="21" hidden="1" customHeight="1" x14ac:dyDescent="0.3">
      <c r="B807" s="192">
        <v>29</v>
      </c>
      <c r="C807" s="247" t="s">
        <v>763</v>
      </c>
      <c r="D807" s="247"/>
      <c r="E807" s="193">
        <f>+AO58+AS58+AW58+BA58</f>
        <v>0</v>
      </c>
      <c r="F807" s="193">
        <f t="shared" ca="1" si="964"/>
        <v>0</v>
      </c>
      <c r="G807" s="194">
        <f t="shared" ca="1" si="965"/>
        <v>0</v>
      </c>
      <c r="H807" s="198"/>
      <c r="I807" s="187"/>
    </row>
    <row r="808" spans="2:9" ht="21" hidden="1" customHeight="1" x14ac:dyDescent="0.3">
      <c r="B808" s="192">
        <v>30</v>
      </c>
      <c r="C808" s="247" t="s">
        <v>766</v>
      </c>
      <c r="D808" s="247"/>
      <c r="E808" s="193">
        <f>+AO71+AS71+AW71+BA71</f>
        <v>0</v>
      </c>
      <c r="F808" s="193">
        <f t="shared" ca="1" si="964"/>
        <v>0</v>
      </c>
      <c r="G808" s="194">
        <f t="shared" ca="1" si="965"/>
        <v>0</v>
      </c>
      <c r="H808" s="198"/>
      <c r="I808" s="187"/>
    </row>
    <row r="809" spans="2:9" ht="21" hidden="1" customHeight="1" x14ac:dyDescent="0.3">
      <c r="B809" s="192">
        <v>31</v>
      </c>
      <c r="C809" s="247" t="s">
        <v>767</v>
      </c>
      <c r="D809" s="247"/>
      <c r="E809" s="193">
        <f>+AO84+AS84+AW84+BA84</f>
        <v>0</v>
      </c>
      <c r="F809" s="193">
        <f t="shared" ca="1" si="964"/>
        <v>0</v>
      </c>
      <c r="G809" s="194">
        <f t="shared" ca="1" si="965"/>
        <v>0</v>
      </c>
      <c r="H809" s="198"/>
      <c r="I809" s="187"/>
    </row>
    <row r="810" spans="2:9" ht="21" hidden="1" customHeight="1" x14ac:dyDescent="0.3">
      <c r="B810" s="192">
        <v>32</v>
      </c>
      <c r="C810" s="247" t="s">
        <v>768</v>
      </c>
      <c r="D810" s="247"/>
      <c r="E810" s="193">
        <f>+AO97+AS97+AW97+BA97</f>
        <v>0</v>
      </c>
      <c r="F810" s="193">
        <f t="shared" ca="1" si="964"/>
        <v>0</v>
      </c>
      <c r="G810" s="194">
        <f t="shared" ca="1" si="965"/>
        <v>0</v>
      </c>
      <c r="H810" s="198"/>
      <c r="I810" s="187"/>
    </row>
    <row r="811" spans="2:9" ht="21" hidden="1" customHeight="1" x14ac:dyDescent="0.3">
      <c r="B811" s="192">
        <v>33</v>
      </c>
      <c r="C811" s="247" t="s">
        <v>769</v>
      </c>
      <c r="D811" s="247"/>
      <c r="E811" s="193">
        <f>+AO110+AS110+AW110+BA110</f>
        <v>0</v>
      </c>
      <c r="F811" s="193">
        <f t="shared" ca="1" si="964"/>
        <v>0</v>
      </c>
      <c r="G811" s="194">
        <f t="shared" ca="1" si="965"/>
        <v>0</v>
      </c>
      <c r="H811" s="198"/>
      <c r="I811" s="187"/>
    </row>
    <row r="812" spans="2:9" ht="21" hidden="1" customHeight="1" x14ac:dyDescent="0.3">
      <c r="B812" s="192">
        <v>34</v>
      </c>
      <c r="C812" s="247" t="s">
        <v>772</v>
      </c>
      <c r="D812" s="247"/>
      <c r="E812" s="193">
        <f>+AO124+AS124+AW124+BA124</f>
        <v>0</v>
      </c>
      <c r="F812" s="193">
        <f t="shared" ca="1" si="964"/>
        <v>0</v>
      </c>
      <c r="G812" s="194">
        <f t="shared" ca="1" si="965"/>
        <v>0</v>
      </c>
      <c r="H812" s="198"/>
      <c r="I812" s="187"/>
    </row>
    <row r="813" spans="2:9" ht="21" hidden="1" customHeight="1" x14ac:dyDescent="0.3">
      <c r="B813" s="192">
        <v>35</v>
      </c>
      <c r="C813" s="247" t="s">
        <v>773</v>
      </c>
      <c r="D813" s="247"/>
      <c r="E813" s="193">
        <f>+AO137+AS137+AW137+BA137</f>
        <v>0</v>
      </c>
      <c r="F813" s="193">
        <f t="shared" ca="1" si="964"/>
        <v>0</v>
      </c>
      <c r="G813" s="194">
        <f t="shared" ca="1" si="965"/>
        <v>0</v>
      </c>
      <c r="H813" s="198"/>
      <c r="I813" s="187"/>
    </row>
    <row r="814" spans="2:9" ht="21" hidden="1" customHeight="1" x14ac:dyDescent="0.3">
      <c r="B814" s="192">
        <v>36</v>
      </c>
      <c r="C814" s="247" t="s">
        <v>821</v>
      </c>
      <c r="D814" s="247"/>
      <c r="E814" s="193">
        <f>+AO151+AS151+AW151+BA151</f>
        <v>0</v>
      </c>
      <c r="F814" s="193">
        <f t="shared" ca="1" si="964"/>
        <v>0</v>
      </c>
      <c r="G814" s="194">
        <f t="shared" ca="1" si="965"/>
        <v>0</v>
      </c>
      <c r="H814" s="198"/>
      <c r="I814" s="187"/>
    </row>
    <row r="815" spans="2:9" ht="21" hidden="1" customHeight="1" x14ac:dyDescent="0.3">
      <c r="B815" s="192">
        <v>37</v>
      </c>
      <c r="C815" s="247" t="s">
        <v>774</v>
      </c>
      <c r="D815" s="247"/>
      <c r="E815" s="193">
        <f>+AO165+AS165+AW165+BA165</f>
        <v>0</v>
      </c>
      <c r="F815" s="193">
        <f t="shared" ca="1" si="964"/>
        <v>0</v>
      </c>
      <c r="G815" s="194">
        <f t="shared" ca="1" si="965"/>
        <v>0</v>
      </c>
      <c r="H815" s="198"/>
      <c r="I815" s="187"/>
    </row>
    <row r="816" spans="2:9" ht="21" hidden="1" customHeight="1" x14ac:dyDescent="0.3">
      <c r="B816" s="192">
        <v>38</v>
      </c>
      <c r="C816" s="247" t="s">
        <v>775</v>
      </c>
      <c r="D816" s="247"/>
      <c r="E816" s="193">
        <f>+AO179+AS179+AW179+BA179</f>
        <v>0</v>
      </c>
      <c r="F816" s="193">
        <f t="shared" ca="1" si="964"/>
        <v>0</v>
      </c>
      <c r="G816" s="194">
        <f t="shared" ca="1" si="965"/>
        <v>0</v>
      </c>
      <c r="H816" s="198"/>
      <c r="I816" s="187"/>
    </row>
    <row r="817" spans="2:9" ht="21" hidden="1" customHeight="1" x14ac:dyDescent="0.3">
      <c r="B817" s="192">
        <v>39</v>
      </c>
      <c r="C817" s="247" t="s">
        <v>776</v>
      </c>
      <c r="D817" s="247"/>
      <c r="E817" s="193">
        <f>+AO192+AS192+AW192+BA192</f>
        <v>0</v>
      </c>
      <c r="F817" s="193">
        <f t="shared" ca="1" si="964"/>
        <v>0</v>
      </c>
      <c r="G817" s="194">
        <f t="shared" ca="1" si="965"/>
        <v>0</v>
      </c>
      <c r="H817" s="198"/>
      <c r="I817" s="187"/>
    </row>
    <row r="818" spans="2:9" ht="21" hidden="1" customHeight="1" x14ac:dyDescent="0.3">
      <c r="B818" s="192">
        <v>40</v>
      </c>
      <c r="C818" s="247" t="s">
        <v>777</v>
      </c>
      <c r="D818" s="247"/>
      <c r="E818" s="193">
        <f>+AO205+AS205+AW205+BA205</f>
        <v>0</v>
      </c>
      <c r="F818" s="193">
        <f t="shared" ca="1" si="964"/>
        <v>0</v>
      </c>
      <c r="G818" s="194">
        <f t="shared" ca="1" si="965"/>
        <v>0</v>
      </c>
      <c r="H818" s="198"/>
      <c r="I818" s="187"/>
    </row>
    <row r="819" spans="2:9" s="186" customFormat="1" ht="21" hidden="1" customHeight="1" x14ac:dyDescent="0.3">
      <c r="B819" s="195"/>
      <c r="C819" s="248" t="s">
        <v>903</v>
      </c>
      <c r="D819" s="248"/>
      <c r="E819" s="194">
        <f>SUM(E805:E818)</f>
        <v>0</v>
      </c>
      <c r="F819" s="194">
        <f ca="1">SUM(F805:F818)</f>
        <v>0</v>
      </c>
      <c r="G819" s="194">
        <f t="shared" ca="1" si="965"/>
        <v>0</v>
      </c>
      <c r="H819" s="198"/>
      <c r="I819" s="187"/>
    </row>
    <row r="820" spans="2:9" ht="21" hidden="1" customHeight="1" x14ac:dyDescent="0.3"/>
    <row r="821" spans="2:9" s="20" customFormat="1" ht="21" hidden="1" customHeight="1" x14ac:dyDescent="0.25">
      <c r="C821" s="250" t="s">
        <v>905</v>
      </c>
      <c r="D821" s="250"/>
      <c r="E821" s="190" t="s">
        <v>912</v>
      </c>
      <c r="F821" s="190" t="s">
        <v>902</v>
      </c>
    </row>
    <row r="822" spans="2:9" ht="21" hidden="1" customHeight="1" x14ac:dyDescent="0.3">
      <c r="C822" s="247" t="s">
        <v>906</v>
      </c>
      <c r="D822" s="247"/>
      <c r="E822" s="193">
        <f ca="1">+G805+G806+G807+G812+G814+G815+G816</f>
        <v>0</v>
      </c>
      <c r="F822" s="196">
        <f ca="1">+IF((E822&gt;0),(E822/$E$826),0)</f>
        <v>0</v>
      </c>
    </row>
    <row r="823" spans="2:9" ht="21" hidden="1" customHeight="1" x14ac:dyDescent="0.3">
      <c r="C823" s="247" t="s">
        <v>907</v>
      </c>
      <c r="D823" s="247"/>
      <c r="E823" s="193">
        <f ca="1">+G817</f>
        <v>0</v>
      </c>
      <c r="F823" s="196">
        <f t="shared" ref="F823:F825" ca="1" si="966">+IF((E823&gt;0),(E823/$E$826),0)</f>
        <v>0</v>
      </c>
    </row>
    <row r="824" spans="2:9" ht="21" hidden="1" customHeight="1" x14ac:dyDescent="0.3">
      <c r="C824" s="247" t="s">
        <v>908</v>
      </c>
      <c r="D824" s="247"/>
      <c r="E824" s="193">
        <f ca="1">+G808+G809+G810+G811+G813</f>
        <v>0</v>
      </c>
      <c r="F824" s="196">
        <f t="shared" ca="1" si="966"/>
        <v>0</v>
      </c>
    </row>
    <row r="825" spans="2:9" ht="21" hidden="1" customHeight="1" x14ac:dyDescent="0.3">
      <c r="C825" s="247" t="s">
        <v>909</v>
      </c>
      <c r="D825" s="247"/>
      <c r="E825" s="193">
        <v>0</v>
      </c>
      <c r="F825" s="196">
        <f t="shared" si="966"/>
        <v>0</v>
      </c>
    </row>
    <row r="826" spans="2:9" ht="21" hidden="1" customHeight="1" x14ac:dyDescent="0.3">
      <c r="C826" s="248" t="s">
        <v>913</v>
      </c>
      <c r="D826" s="248"/>
      <c r="E826" s="194">
        <f ca="1">SUM(E822:E825)</f>
        <v>0</v>
      </c>
      <c r="F826" s="193"/>
    </row>
    <row r="827" spans="2:9" ht="21" hidden="1" customHeight="1" x14ac:dyDescent="0.3"/>
    <row r="828" spans="2:9" s="187" customFormat="1" ht="37.5" hidden="1" x14ac:dyDescent="0.25">
      <c r="B828" s="189" t="s">
        <v>887</v>
      </c>
      <c r="C828" s="250" t="s">
        <v>904</v>
      </c>
      <c r="D828" s="250"/>
      <c r="E828" s="191" t="s">
        <v>915</v>
      </c>
      <c r="F828" s="190" t="s">
        <v>902</v>
      </c>
      <c r="G828" s="190" t="s">
        <v>914</v>
      </c>
      <c r="H828" s="198"/>
      <c r="I828" s="198"/>
    </row>
    <row r="829" spans="2:9" ht="21" hidden="1" customHeight="1" x14ac:dyDescent="0.3">
      <c r="B829" s="192">
        <v>66</v>
      </c>
      <c r="C829" s="247" t="s">
        <v>929</v>
      </c>
      <c r="D829" s="247"/>
      <c r="E829" s="193">
        <f>+AQ386+AU386+AY386+BC386</f>
        <v>0</v>
      </c>
      <c r="F829" s="197">
        <f ca="1">+$F$823</f>
        <v>0</v>
      </c>
      <c r="G829" s="193">
        <f ca="1">+E829*F829</f>
        <v>0</v>
      </c>
      <c r="H829" s="11"/>
      <c r="I829" s="11"/>
    </row>
    <row r="830" spans="2:9" ht="21" hidden="1" customHeight="1" x14ac:dyDescent="0.3">
      <c r="B830" s="192">
        <v>68</v>
      </c>
      <c r="C830" s="247" t="s">
        <v>800</v>
      </c>
      <c r="D830" s="247"/>
      <c r="E830" s="193">
        <f>+AQ235+AU235+AY235+BC235</f>
        <v>0</v>
      </c>
      <c r="F830" s="197">
        <f t="shared" ref="F830:F837" ca="1" si="967">+$F$823</f>
        <v>0</v>
      </c>
      <c r="G830" s="193">
        <f ca="1">+E830*F830</f>
        <v>0</v>
      </c>
      <c r="H830" s="11"/>
      <c r="I830" s="11"/>
    </row>
    <row r="831" spans="2:9" ht="21" hidden="1" customHeight="1" x14ac:dyDescent="0.3">
      <c r="B831" s="192">
        <v>69</v>
      </c>
      <c r="C831" s="247" t="s">
        <v>801</v>
      </c>
      <c r="D831" s="247"/>
      <c r="E831" s="193">
        <f>+AQ249+AU249+AY249+BC249</f>
        <v>0</v>
      </c>
      <c r="F831" s="197">
        <f t="shared" ca="1" si="967"/>
        <v>0</v>
      </c>
      <c r="G831" s="193">
        <f t="shared" ref="G831:G837" ca="1" si="968">+E831*F831</f>
        <v>0</v>
      </c>
      <c r="H831" s="11"/>
      <c r="I831" s="11"/>
    </row>
    <row r="832" spans="2:9" ht="21" hidden="1" customHeight="1" x14ac:dyDescent="0.3">
      <c r="B832" s="192">
        <v>70</v>
      </c>
      <c r="C832" s="247" t="s">
        <v>783</v>
      </c>
      <c r="D832" s="247"/>
      <c r="E832" s="193">
        <f>+AQ263+AU263+AY263+BC263</f>
        <v>0</v>
      </c>
      <c r="F832" s="197">
        <f t="shared" ca="1" si="967"/>
        <v>0</v>
      </c>
      <c r="G832" s="193">
        <f t="shared" ca="1" si="968"/>
        <v>0</v>
      </c>
      <c r="H832" s="11"/>
      <c r="I832" s="11"/>
    </row>
    <row r="833" spans="1:10" ht="21" hidden="1" customHeight="1" x14ac:dyDescent="0.3">
      <c r="B833" s="192">
        <v>71</v>
      </c>
      <c r="C833" s="247" t="s">
        <v>802</v>
      </c>
      <c r="D833" s="247"/>
      <c r="E833" s="193">
        <f>+AQ317+AU317+AY317+BC317</f>
        <v>0</v>
      </c>
      <c r="F833" s="197">
        <f t="shared" ca="1" si="967"/>
        <v>0</v>
      </c>
      <c r="G833" s="193">
        <f t="shared" ca="1" si="968"/>
        <v>0</v>
      </c>
      <c r="H833" s="11"/>
      <c r="I833" s="11"/>
    </row>
    <row r="834" spans="1:10" ht="21" hidden="1" customHeight="1" x14ac:dyDescent="0.3">
      <c r="B834" s="192">
        <v>72</v>
      </c>
      <c r="C834" s="247" t="s">
        <v>803</v>
      </c>
      <c r="D834" s="247"/>
      <c r="E834" s="193">
        <f>+AQ331+AU331+AY331+BC331</f>
        <v>0</v>
      </c>
      <c r="F834" s="197">
        <f t="shared" ca="1" si="967"/>
        <v>0</v>
      </c>
      <c r="G834" s="193">
        <f t="shared" ca="1" si="968"/>
        <v>0</v>
      </c>
      <c r="H834" s="11"/>
      <c r="I834" s="11"/>
    </row>
    <row r="835" spans="1:10" ht="21" hidden="1" customHeight="1" x14ac:dyDescent="0.3">
      <c r="B835" s="192">
        <v>73</v>
      </c>
      <c r="C835" s="247" t="s">
        <v>45</v>
      </c>
      <c r="D835" s="247"/>
      <c r="E835" s="193">
        <f>+AQ416+AU416+AY416+BC416</f>
        <v>0</v>
      </c>
      <c r="F835" s="197">
        <f t="shared" ca="1" si="967"/>
        <v>0</v>
      </c>
      <c r="G835" s="193">
        <f t="shared" ca="1" si="968"/>
        <v>0</v>
      </c>
      <c r="H835" s="11"/>
      <c r="I835" s="11"/>
    </row>
    <row r="836" spans="1:10" ht="21" hidden="1" customHeight="1" x14ac:dyDescent="0.3">
      <c r="B836" s="192">
        <v>74</v>
      </c>
      <c r="C836" s="247" t="s">
        <v>804</v>
      </c>
      <c r="D836" s="247"/>
      <c r="E836" s="193">
        <f ca="1">+SUMIF(AP296:AQ302,5%,AQ296:AQ302)+SUMIF(AT296:AU302,5%,AU296:AU302)+AQ345+AU345
+SUMIF(AX296:AY302,5%,AY296:AY302)+SUMIF(BB296:BC302,5%,BC296:BC302)+AY345+BC345</f>
        <v>0</v>
      </c>
      <c r="F836" s="197">
        <f t="shared" ca="1" si="967"/>
        <v>0</v>
      </c>
      <c r="G836" s="193">
        <f t="shared" ca="1" si="968"/>
        <v>0</v>
      </c>
      <c r="H836" s="11"/>
      <c r="I836" s="11"/>
    </row>
    <row r="837" spans="1:10" ht="21" hidden="1" customHeight="1" x14ac:dyDescent="0.3">
      <c r="B837" s="192">
        <v>75</v>
      </c>
      <c r="C837" s="247" t="s">
        <v>805</v>
      </c>
      <c r="D837" s="247"/>
      <c r="E837" s="193">
        <f ca="1">+SUMIF(AP296:AQ302,19%,AQ296:AQ302)+SUMIF(AT296:AU302,19%,AU296:AU302)+AQ359+AU359
+SUMIF(AX296:AY302,19%,AY296:AY302)+SUMIF(BB296:BC302,19%,BC296:BC302)+AY359+BC359</f>
        <v>0</v>
      </c>
      <c r="F837" s="197">
        <f t="shared" ca="1" si="967"/>
        <v>0</v>
      </c>
      <c r="G837" s="193">
        <f t="shared" ca="1" si="968"/>
        <v>0</v>
      </c>
      <c r="H837" s="11"/>
      <c r="I837" s="11"/>
    </row>
    <row r="838" spans="1:10" ht="21" hidden="1" customHeight="1" x14ac:dyDescent="0.3">
      <c r="B838" s="195"/>
      <c r="C838" s="248" t="s">
        <v>903</v>
      </c>
      <c r="D838" s="248"/>
      <c r="E838" s="194">
        <f ca="1">SUM(E830:E837)</f>
        <v>0</v>
      </c>
      <c r="F838" s="197"/>
      <c r="G838" s="194">
        <f ca="1">SUM(G830:G837)</f>
        <v>0</v>
      </c>
      <c r="H838" s="11"/>
      <c r="I838" s="11"/>
    </row>
    <row r="839" spans="1:10" hidden="1" x14ac:dyDescent="0.3"/>
    <row r="840" spans="1:10" ht="36" hidden="1" customHeight="1" x14ac:dyDescent="0.3">
      <c r="A840" s="11"/>
      <c r="B840" s="254" t="s">
        <v>962</v>
      </c>
      <c r="C840" s="254"/>
      <c r="D840" s="254"/>
      <c r="E840" s="254"/>
      <c r="F840" s="254"/>
      <c r="G840" s="254"/>
      <c r="H840" s="254"/>
      <c r="I840" s="254"/>
      <c r="J840" s="254"/>
    </row>
    <row r="841" spans="1:10" hidden="1" x14ac:dyDescent="0.3"/>
    <row r="842" spans="1:10" ht="21" hidden="1" customHeight="1" x14ac:dyDescent="0.3">
      <c r="B842" s="248" t="s">
        <v>961</v>
      </c>
      <c r="C842" s="248"/>
      <c r="D842" s="175" t="s">
        <v>835</v>
      </c>
      <c r="E842" s="11"/>
    </row>
    <row r="843" spans="1:10" ht="21" hidden="1" customHeight="1" x14ac:dyDescent="0.3"/>
    <row r="844" spans="1:10" s="187" customFormat="1" ht="56.25" hidden="1" x14ac:dyDescent="0.25">
      <c r="B844" s="189" t="s">
        <v>887</v>
      </c>
      <c r="C844" s="250" t="s">
        <v>896</v>
      </c>
      <c r="D844" s="250"/>
      <c r="E844" s="190" t="s">
        <v>848</v>
      </c>
      <c r="F844" s="191" t="s">
        <v>778</v>
      </c>
      <c r="G844" s="190" t="s">
        <v>901</v>
      </c>
      <c r="H844" s="198"/>
    </row>
    <row r="845" spans="1:10" ht="21" hidden="1" customHeight="1" x14ac:dyDescent="0.3">
      <c r="B845" s="192">
        <v>27</v>
      </c>
      <c r="C845" s="247" t="s">
        <v>761</v>
      </c>
      <c r="D845" s="247"/>
      <c r="E845" s="193">
        <f>+I30+M30+Q30+U30+Y30+AC30+AG30+AK30+AO30+AS30+AW30+BA30</f>
        <v>0</v>
      </c>
      <c r="F845" s="193">
        <f t="shared" ref="F845:F858" ca="1" si="969">+SUMIF($F$212:$BG$219,C845,$BE$212:$BE$219)</f>
        <v>0</v>
      </c>
      <c r="G845" s="194">
        <f ca="1">+E845-F845</f>
        <v>0</v>
      </c>
      <c r="H845" s="198"/>
      <c r="I845" s="187"/>
    </row>
    <row r="846" spans="1:10" ht="21" hidden="1" customHeight="1" x14ac:dyDescent="0.3">
      <c r="B846" s="192">
        <v>28</v>
      </c>
      <c r="C846" s="247" t="s">
        <v>762</v>
      </c>
      <c r="D846" s="247"/>
      <c r="E846" s="193">
        <f>+I44+M44+Q44+U44+Y44+AC44+AG44+AK44+AO44+AS44+AW44+BA44</f>
        <v>0</v>
      </c>
      <c r="F846" s="193">
        <f t="shared" ca="1" si="969"/>
        <v>0</v>
      </c>
      <c r="G846" s="194">
        <f t="shared" ref="G846:G859" ca="1" si="970">+E846-F846</f>
        <v>0</v>
      </c>
      <c r="H846" s="198"/>
      <c r="I846" s="187"/>
    </row>
    <row r="847" spans="1:10" ht="21" hidden="1" customHeight="1" x14ac:dyDescent="0.3">
      <c r="B847" s="192">
        <v>29</v>
      </c>
      <c r="C847" s="247" t="s">
        <v>763</v>
      </c>
      <c r="D847" s="247"/>
      <c r="E847" s="193">
        <f>+I58+M58+Q58+U58+Y58+AC58+AG58+AK58+AO58+AS58+AW58+BA58</f>
        <v>0</v>
      </c>
      <c r="F847" s="193">
        <f t="shared" ca="1" si="969"/>
        <v>0</v>
      </c>
      <c r="G847" s="194">
        <f t="shared" ca="1" si="970"/>
        <v>0</v>
      </c>
      <c r="H847" s="198"/>
      <c r="I847" s="187"/>
    </row>
    <row r="848" spans="1:10" ht="21" hidden="1" customHeight="1" x14ac:dyDescent="0.3">
      <c r="B848" s="192">
        <v>30</v>
      </c>
      <c r="C848" s="247" t="s">
        <v>766</v>
      </c>
      <c r="D848" s="247"/>
      <c r="E848" s="193">
        <f>+I71+M71+Q71+U71+Y71+AC71+AG71+AK71+AO71+AS71+AW71+BA71</f>
        <v>0</v>
      </c>
      <c r="F848" s="193">
        <f t="shared" ca="1" si="969"/>
        <v>0</v>
      </c>
      <c r="G848" s="194">
        <f t="shared" ca="1" si="970"/>
        <v>0</v>
      </c>
      <c r="H848" s="198"/>
      <c r="I848" s="187"/>
    </row>
    <row r="849" spans="2:9" ht="21" hidden="1" customHeight="1" x14ac:dyDescent="0.3">
      <c r="B849" s="192">
        <v>31</v>
      </c>
      <c r="C849" s="247" t="s">
        <v>767</v>
      </c>
      <c r="D849" s="247"/>
      <c r="E849" s="193">
        <f>+I84+M84+Q84+U84+Y84+AC84+AG84+AK84+AO84+AS84+AW84+BA84</f>
        <v>0</v>
      </c>
      <c r="F849" s="193">
        <f t="shared" ca="1" si="969"/>
        <v>0</v>
      </c>
      <c r="G849" s="194">
        <f t="shared" ca="1" si="970"/>
        <v>0</v>
      </c>
      <c r="H849" s="198"/>
      <c r="I849" s="187"/>
    </row>
    <row r="850" spans="2:9" ht="21" hidden="1" customHeight="1" x14ac:dyDescent="0.3">
      <c r="B850" s="192">
        <v>32</v>
      </c>
      <c r="C850" s="247" t="s">
        <v>768</v>
      </c>
      <c r="D850" s="247"/>
      <c r="E850" s="193">
        <f>+I97+M97+Q97+U97+Y97+AC97+AG97+AK97+AO97+AS97+AW97+BA97</f>
        <v>0</v>
      </c>
      <c r="F850" s="193">
        <f t="shared" ca="1" si="969"/>
        <v>0</v>
      </c>
      <c r="G850" s="194">
        <f t="shared" ca="1" si="970"/>
        <v>0</v>
      </c>
      <c r="H850" s="198"/>
      <c r="I850" s="187"/>
    </row>
    <row r="851" spans="2:9" ht="21" hidden="1" customHeight="1" x14ac:dyDescent="0.3">
      <c r="B851" s="192">
        <v>33</v>
      </c>
      <c r="C851" s="247" t="s">
        <v>769</v>
      </c>
      <c r="D851" s="247"/>
      <c r="E851" s="193">
        <f>+I110+M110+Q110+U110+Y110+AC110+AG110+AK110+AO110+AS110+AW110+BA110</f>
        <v>0</v>
      </c>
      <c r="F851" s="193">
        <f t="shared" ca="1" si="969"/>
        <v>0</v>
      </c>
      <c r="G851" s="194">
        <f t="shared" ca="1" si="970"/>
        <v>0</v>
      </c>
      <c r="H851" s="198"/>
      <c r="I851" s="187"/>
    </row>
    <row r="852" spans="2:9" ht="21" hidden="1" customHeight="1" x14ac:dyDescent="0.3">
      <c r="B852" s="192">
        <v>34</v>
      </c>
      <c r="C852" s="247" t="s">
        <v>772</v>
      </c>
      <c r="D852" s="247"/>
      <c r="E852" s="193">
        <f>+I124+M124+Q124+U124+Y124+AC124+AG124+AK124+AO124+AS124+AW124+BA124</f>
        <v>0</v>
      </c>
      <c r="F852" s="193">
        <f t="shared" ca="1" si="969"/>
        <v>0</v>
      </c>
      <c r="G852" s="194">
        <f t="shared" ca="1" si="970"/>
        <v>0</v>
      </c>
      <c r="H852" s="198"/>
      <c r="I852" s="187"/>
    </row>
    <row r="853" spans="2:9" ht="21" hidden="1" customHeight="1" x14ac:dyDescent="0.3">
      <c r="B853" s="192">
        <v>35</v>
      </c>
      <c r="C853" s="247" t="s">
        <v>773</v>
      </c>
      <c r="D853" s="247"/>
      <c r="E853" s="193">
        <f>+I137+M137+Q137+U137+Y137+AC137+AG137+AK137+AO137+AS137+AW137+BA137</f>
        <v>0</v>
      </c>
      <c r="F853" s="193">
        <f t="shared" ca="1" si="969"/>
        <v>0</v>
      </c>
      <c r="G853" s="194">
        <f t="shared" ca="1" si="970"/>
        <v>0</v>
      </c>
      <c r="H853" s="198"/>
      <c r="I853" s="187"/>
    </row>
    <row r="854" spans="2:9" ht="21" hidden="1" customHeight="1" x14ac:dyDescent="0.3">
      <c r="B854" s="192">
        <v>36</v>
      </c>
      <c r="C854" s="247" t="s">
        <v>821</v>
      </c>
      <c r="D854" s="247"/>
      <c r="E854" s="193">
        <f>+I151+M151+Q151+U151+Y151+AC151+AG151+AK151+AO151+AS151+AW151+BA151</f>
        <v>0</v>
      </c>
      <c r="F854" s="193">
        <f t="shared" ca="1" si="969"/>
        <v>0</v>
      </c>
      <c r="G854" s="194">
        <f t="shared" ca="1" si="970"/>
        <v>0</v>
      </c>
      <c r="H854" s="198"/>
      <c r="I854" s="187"/>
    </row>
    <row r="855" spans="2:9" ht="21" hidden="1" customHeight="1" x14ac:dyDescent="0.3">
      <c r="B855" s="192">
        <v>37</v>
      </c>
      <c r="C855" s="247" t="s">
        <v>774</v>
      </c>
      <c r="D855" s="247"/>
      <c r="E855" s="193">
        <f>+I165+M165+Q165+U165+Y165+AC165+AG165+AK165+AO165+AS165+AW165+BA165</f>
        <v>0</v>
      </c>
      <c r="F855" s="193">
        <f t="shared" ca="1" si="969"/>
        <v>0</v>
      </c>
      <c r="G855" s="194">
        <f t="shared" ca="1" si="970"/>
        <v>0</v>
      </c>
      <c r="H855" s="198"/>
      <c r="I855" s="187"/>
    </row>
    <row r="856" spans="2:9" ht="21" hidden="1" customHeight="1" x14ac:dyDescent="0.3">
      <c r="B856" s="192">
        <v>38</v>
      </c>
      <c r="C856" s="247" t="s">
        <v>775</v>
      </c>
      <c r="D856" s="247"/>
      <c r="E856" s="193">
        <f>+I179+M179+Q179+U179+Y179+AC179+AG179+AK179+AO179+AS179+AW179+BA179</f>
        <v>0</v>
      </c>
      <c r="F856" s="193">
        <f t="shared" ca="1" si="969"/>
        <v>0</v>
      </c>
      <c r="G856" s="194">
        <f t="shared" ca="1" si="970"/>
        <v>0</v>
      </c>
      <c r="H856" s="198"/>
      <c r="I856" s="187"/>
    </row>
    <row r="857" spans="2:9" ht="21" hidden="1" customHeight="1" x14ac:dyDescent="0.3">
      <c r="B857" s="192">
        <v>39</v>
      </c>
      <c r="C857" s="247" t="s">
        <v>776</v>
      </c>
      <c r="D857" s="247"/>
      <c r="E857" s="193">
        <f>+I192+M192+Q192+U192+Y192+AC192+AG192+AK192+AO192+AS192+AW192+BA192</f>
        <v>0</v>
      </c>
      <c r="F857" s="193">
        <f t="shared" ca="1" si="969"/>
        <v>0</v>
      </c>
      <c r="G857" s="194">
        <f t="shared" ca="1" si="970"/>
        <v>0</v>
      </c>
      <c r="H857" s="198"/>
      <c r="I857" s="187"/>
    </row>
    <row r="858" spans="2:9" ht="21" hidden="1" customHeight="1" x14ac:dyDescent="0.3">
      <c r="B858" s="192">
        <v>40</v>
      </c>
      <c r="C858" s="247" t="s">
        <v>777</v>
      </c>
      <c r="D858" s="247"/>
      <c r="E858" s="193">
        <f>+I205+M205+Q205+U205+Y205+AC205+AG205+AK205+AO205+AS205+AW205+BA205</f>
        <v>0</v>
      </c>
      <c r="F858" s="193">
        <f t="shared" ca="1" si="969"/>
        <v>0</v>
      </c>
      <c r="G858" s="194">
        <f t="shared" ca="1" si="970"/>
        <v>0</v>
      </c>
      <c r="H858" s="198"/>
      <c r="I858" s="187"/>
    </row>
    <row r="859" spans="2:9" s="186" customFormat="1" ht="21" hidden="1" customHeight="1" x14ac:dyDescent="0.3">
      <c r="B859" s="195"/>
      <c r="C859" s="248" t="s">
        <v>903</v>
      </c>
      <c r="D859" s="248"/>
      <c r="E859" s="194">
        <f>SUM(E845:E858)</f>
        <v>0</v>
      </c>
      <c r="F859" s="194">
        <f ca="1">SUM(F845:F858)</f>
        <v>0</v>
      </c>
      <c r="G859" s="194">
        <f t="shared" ca="1" si="970"/>
        <v>0</v>
      </c>
      <c r="H859" s="198"/>
      <c r="I859" s="187"/>
    </row>
    <row r="860" spans="2:9" ht="21" hidden="1" customHeight="1" x14ac:dyDescent="0.3"/>
    <row r="861" spans="2:9" s="20" customFormat="1" ht="21" hidden="1" customHeight="1" x14ac:dyDescent="0.25">
      <c r="C861" s="250" t="s">
        <v>905</v>
      </c>
      <c r="D861" s="250"/>
      <c r="E861" s="190" t="s">
        <v>912</v>
      </c>
      <c r="F861" s="190" t="s">
        <v>902</v>
      </c>
    </row>
    <row r="862" spans="2:9" ht="21" hidden="1" customHeight="1" x14ac:dyDescent="0.3">
      <c r="C862" s="247" t="s">
        <v>906</v>
      </c>
      <c r="D862" s="247"/>
      <c r="E862" s="193">
        <f ca="1">+G845+G846+G847+G852+G854+G855+G856</f>
        <v>0</v>
      </c>
      <c r="F862" s="196">
        <f ca="1">+IF((E862&gt;0),(E862/$E$866),0)</f>
        <v>0</v>
      </c>
    </row>
    <row r="863" spans="2:9" ht="21" hidden="1" customHeight="1" x14ac:dyDescent="0.3">
      <c r="C863" s="247" t="s">
        <v>907</v>
      </c>
      <c r="D863" s="247"/>
      <c r="E863" s="193">
        <f ca="1">+G857</f>
        <v>0</v>
      </c>
      <c r="F863" s="196">
        <f t="shared" ref="F863:F865" ca="1" si="971">+IF((E863&gt;0),(E863/$E$866),0)</f>
        <v>0</v>
      </c>
    </row>
    <row r="864" spans="2:9" ht="21" hidden="1" customHeight="1" x14ac:dyDescent="0.3">
      <c r="C864" s="247" t="s">
        <v>908</v>
      </c>
      <c r="D864" s="247"/>
      <c r="E864" s="193">
        <f ca="1">+G848+G849+G850+G851+G853</f>
        <v>0</v>
      </c>
      <c r="F864" s="196">
        <f t="shared" ca="1" si="971"/>
        <v>0</v>
      </c>
    </row>
    <row r="865" spans="1:10" ht="21" hidden="1" customHeight="1" x14ac:dyDescent="0.3">
      <c r="C865" s="247" t="s">
        <v>909</v>
      </c>
      <c r="D865" s="247"/>
      <c r="E865" s="193">
        <v>0</v>
      </c>
      <c r="F865" s="196">
        <f t="shared" si="971"/>
        <v>0</v>
      </c>
    </row>
    <row r="866" spans="1:10" ht="21" hidden="1" customHeight="1" x14ac:dyDescent="0.3">
      <c r="C866" s="248" t="s">
        <v>913</v>
      </c>
      <c r="D866" s="248"/>
      <c r="E866" s="194">
        <f ca="1">SUM(E862:E865)</f>
        <v>0</v>
      </c>
      <c r="F866" s="193"/>
    </row>
    <row r="867" spans="1:10" ht="21" hidden="1" customHeight="1" x14ac:dyDescent="0.3"/>
    <row r="868" spans="1:10" s="187" customFormat="1" ht="37.5" hidden="1" x14ac:dyDescent="0.25">
      <c r="B868" s="189" t="s">
        <v>887</v>
      </c>
      <c r="C868" s="250" t="s">
        <v>904</v>
      </c>
      <c r="D868" s="250"/>
      <c r="E868" s="191" t="s">
        <v>915</v>
      </c>
      <c r="F868" s="190" t="s">
        <v>902</v>
      </c>
      <c r="G868" s="190" t="s">
        <v>914</v>
      </c>
      <c r="H868" s="198"/>
      <c r="I868" s="198"/>
    </row>
    <row r="869" spans="1:10" ht="21" hidden="1" customHeight="1" x14ac:dyDescent="0.3">
      <c r="B869" s="192">
        <v>66</v>
      </c>
      <c r="C869" s="247" t="s">
        <v>929</v>
      </c>
      <c r="D869" s="247"/>
      <c r="E869" s="193">
        <f>+K386+O386+S386+W386+AA386+AE386+AI386+AM386+AQ386+AU386+AY386+BC386</f>
        <v>0</v>
      </c>
      <c r="F869" s="197">
        <f ca="1">+$F$863</f>
        <v>0</v>
      </c>
      <c r="G869" s="193">
        <f ca="1">+E869*F869</f>
        <v>0</v>
      </c>
      <c r="H869" s="11"/>
      <c r="I869" s="11"/>
    </row>
    <row r="870" spans="1:10" ht="21" hidden="1" customHeight="1" x14ac:dyDescent="0.3">
      <c r="B870" s="192">
        <v>68</v>
      </c>
      <c r="C870" s="247" t="s">
        <v>800</v>
      </c>
      <c r="D870" s="247"/>
      <c r="E870" s="193">
        <f>+K235+O235+S235+W235+AA235+AE235+AI235+AM235+AQ235+AU235+AY235+BC235</f>
        <v>0</v>
      </c>
      <c r="F870" s="197">
        <f t="shared" ref="F870:F877" ca="1" si="972">+$F$863</f>
        <v>0</v>
      </c>
      <c r="G870" s="193">
        <f ca="1">+E870*F870</f>
        <v>0</v>
      </c>
      <c r="H870" s="11"/>
      <c r="I870" s="11"/>
    </row>
    <row r="871" spans="1:10" ht="21" hidden="1" customHeight="1" x14ac:dyDescent="0.3">
      <c r="B871" s="192">
        <v>69</v>
      </c>
      <c r="C871" s="247" t="s">
        <v>801</v>
      </c>
      <c r="D871" s="247"/>
      <c r="E871" s="193">
        <f>+K249+O249+S249+W249+AA249+AE249+AI249+AM249+AQ249+AU249+AY249+BC249</f>
        <v>0</v>
      </c>
      <c r="F871" s="197">
        <f t="shared" ca="1" si="972"/>
        <v>0</v>
      </c>
      <c r="G871" s="193">
        <f t="shared" ref="G871:G877" ca="1" si="973">+E871*F871</f>
        <v>0</v>
      </c>
      <c r="H871" s="11"/>
      <c r="I871" s="11"/>
    </row>
    <row r="872" spans="1:10" ht="21" hidden="1" customHeight="1" x14ac:dyDescent="0.3">
      <c r="B872" s="192">
        <v>70</v>
      </c>
      <c r="C872" s="247" t="s">
        <v>783</v>
      </c>
      <c r="D872" s="247"/>
      <c r="E872" s="193">
        <f>+K263+O263+S263+W263+AA263+AE263+AI263+AM263+AQ263+AU263+AY263+BC263</f>
        <v>0</v>
      </c>
      <c r="F872" s="197">
        <f t="shared" ca="1" si="972"/>
        <v>0</v>
      </c>
      <c r="G872" s="193">
        <f t="shared" ca="1" si="973"/>
        <v>0</v>
      </c>
      <c r="H872" s="11"/>
      <c r="I872" s="11"/>
    </row>
    <row r="873" spans="1:10" ht="21" hidden="1" customHeight="1" x14ac:dyDescent="0.3">
      <c r="B873" s="192">
        <v>71</v>
      </c>
      <c r="C873" s="247" t="s">
        <v>802</v>
      </c>
      <c r="D873" s="247"/>
      <c r="E873" s="193">
        <f>+K317+O317+S317+W317+AA317+AE317+AI317+AM317+AQ317+AU317+AY317+BC317</f>
        <v>0</v>
      </c>
      <c r="F873" s="197">
        <f t="shared" ca="1" si="972"/>
        <v>0</v>
      </c>
      <c r="G873" s="193">
        <f t="shared" ca="1" si="973"/>
        <v>0</v>
      </c>
      <c r="H873" s="11"/>
      <c r="I873" s="11"/>
    </row>
    <row r="874" spans="1:10" ht="21" hidden="1" customHeight="1" x14ac:dyDescent="0.3">
      <c r="B874" s="192">
        <v>72</v>
      </c>
      <c r="C874" s="247" t="s">
        <v>803</v>
      </c>
      <c r="D874" s="247"/>
      <c r="E874" s="193">
        <f>+K331+O331+S331+W331+AA331+AE331+AI331+AM331+AQ331+AU331+AY331+BC331</f>
        <v>0</v>
      </c>
      <c r="F874" s="197">
        <f t="shared" ca="1" si="972"/>
        <v>0</v>
      </c>
      <c r="G874" s="193">
        <f t="shared" ca="1" si="973"/>
        <v>0</v>
      </c>
      <c r="H874" s="11"/>
      <c r="I874" s="11"/>
    </row>
    <row r="875" spans="1:10" ht="21" hidden="1" customHeight="1" x14ac:dyDescent="0.3">
      <c r="B875" s="192">
        <v>73</v>
      </c>
      <c r="C875" s="247" t="s">
        <v>45</v>
      </c>
      <c r="D875" s="247"/>
      <c r="E875" s="193">
        <f>+K416+O416+S416+W416+AA416+AE416+AI416+AM416+AQ416+AU416+AY416+BC416</f>
        <v>0</v>
      </c>
      <c r="F875" s="197">
        <f t="shared" ca="1" si="972"/>
        <v>0</v>
      </c>
      <c r="G875" s="193">
        <f t="shared" ca="1" si="973"/>
        <v>0</v>
      </c>
      <c r="H875" s="11"/>
      <c r="I875" s="11"/>
    </row>
    <row r="876" spans="1:10" ht="21" hidden="1" customHeight="1" x14ac:dyDescent="0.3">
      <c r="B876" s="192">
        <v>74</v>
      </c>
      <c r="C876" s="247" t="s">
        <v>804</v>
      </c>
      <c r="D876" s="247"/>
      <c r="E876" s="193">
        <f ca="1">+SUMIF(J296:K302,5%,K296:K302)+SUMIF(N296:O302,5%,O296:O302)+K345+O345
+SUMIF(R296:S302,5%,S296:S302)+SUMIF(V296:W302,5%,W296:W302)+S345+W345
+SUMIF(Z296:AA302,5%,AA296:AA302)+SUMIF(AD296:AE302,5%,AE296:AE302)+AA345+AE345
+SUMIF(AH296:AI302,5%,AI296:AI302)+SUMIF(AL296:AM302,5%,AM296:AM302)+AI345+AM345
+SUMIF(AP296:AQ302,5%,AQ296:AQ302)+SUMIF(AT296:AU302,5%,AU296:AU302)+AQ345+AU345
+SUMIF(AX296:AY302,5%,AY296:AY302)+SUMIF(BB296:BC302,5%,BC296:BC302)+AY345+BC345</f>
        <v>0</v>
      </c>
      <c r="F876" s="197">
        <f t="shared" ca="1" si="972"/>
        <v>0</v>
      </c>
      <c r="G876" s="193">
        <f t="shared" ca="1" si="973"/>
        <v>0</v>
      </c>
      <c r="H876" s="11"/>
      <c r="I876" s="11"/>
    </row>
    <row r="877" spans="1:10" ht="21" hidden="1" customHeight="1" x14ac:dyDescent="0.3">
      <c r="B877" s="192">
        <v>75</v>
      </c>
      <c r="C877" s="247" t="s">
        <v>805</v>
      </c>
      <c r="D877" s="247"/>
      <c r="E877" s="193">
        <f ca="1">+SUMIF(J296:K302,19%,K296:K302)+SUMIF(N296:O302,19%,O296:O302)+K359+O359
+SUMIF(R296:S302,19%,S296:S302)+SUMIF(V296:W302,19%,W296:W302)+S359+W359
+SUMIF(Z296:AA302,19%,AA296:AA302)+SUMIF(AD296:AE302,19%,AE296:AE302)+AA359+AE359
+SUMIF(AH296:AI302,19%,AI296:AI302)+SUMIF(AL296:AM302,19%,AM296:AM302)+AI359+AM359
+SUMIF(AP296:AQ302,19%,AQ296:AQ302)+SUMIF(AT296:AU302,19%,AU296:AU302)+AQ359+AU359
+SUMIF(AX296:AY302,19%,AY296:AY302)+SUMIF(BB296:BC302,19%,BC296:BC302)+AY359+BC359</f>
        <v>0</v>
      </c>
      <c r="F877" s="197">
        <f t="shared" ca="1" si="972"/>
        <v>0</v>
      </c>
      <c r="G877" s="193">
        <f t="shared" ca="1" si="973"/>
        <v>0</v>
      </c>
      <c r="H877" s="11"/>
      <c r="I877" s="11"/>
    </row>
    <row r="878" spans="1:10" ht="21" hidden="1" customHeight="1" x14ac:dyDescent="0.3">
      <c r="B878" s="195"/>
      <c r="C878" s="248" t="s">
        <v>903</v>
      </c>
      <c r="D878" s="248"/>
      <c r="E878" s="194">
        <f ca="1">SUM(E870:E877)</f>
        <v>0</v>
      </c>
      <c r="F878" s="197"/>
      <c r="G878" s="194">
        <f ca="1">SUM(G870:G877)</f>
        <v>0</v>
      </c>
      <c r="H878" s="11"/>
      <c r="I878" s="11"/>
    </row>
    <row r="879" spans="1:10" hidden="1" x14ac:dyDescent="0.3"/>
    <row r="880" spans="1:10" ht="36" customHeight="1" x14ac:dyDescent="0.3">
      <c r="A880" s="11"/>
      <c r="B880" s="297" t="s">
        <v>890</v>
      </c>
      <c r="C880" s="297"/>
      <c r="D880" s="297"/>
      <c r="E880" s="297"/>
      <c r="F880" s="297"/>
      <c r="G880" s="297"/>
      <c r="H880" s="297"/>
      <c r="I880" s="297"/>
      <c r="J880" s="297"/>
    </row>
    <row r="882" spans="1:42" ht="36" hidden="1" customHeight="1" x14ac:dyDescent="0.3">
      <c r="A882" s="11"/>
      <c r="B882" s="361" t="s">
        <v>891</v>
      </c>
      <c r="C882" s="361"/>
      <c r="D882" s="361"/>
      <c r="E882" s="361"/>
      <c r="F882" s="361"/>
      <c r="G882" s="361"/>
      <c r="H882" s="361"/>
      <c r="I882" s="361"/>
      <c r="J882" s="361"/>
    </row>
    <row r="883" spans="1:42" hidden="1" x14ac:dyDescent="0.3"/>
    <row r="884" spans="1:42" s="137" customFormat="1" ht="18.75" hidden="1" customHeight="1" x14ac:dyDescent="0.3">
      <c r="A884" s="136"/>
      <c r="B884" s="298" t="s">
        <v>832</v>
      </c>
      <c r="C884" s="298"/>
      <c r="D884" s="298"/>
      <c r="E884" s="176"/>
      <c r="G884" s="342" t="s">
        <v>831</v>
      </c>
      <c r="I884" s="357" t="str">
        <f>+"UVT del año 
"&amp;G886&amp;""</f>
        <v>UVT del año 
2025</v>
      </c>
      <c r="AC884" s="139"/>
      <c r="AD884" s="139"/>
      <c r="AE884" s="139"/>
      <c r="AF884" s="139"/>
      <c r="AG884" s="139"/>
      <c r="AH884" s="139"/>
      <c r="AI884" s="139"/>
      <c r="AJ884" s="139"/>
      <c r="AK884" s="139"/>
      <c r="AL884" s="139"/>
      <c r="AM884" s="139"/>
      <c r="AN884" s="139"/>
      <c r="AO884" s="139"/>
      <c r="AP884" s="139"/>
    </row>
    <row r="885" spans="1:42" s="137" customFormat="1" ht="18.75" hidden="1" customHeight="1" x14ac:dyDescent="0.3">
      <c r="A885" s="136"/>
      <c r="B885" s="298" t="s">
        <v>833</v>
      </c>
      <c r="C885" s="298"/>
      <c r="D885" s="298"/>
      <c r="E885" s="176"/>
      <c r="G885" s="342"/>
      <c r="I885" s="357"/>
      <c r="K885" s="140"/>
      <c r="AC885" s="139"/>
      <c r="AD885" s="139"/>
      <c r="AE885" s="139"/>
      <c r="AF885" s="139"/>
      <c r="AG885" s="139"/>
      <c r="AH885" s="139"/>
      <c r="AI885" s="139"/>
      <c r="AJ885" s="139"/>
      <c r="AK885" s="139"/>
      <c r="AL885" s="139"/>
      <c r="AM885" s="139"/>
      <c r="AN885" s="139"/>
      <c r="AO885" s="139"/>
      <c r="AP885" s="139"/>
    </row>
    <row r="886" spans="1:42" s="137" customFormat="1" ht="18.75" hidden="1" customHeight="1" x14ac:dyDescent="0.3">
      <c r="A886" s="136"/>
      <c r="B886" s="298" t="s">
        <v>834</v>
      </c>
      <c r="C886" s="298"/>
      <c r="D886" s="298"/>
      <c r="E886" s="179" t="s">
        <v>835</v>
      </c>
      <c r="G886" s="135">
        <v>2025</v>
      </c>
      <c r="I886" s="138">
        <v>49799</v>
      </c>
      <c r="K886" s="140"/>
      <c r="AC886" s="139"/>
      <c r="AD886" s="139"/>
      <c r="AE886" s="139"/>
      <c r="AF886" s="139"/>
      <c r="AG886" s="139"/>
      <c r="AH886" s="139"/>
      <c r="AI886" s="139"/>
      <c r="AJ886" s="139"/>
      <c r="AK886" s="139"/>
      <c r="AL886" s="139"/>
      <c r="AM886" s="139"/>
      <c r="AN886" s="139"/>
      <c r="AO886" s="139"/>
      <c r="AP886" s="139"/>
    </row>
    <row r="887" spans="1:42" s="137" customFormat="1" ht="18.75" hidden="1" customHeight="1" x14ac:dyDescent="0.3">
      <c r="A887" s="136"/>
      <c r="B887" s="298" t="s">
        <v>836</v>
      </c>
      <c r="C887" s="298"/>
      <c r="D887" s="298"/>
      <c r="E887" s="179" t="s">
        <v>835</v>
      </c>
      <c r="J887" s="141" t="str">
        <f>+IF(AND(E887="Si",E888=""),"Recuerde diligenciar la fila "&amp;ROW(E888)&amp;"","")</f>
        <v/>
      </c>
      <c r="AC887" s="139"/>
      <c r="AD887" s="139"/>
      <c r="AE887" s="139"/>
      <c r="AF887" s="139"/>
      <c r="AG887" s="139"/>
      <c r="AH887" s="139"/>
      <c r="AI887" s="139"/>
      <c r="AJ887" s="139"/>
      <c r="AK887" s="139"/>
      <c r="AL887" s="139"/>
      <c r="AM887" s="139"/>
      <c r="AN887" s="139"/>
      <c r="AO887" s="139"/>
      <c r="AP887" s="139"/>
    </row>
    <row r="888" spans="1:42" s="137" customFormat="1" ht="18" hidden="1" customHeight="1" x14ac:dyDescent="0.3">
      <c r="A888" s="136"/>
      <c r="B888" s="298" t="s">
        <v>963</v>
      </c>
      <c r="C888" s="298"/>
      <c r="D888" s="298"/>
      <c r="E888" s="180"/>
      <c r="J888" s="142" t="str">
        <f>+IF(AND(E887="No",E888&gt;0),"No es necesario digitar fecha en esta fila","")</f>
        <v/>
      </c>
      <c r="K888" s="140"/>
      <c r="AC888" s="139"/>
      <c r="AD888" s="139"/>
      <c r="AE888" s="139"/>
      <c r="AF888" s="139"/>
      <c r="AG888" s="139"/>
      <c r="AH888" s="139"/>
      <c r="AI888" s="139"/>
      <c r="AJ888" s="139"/>
      <c r="AK888" s="139"/>
      <c r="AL888" s="139"/>
      <c r="AM888" s="139"/>
      <c r="AN888" s="139"/>
      <c r="AO888" s="139"/>
      <c r="AP888" s="139"/>
    </row>
    <row r="889" spans="1:42" s="137" customFormat="1" ht="18.75" hidden="1" customHeight="1" x14ac:dyDescent="0.3">
      <c r="A889" s="136"/>
      <c r="B889" s="298" t="s">
        <v>837</v>
      </c>
      <c r="C889" s="298"/>
      <c r="D889" s="298"/>
      <c r="E889" s="182">
        <f>IF(E888="",0,-DAYS360(E884,E888)/360)</f>
        <v>0</v>
      </c>
      <c r="K889" s="140"/>
      <c r="AC889" s="139"/>
      <c r="AD889" s="139"/>
      <c r="AE889" s="139"/>
      <c r="AF889" s="139"/>
      <c r="AG889" s="139"/>
      <c r="AH889" s="139"/>
      <c r="AI889" s="139"/>
      <c r="AJ889" s="139"/>
      <c r="AK889" s="139"/>
      <c r="AL889" s="139"/>
      <c r="AM889" s="139"/>
      <c r="AN889" s="139"/>
      <c r="AO889" s="139"/>
      <c r="AP889" s="139"/>
    </row>
    <row r="890" spans="1:42" s="137" customFormat="1" ht="18.75" hidden="1" customHeight="1" x14ac:dyDescent="0.3">
      <c r="A890" s="136"/>
      <c r="B890" s="298" t="s">
        <v>838</v>
      </c>
      <c r="C890" s="298"/>
      <c r="D890" s="298"/>
      <c r="E890" s="177">
        <f>IF(E887="No",50%,IF(E886="No",+IF(E889&gt;2,50%,IF(AND(E889&lt;=2,E889&gt;1),75%,"No aplica")),IF(E886="Si",+IF(E889&gt;4,50%,IF(AND(E889&lt;=4,E889&gt;2),75%,"No aplica")))))</f>
        <v>0.5</v>
      </c>
      <c r="K890" s="140"/>
      <c r="AC890" s="139"/>
      <c r="AD890" s="139"/>
      <c r="AE890" s="139"/>
      <c r="AF890" s="139"/>
      <c r="AG890" s="139"/>
      <c r="AH890" s="139"/>
      <c r="AI890" s="139"/>
      <c r="AJ890" s="139"/>
      <c r="AK890" s="139"/>
      <c r="AL890" s="139"/>
      <c r="AM890" s="139"/>
      <c r="AN890" s="139"/>
      <c r="AO890" s="139"/>
      <c r="AP890" s="139"/>
    </row>
    <row r="891" spans="1:42" s="137" customFormat="1" ht="18.75" hidden="1" customHeight="1" x14ac:dyDescent="0.3">
      <c r="A891" s="136"/>
      <c r="B891" s="136"/>
      <c r="C891" s="136"/>
      <c r="K891" s="140"/>
      <c r="AC891" s="139"/>
      <c r="AD891" s="139"/>
      <c r="AE891" s="139"/>
      <c r="AF891" s="139"/>
      <c r="AG891" s="139"/>
      <c r="AH891" s="139"/>
      <c r="AI891" s="139"/>
      <c r="AJ891" s="139"/>
      <c r="AK891" s="139"/>
      <c r="AL891" s="139"/>
      <c r="AM891" s="139"/>
      <c r="AN891" s="139"/>
      <c r="AO891" s="139"/>
      <c r="AP891" s="139"/>
    </row>
    <row r="892" spans="1:42" s="137" customFormat="1" ht="18.75" hidden="1" customHeight="1" x14ac:dyDescent="0.3">
      <c r="A892" s="136"/>
      <c r="B892" s="293" t="s">
        <v>839</v>
      </c>
      <c r="C892" s="294"/>
      <c r="D892" s="295"/>
      <c r="E892" s="146"/>
      <c r="K892" s="140"/>
      <c r="AC892" s="139"/>
      <c r="AD892" s="139"/>
      <c r="AE892" s="139"/>
      <c r="AF892" s="139"/>
      <c r="AG892" s="139"/>
      <c r="AH892" s="139"/>
      <c r="AI892" s="139"/>
      <c r="AJ892" s="139"/>
      <c r="AK892" s="139"/>
      <c r="AL892" s="139"/>
      <c r="AM892" s="139"/>
      <c r="AN892" s="139"/>
      <c r="AO892" s="139"/>
      <c r="AP892" s="139"/>
    </row>
    <row r="893" spans="1:42" s="137" customFormat="1" ht="18.75" hidden="1" customHeight="1" x14ac:dyDescent="0.3">
      <c r="A893" s="136"/>
      <c r="B893" s="144"/>
      <c r="C893" s="136"/>
      <c r="E893" s="144"/>
      <c r="K893" s="140"/>
      <c r="AC893" s="139"/>
      <c r="AD893" s="139"/>
      <c r="AE893" s="139"/>
      <c r="AF893" s="139"/>
      <c r="AG893" s="139"/>
      <c r="AH893" s="139"/>
      <c r="AI893" s="139"/>
      <c r="AJ893" s="139"/>
      <c r="AK893" s="139"/>
      <c r="AL893" s="139"/>
      <c r="AM893" s="139"/>
      <c r="AN893" s="139"/>
      <c r="AO893" s="139"/>
      <c r="AP893" s="139"/>
    </row>
    <row r="894" spans="1:42" s="137" customFormat="1" ht="18.75" hidden="1" customHeight="1" x14ac:dyDescent="0.3">
      <c r="A894" s="136"/>
      <c r="B894" s="145" t="s">
        <v>840</v>
      </c>
      <c r="C894" s="136"/>
      <c r="E894" s="144"/>
      <c r="K894" s="140"/>
      <c r="AC894" s="139"/>
      <c r="AD894" s="139"/>
      <c r="AE894" s="139"/>
      <c r="AF894" s="139"/>
      <c r="AG894" s="139"/>
      <c r="AH894" s="139"/>
      <c r="AI894" s="139"/>
      <c r="AJ894" s="139"/>
      <c r="AK894" s="139"/>
      <c r="AL894" s="139"/>
      <c r="AM894" s="139"/>
      <c r="AN894" s="139"/>
      <c r="AO894" s="139"/>
      <c r="AP894" s="139"/>
    </row>
    <row r="895" spans="1:42" s="137" customFormat="1" ht="18.75" hidden="1" customHeight="1" x14ac:dyDescent="0.3">
      <c r="A895" s="136"/>
      <c r="B895" s="293" t="s">
        <v>841</v>
      </c>
      <c r="C895" s="294"/>
      <c r="D895" s="295"/>
      <c r="E895" s="146"/>
      <c r="K895" s="140"/>
      <c r="AC895" s="139"/>
      <c r="AD895" s="139"/>
      <c r="AE895" s="139"/>
      <c r="AF895" s="139"/>
      <c r="AG895" s="139"/>
      <c r="AH895" s="139"/>
      <c r="AI895" s="139"/>
      <c r="AJ895" s="139"/>
      <c r="AK895" s="139"/>
      <c r="AL895" s="139"/>
      <c r="AM895" s="139"/>
      <c r="AN895" s="139"/>
      <c r="AO895" s="139"/>
      <c r="AP895" s="139"/>
    </row>
    <row r="896" spans="1:42" s="137" customFormat="1" ht="18.75" hidden="1" customHeight="1" x14ac:dyDescent="0.3">
      <c r="A896" s="136"/>
      <c r="B896" s="293" t="s">
        <v>842</v>
      </c>
      <c r="C896" s="294"/>
      <c r="D896" s="295"/>
      <c r="E896" s="146"/>
      <c r="K896" s="140"/>
      <c r="AC896" s="139"/>
      <c r="AD896" s="139"/>
      <c r="AE896" s="139"/>
      <c r="AF896" s="139"/>
      <c r="AG896" s="139"/>
      <c r="AH896" s="139"/>
      <c r="AI896" s="139"/>
      <c r="AJ896" s="139"/>
      <c r="AK896" s="139"/>
      <c r="AL896" s="139"/>
      <c r="AM896" s="139"/>
      <c r="AN896" s="139"/>
      <c r="AO896" s="139"/>
      <c r="AP896" s="139"/>
    </row>
    <row r="897" spans="1:42" s="137" customFormat="1" ht="18.75" hidden="1" customHeight="1" x14ac:dyDescent="0.3">
      <c r="A897" s="136"/>
      <c r="B897" s="144"/>
      <c r="C897" s="136"/>
      <c r="E897" s="144"/>
      <c r="K897" s="140"/>
      <c r="AC897" s="139"/>
      <c r="AD897" s="139"/>
      <c r="AE897" s="139"/>
      <c r="AF897" s="139"/>
      <c r="AG897" s="139"/>
      <c r="AH897" s="139"/>
      <c r="AI897" s="139"/>
      <c r="AJ897" s="139"/>
      <c r="AK897" s="139"/>
      <c r="AL897" s="139"/>
      <c r="AM897" s="139"/>
      <c r="AN897" s="139"/>
      <c r="AO897" s="139"/>
      <c r="AP897" s="139"/>
    </row>
    <row r="898" spans="1:42" s="137" customFormat="1" ht="18.75" hidden="1" customHeight="1" x14ac:dyDescent="0.3">
      <c r="A898" s="136"/>
      <c r="B898" s="145" t="s">
        <v>843</v>
      </c>
      <c r="C898" s="136"/>
      <c r="E898" s="144"/>
      <c r="K898" s="140"/>
      <c r="AC898" s="139"/>
      <c r="AD898" s="139"/>
      <c r="AE898" s="139"/>
      <c r="AF898" s="139"/>
      <c r="AG898" s="139"/>
      <c r="AH898" s="139"/>
      <c r="AI898" s="139"/>
      <c r="AJ898" s="139"/>
      <c r="AK898" s="139"/>
      <c r="AL898" s="139"/>
      <c r="AM898" s="139"/>
      <c r="AN898" s="139"/>
      <c r="AO898" s="139"/>
      <c r="AP898" s="139"/>
    </row>
    <row r="899" spans="1:42" s="137" customFormat="1" ht="18.75" hidden="1" customHeight="1" x14ac:dyDescent="0.3">
      <c r="A899" s="136"/>
      <c r="B899" s="293" t="str">
        <f>+"Valor del patrimonio líquido del año anterior ("&amp;I6-1&amp;")"</f>
        <v>Valor del patrimonio líquido del año anterior (2024)</v>
      </c>
      <c r="C899" s="294"/>
      <c r="D899" s="295"/>
      <c r="E899" s="146"/>
      <c r="AC899" s="139"/>
      <c r="AD899" s="139"/>
      <c r="AE899" s="139"/>
      <c r="AF899" s="139"/>
      <c r="AG899" s="139"/>
      <c r="AH899" s="139"/>
      <c r="AI899" s="139"/>
      <c r="AJ899" s="139"/>
      <c r="AK899" s="139"/>
      <c r="AL899" s="139"/>
      <c r="AM899" s="139"/>
      <c r="AN899" s="139"/>
      <c r="AO899" s="139"/>
      <c r="AP899" s="139"/>
    </row>
    <row r="900" spans="1:42" s="137" customFormat="1" ht="18.75" hidden="1" customHeight="1" x14ac:dyDescent="0.3">
      <c r="A900" s="136"/>
      <c r="B900" s="293" t="s">
        <v>842</v>
      </c>
      <c r="C900" s="294"/>
      <c r="D900" s="295"/>
      <c r="E900" s="146"/>
      <c r="AC900" s="139"/>
      <c r="AD900" s="139"/>
      <c r="AE900" s="139"/>
      <c r="AF900" s="139"/>
      <c r="AG900" s="139"/>
      <c r="AH900" s="139"/>
      <c r="AI900" s="139"/>
      <c r="AJ900" s="139"/>
      <c r="AK900" s="139"/>
      <c r="AL900" s="139"/>
      <c r="AM900" s="139"/>
      <c r="AN900" s="139"/>
      <c r="AO900" s="139"/>
      <c r="AP900" s="139"/>
    </row>
    <row r="901" spans="1:42" s="137" customFormat="1" ht="18.75" hidden="1" customHeight="1" x14ac:dyDescent="0.3">
      <c r="A901" s="136"/>
      <c r="B901" s="144"/>
      <c r="C901" s="136"/>
      <c r="E901" s="144"/>
      <c r="AC901" s="139"/>
      <c r="AD901" s="139"/>
      <c r="AE901" s="139"/>
      <c r="AF901" s="139"/>
      <c r="AG901" s="139"/>
      <c r="AH901" s="139"/>
      <c r="AI901" s="139"/>
      <c r="AJ901" s="139"/>
      <c r="AK901" s="139"/>
      <c r="AL901" s="139"/>
      <c r="AM901" s="139"/>
      <c r="AN901" s="139"/>
      <c r="AO901" s="139"/>
      <c r="AP901" s="139"/>
    </row>
    <row r="902" spans="1:42" s="137" customFormat="1" ht="18.75" hidden="1" customHeight="1" x14ac:dyDescent="0.3">
      <c r="A902" s="136"/>
      <c r="B902" s="293" t="s">
        <v>844</v>
      </c>
      <c r="C902" s="294"/>
      <c r="D902" s="295"/>
      <c r="E902" s="147" t="str">
        <f>IFERROR(IF(E884="","",IF(E885-E884&gt;0,ROUNDUP((DAYS360(E884,E885))/30,0),0)),0)</f>
        <v/>
      </c>
      <c r="G902" s="215" t="str">
        <f>+"Nota: Copie y pegue el valor de la casilla 'E"&amp;ROW($E$915)&amp;"' en el periodo correspondiente:"</f>
        <v>Nota: Copie y pegue el valor de la casilla 'E915' en el periodo correspondiente:</v>
      </c>
      <c r="K902" s="140"/>
      <c r="AC902" s="139"/>
      <c r="AD902" s="139"/>
      <c r="AE902" s="139"/>
      <c r="AF902" s="139"/>
      <c r="AG902" s="139"/>
      <c r="AH902" s="139"/>
      <c r="AI902" s="139"/>
      <c r="AJ902" s="139"/>
      <c r="AK902" s="139"/>
      <c r="AL902" s="139"/>
      <c r="AM902" s="139"/>
      <c r="AN902" s="139"/>
      <c r="AO902" s="139"/>
      <c r="AP902" s="139"/>
    </row>
    <row r="903" spans="1:42" s="137" customFormat="1" ht="18.75" hidden="1" customHeight="1" x14ac:dyDescent="0.3">
      <c r="A903" s="136"/>
      <c r="B903" s="293" t="s">
        <v>845</v>
      </c>
      <c r="C903" s="294"/>
      <c r="D903" s="295"/>
      <c r="E903" s="148">
        <f>IF(E892&gt;0,IF(E886="No",E902*5%,E902*10%),IF(E895&gt;0,IF(E886="No",E902*0.5%,E902*1%),IF(E899&gt;0,IF(E886="No",E902*1%,E902*2%),0)))</f>
        <v>0</v>
      </c>
      <c r="AC903" s="139"/>
      <c r="AD903" s="139"/>
      <c r="AE903" s="139"/>
      <c r="AF903" s="139"/>
      <c r="AG903" s="139"/>
      <c r="AH903" s="139"/>
      <c r="AI903" s="139"/>
      <c r="AJ903" s="139"/>
      <c r="AK903" s="139"/>
      <c r="AL903" s="139"/>
      <c r="AM903" s="139"/>
      <c r="AN903" s="139"/>
      <c r="AO903" s="139"/>
      <c r="AP903" s="139"/>
    </row>
    <row r="904" spans="1:42" s="137" customFormat="1" ht="18.75" hidden="1" customHeight="1" x14ac:dyDescent="0.3">
      <c r="A904" s="136"/>
      <c r="B904" s="144"/>
      <c r="C904" s="136"/>
      <c r="E904" s="144"/>
      <c r="G904" s="255" t="s">
        <v>877</v>
      </c>
      <c r="H904" s="256"/>
      <c r="I904" s="256"/>
      <c r="J904" s="256"/>
      <c r="K904" s="256"/>
      <c r="L904" s="256"/>
      <c r="M904" s="256"/>
      <c r="N904" s="256"/>
      <c r="O904" s="256"/>
      <c r="P904" s="256"/>
      <c r="Q904" s="257"/>
      <c r="AC904" s="139"/>
      <c r="AD904" s="139"/>
      <c r="AE904" s="139"/>
      <c r="AF904" s="139"/>
      <c r="AG904" s="139"/>
      <c r="AH904" s="139"/>
      <c r="AI904" s="139"/>
      <c r="AJ904" s="139"/>
      <c r="AK904" s="139"/>
      <c r="AL904" s="139"/>
      <c r="AM904" s="139"/>
      <c r="AN904" s="139"/>
      <c r="AO904" s="139"/>
      <c r="AP904" s="139"/>
    </row>
    <row r="905" spans="1:42" s="137" customFormat="1" ht="18.75" hidden="1" customHeight="1" x14ac:dyDescent="0.3">
      <c r="A905" s="136"/>
      <c r="B905" s="145" t="s">
        <v>846</v>
      </c>
      <c r="C905" s="136"/>
      <c r="E905" s="144"/>
      <c r="G905" s="184" t="s">
        <v>871</v>
      </c>
      <c r="H905" s="140"/>
      <c r="I905" s="184" t="s">
        <v>872</v>
      </c>
      <c r="J905" s="140"/>
      <c r="K905" s="184" t="s">
        <v>873</v>
      </c>
      <c r="M905" s="184" t="s">
        <v>874</v>
      </c>
      <c r="O905" s="184" t="s">
        <v>875</v>
      </c>
      <c r="Q905" s="184" t="s">
        <v>876</v>
      </c>
      <c r="AC905" s="139"/>
      <c r="AD905" s="139"/>
      <c r="AE905" s="139"/>
      <c r="AF905" s="139"/>
      <c r="AG905" s="139"/>
      <c r="AH905" s="139"/>
      <c r="AI905" s="139"/>
      <c r="AJ905" s="139"/>
      <c r="AK905" s="139"/>
      <c r="AL905" s="139"/>
      <c r="AM905" s="139"/>
      <c r="AN905" s="139"/>
      <c r="AO905" s="139"/>
      <c r="AP905" s="139"/>
    </row>
    <row r="906" spans="1:42" s="137" customFormat="1" ht="18.75" hidden="1" customHeight="1" x14ac:dyDescent="0.3">
      <c r="A906" s="136"/>
      <c r="B906" s="293" t="s">
        <v>847</v>
      </c>
      <c r="C906" s="294"/>
      <c r="D906" s="295"/>
      <c r="E906" s="143">
        <f>ROUND(IF(E892&gt;0,IF(E886="No",E892,E892*2),0),-3)</f>
        <v>0</v>
      </c>
      <c r="G906" s="167"/>
      <c r="H906" s="140"/>
      <c r="I906" s="168"/>
      <c r="J906" s="140"/>
      <c r="K906" s="167"/>
      <c r="M906" s="167"/>
      <c r="O906" s="167"/>
      <c r="Q906" s="167"/>
      <c r="AC906" s="139"/>
      <c r="AD906" s="139"/>
      <c r="AE906" s="139"/>
      <c r="AF906" s="139"/>
      <c r="AG906" s="139"/>
      <c r="AH906" s="139"/>
      <c r="AI906" s="139"/>
      <c r="AJ906" s="139"/>
      <c r="AK906" s="139"/>
      <c r="AL906" s="139"/>
      <c r="AM906" s="139"/>
      <c r="AN906" s="139"/>
      <c r="AO906" s="139"/>
      <c r="AP906" s="139"/>
    </row>
    <row r="907" spans="1:42" s="137" customFormat="1" ht="18.75" hidden="1" customHeight="1" x14ac:dyDescent="0.3">
      <c r="A907" s="136"/>
      <c r="B907" s="293" t="s">
        <v>848</v>
      </c>
      <c r="C907" s="294"/>
      <c r="D907" s="295"/>
      <c r="E907" s="143">
        <f>+ROUND(+IF(E895&gt;0,IF(E886="No",MIN(E895*5%,IF(E896&gt;0,E896*2,2500*I886)),IF(E886="Si",MIN(E895*10%,IF(E896&gt;0,E896*4,5000*I886)),0)),0),-3)</f>
        <v>0</v>
      </c>
      <c r="AC907" s="139"/>
      <c r="AD907" s="139"/>
      <c r="AE907" s="139"/>
      <c r="AF907" s="139"/>
      <c r="AG907" s="139"/>
      <c r="AH907" s="139"/>
      <c r="AI907" s="139"/>
      <c r="AJ907" s="139"/>
      <c r="AK907" s="139"/>
      <c r="AL907" s="139"/>
      <c r="AM907" s="139"/>
      <c r="AN907" s="139"/>
      <c r="AO907" s="139"/>
      <c r="AP907" s="139"/>
    </row>
    <row r="908" spans="1:42" s="137" customFormat="1" ht="18.75" hidden="1" customHeight="1" x14ac:dyDescent="0.3">
      <c r="A908" s="136"/>
      <c r="B908" s="293" t="s">
        <v>849</v>
      </c>
      <c r="C908" s="294"/>
      <c r="D908" s="295"/>
      <c r="E908" s="143">
        <f>+ROUND(+IF(E899&gt;0,IF(E886="No",MIN(E899*10%,IF(E900&gt;0,E900*2,2500*I886)),IF(E886="Si",MIN(E899*20%,IF(E900&gt;0,E900*4,5000*I886)),0)),0),-3)</f>
        <v>0</v>
      </c>
      <c r="G908" s="251" t="s">
        <v>878</v>
      </c>
      <c r="H908" s="252"/>
      <c r="I908" s="252"/>
      <c r="J908" s="252"/>
      <c r="K908" s="253"/>
      <c r="AC908" s="139"/>
      <c r="AD908" s="139"/>
      <c r="AE908" s="139"/>
      <c r="AF908" s="139"/>
      <c r="AG908" s="139"/>
      <c r="AH908" s="139"/>
      <c r="AI908" s="139"/>
      <c r="AJ908" s="139"/>
      <c r="AK908" s="139"/>
      <c r="AL908" s="139"/>
      <c r="AM908" s="139"/>
      <c r="AN908" s="139"/>
      <c r="AO908" s="139"/>
      <c r="AP908" s="139"/>
    </row>
    <row r="909" spans="1:42" s="137" customFormat="1" ht="18.75" hidden="1" customHeight="1" x14ac:dyDescent="0.3">
      <c r="A909" s="136"/>
      <c r="B909" s="149"/>
      <c r="C909" s="136"/>
      <c r="E909" s="149"/>
      <c r="G909" s="184" t="s">
        <v>879</v>
      </c>
      <c r="I909" s="184" t="s">
        <v>880</v>
      </c>
      <c r="K909" s="184" t="s">
        <v>881</v>
      </c>
      <c r="AC909" s="139"/>
      <c r="AD909" s="139"/>
      <c r="AE909" s="139"/>
      <c r="AF909" s="139"/>
      <c r="AG909" s="139"/>
      <c r="AH909" s="139"/>
      <c r="AI909" s="139"/>
      <c r="AJ909" s="139"/>
      <c r="AK909" s="139"/>
      <c r="AL909" s="139"/>
      <c r="AM909" s="139"/>
      <c r="AN909" s="139"/>
      <c r="AO909" s="139"/>
      <c r="AP909" s="139"/>
    </row>
    <row r="910" spans="1:42" s="137" customFormat="1" ht="18.75" hidden="1" customHeight="1" x14ac:dyDescent="0.3">
      <c r="A910" s="136"/>
      <c r="B910" s="150" t="s">
        <v>850</v>
      </c>
      <c r="C910" s="136"/>
      <c r="E910" s="149"/>
      <c r="G910" s="167"/>
      <c r="I910" s="168"/>
      <c r="K910" s="167"/>
      <c r="AC910" s="139"/>
      <c r="AD910" s="139"/>
      <c r="AE910" s="139"/>
      <c r="AF910" s="139"/>
      <c r="AG910" s="139"/>
      <c r="AH910" s="139"/>
      <c r="AI910" s="139"/>
      <c r="AJ910" s="139"/>
      <c r="AK910" s="139"/>
      <c r="AL910" s="139"/>
      <c r="AM910" s="139"/>
      <c r="AN910" s="139"/>
      <c r="AO910" s="139"/>
      <c r="AP910" s="139"/>
    </row>
    <row r="911" spans="1:42" s="137" customFormat="1" hidden="1" x14ac:dyDescent="0.3">
      <c r="A911" s="136"/>
      <c r="B911" s="296" t="s">
        <v>851</v>
      </c>
      <c r="C911" s="296"/>
      <c r="D911" s="296"/>
      <c r="E911" s="143">
        <f>+IF(E892&gt;0,E906,IF(E895&gt;0,E907,IF(E899&gt;0,E908,0)))</f>
        <v>0</v>
      </c>
      <c r="AC911" s="139"/>
      <c r="AD911" s="139"/>
      <c r="AE911" s="139"/>
      <c r="AF911" s="139"/>
      <c r="AG911" s="139"/>
      <c r="AH911" s="139"/>
      <c r="AI911" s="139"/>
      <c r="AJ911" s="139"/>
      <c r="AK911" s="139"/>
      <c r="AL911" s="139"/>
      <c r="AM911" s="139"/>
      <c r="AN911" s="139"/>
      <c r="AO911" s="139"/>
      <c r="AP911" s="139"/>
    </row>
    <row r="912" spans="1:42" s="137" customFormat="1" hidden="1" x14ac:dyDescent="0.3">
      <c r="A912" s="136"/>
      <c r="B912" s="276" t="s">
        <v>852</v>
      </c>
      <c r="C912" s="276"/>
      <c r="D912" s="276"/>
      <c r="E912" s="151">
        <f>ROUND(+IF(E892&gt;0,MIN(E903*E892,E911),IF(E895&gt;0,MIN(E903*E895,E911),IF(E899&gt;0,MIN(E903*E899,E911),0))),-3)</f>
        <v>0</v>
      </c>
      <c r="G912" s="202" t="s">
        <v>882</v>
      </c>
      <c r="H912" s="203"/>
      <c r="I912" s="185"/>
      <c r="AC912" s="139"/>
      <c r="AD912" s="139"/>
      <c r="AE912" s="139"/>
      <c r="AF912" s="139"/>
      <c r="AG912" s="139"/>
      <c r="AH912" s="139"/>
      <c r="AI912" s="139"/>
      <c r="AJ912" s="139"/>
      <c r="AK912" s="139"/>
      <c r="AL912" s="139"/>
      <c r="AM912" s="139"/>
      <c r="AN912" s="139"/>
      <c r="AO912" s="139"/>
      <c r="AP912" s="139"/>
    </row>
    <row r="913" spans="1:42" s="137" customFormat="1" hidden="1" x14ac:dyDescent="0.3">
      <c r="A913" s="136"/>
      <c r="B913" s="276" t="s">
        <v>853</v>
      </c>
      <c r="C913" s="276"/>
      <c r="D913" s="276"/>
      <c r="E913" s="151">
        <f>ROUND(IFERROR(+E912*E890,E912),-3)</f>
        <v>0</v>
      </c>
      <c r="G913" s="184" t="s">
        <v>1</v>
      </c>
      <c r="AC913" s="139"/>
      <c r="AD913" s="139"/>
      <c r="AE913" s="139"/>
      <c r="AF913" s="139"/>
      <c r="AG913" s="139"/>
      <c r="AH913" s="139"/>
      <c r="AI913" s="139"/>
      <c r="AJ913" s="139"/>
      <c r="AK913" s="139"/>
      <c r="AL913" s="139"/>
      <c r="AM913" s="139"/>
      <c r="AN913" s="139"/>
      <c r="AO913" s="139"/>
      <c r="AP913" s="139"/>
    </row>
    <row r="914" spans="1:42" s="137" customFormat="1" hidden="1" x14ac:dyDescent="0.3">
      <c r="A914" s="136"/>
      <c r="B914" s="296" t="s">
        <v>854</v>
      </c>
      <c r="C914" s="296"/>
      <c r="D914" s="296"/>
      <c r="E914" s="143">
        <f>+ROUND(10*I886,-3)</f>
        <v>498000</v>
      </c>
      <c r="G914" s="167"/>
      <c r="AC914" s="139"/>
      <c r="AD914" s="139"/>
      <c r="AE914" s="139"/>
      <c r="AF914" s="139"/>
      <c r="AG914" s="139"/>
      <c r="AH914" s="139"/>
      <c r="AI914" s="139"/>
      <c r="AJ914" s="139"/>
      <c r="AK914" s="139"/>
      <c r="AL914" s="139"/>
      <c r="AM914" s="139"/>
      <c r="AN914" s="139"/>
      <c r="AO914" s="139"/>
      <c r="AP914" s="139"/>
    </row>
    <row r="915" spans="1:42" s="155" customFormat="1" ht="38.25" hidden="1" customHeight="1" x14ac:dyDescent="0.3">
      <c r="A915" s="152"/>
      <c r="B915" s="277" t="s">
        <v>855</v>
      </c>
      <c r="C915" s="277"/>
      <c r="D915" s="277"/>
      <c r="E915" s="153">
        <f>IF(E885="",0,+MAX(E913,E914))</f>
        <v>0</v>
      </c>
      <c r="G915" s="154"/>
      <c r="H915" s="154"/>
      <c r="I915" s="154"/>
      <c r="K915" s="156"/>
      <c r="P915" s="137"/>
      <c r="Q915" s="137"/>
      <c r="R915" s="137"/>
      <c r="S915" s="137"/>
      <c r="T915" s="137"/>
      <c r="U915" s="137"/>
      <c r="V915" s="137"/>
      <c r="W915" s="137"/>
      <c r="X915" s="137"/>
      <c r="Y915" s="137"/>
      <c r="Z915" s="137"/>
      <c r="AA915" s="137"/>
      <c r="AC915" s="157"/>
      <c r="AD915" s="157"/>
      <c r="AE915" s="157"/>
      <c r="AF915" s="157"/>
      <c r="AG915" s="157"/>
      <c r="AH915" s="157"/>
      <c r="AI915" s="157"/>
      <c r="AJ915" s="157"/>
      <c r="AK915" s="157"/>
      <c r="AL915" s="157"/>
      <c r="AM915" s="157"/>
      <c r="AN915" s="157"/>
      <c r="AO915" s="157"/>
      <c r="AP915" s="157"/>
    </row>
    <row r="916" spans="1:42" s="137" customFormat="1" hidden="1" x14ac:dyDescent="0.3">
      <c r="A916" s="136"/>
      <c r="B916" s="136"/>
      <c r="C916" s="136"/>
      <c r="K916" s="140"/>
      <c r="AC916" s="139"/>
      <c r="AD916" s="139"/>
      <c r="AE916" s="139"/>
      <c r="AF916" s="139"/>
      <c r="AG916" s="139"/>
      <c r="AH916" s="139"/>
      <c r="AI916" s="139"/>
      <c r="AJ916" s="139"/>
      <c r="AK916" s="139"/>
      <c r="AL916" s="139"/>
      <c r="AM916" s="139"/>
      <c r="AN916" s="139"/>
      <c r="AO916" s="139"/>
      <c r="AP916" s="139"/>
    </row>
    <row r="917" spans="1:42" ht="36" hidden="1" customHeight="1" x14ac:dyDescent="0.3">
      <c r="A917" s="11"/>
      <c r="B917" s="361" t="s">
        <v>892</v>
      </c>
      <c r="C917" s="361"/>
      <c r="D917" s="361"/>
      <c r="E917" s="361"/>
      <c r="F917" s="361"/>
      <c r="G917" s="361"/>
      <c r="H917" s="361"/>
      <c r="I917" s="361"/>
      <c r="J917" s="361"/>
    </row>
    <row r="918" spans="1:42" s="137" customFormat="1" hidden="1" x14ac:dyDescent="0.3">
      <c r="A918" s="136"/>
      <c r="B918" s="136"/>
      <c r="C918" s="136"/>
      <c r="K918" s="140"/>
      <c r="AC918" s="139"/>
      <c r="AD918" s="139"/>
      <c r="AE918" s="139"/>
      <c r="AF918" s="139"/>
      <c r="AG918" s="139"/>
      <c r="AH918" s="139"/>
      <c r="AI918" s="139"/>
      <c r="AJ918" s="139"/>
      <c r="AK918" s="139"/>
      <c r="AL918" s="139"/>
      <c r="AM918" s="139"/>
      <c r="AN918" s="139"/>
      <c r="AO918" s="139"/>
      <c r="AP918" s="139"/>
    </row>
    <row r="919" spans="1:42" s="137" customFormat="1" hidden="1" x14ac:dyDescent="0.3">
      <c r="A919" s="136"/>
      <c r="B919" s="298" t="s">
        <v>832</v>
      </c>
      <c r="C919" s="298"/>
      <c r="D919" s="298"/>
      <c r="E919" s="176"/>
      <c r="G919" s="342" t="s">
        <v>831</v>
      </c>
      <c r="I919" s="342" t="str">
        <f>+"UVT del año 
"&amp;G886&amp;""</f>
        <v>UVT del año 
2025</v>
      </c>
      <c r="AC919" s="139"/>
      <c r="AD919" s="139"/>
      <c r="AE919" s="139"/>
      <c r="AF919" s="139"/>
      <c r="AG919" s="139"/>
      <c r="AH919" s="139"/>
      <c r="AI919" s="139"/>
      <c r="AJ919" s="139"/>
      <c r="AK919" s="139"/>
      <c r="AL919" s="139"/>
      <c r="AM919" s="139"/>
      <c r="AN919" s="139"/>
      <c r="AO919" s="139"/>
      <c r="AP919" s="139"/>
    </row>
    <row r="920" spans="1:42" s="137" customFormat="1" hidden="1" x14ac:dyDescent="0.3">
      <c r="A920" s="136"/>
      <c r="B920" s="298" t="s">
        <v>856</v>
      </c>
      <c r="C920" s="298"/>
      <c r="D920" s="298"/>
      <c r="E920" s="176"/>
      <c r="G920" s="342"/>
      <c r="I920" s="342"/>
      <c r="K920" s="140"/>
      <c r="AC920" s="139"/>
      <c r="AD920" s="139"/>
      <c r="AE920" s="139"/>
      <c r="AF920" s="139"/>
      <c r="AG920" s="139"/>
      <c r="AH920" s="139"/>
      <c r="AI920" s="139"/>
      <c r="AJ920" s="139"/>
      <c r="AK920" s="139"/>
      <c r="AL920" s="139"/>
      <c r="AM920" s="139"/>
      <c r="AN920" s="139"/>
      <c r="AO920" s="139"/>
      <c r="AP920" s="139"/>
    </row>
    <row r="921" spans="1:42" s="137" customFormat="1" hidden="1" x14ac:dyDescent="0.3">
      <c r="A921" s="136"/>
      <c r="B921" s="298" t="s">
        <v>857</v>
      </c>
      <c r="C921" s="298"/>
      <c r="D921" s="298"/>
      <c r="E921" s="176"/>
      <c r="G921" s="135">
        <v>2025</v>
      </c>
      <c r="I921" s="138">
        <v>49799</v>
      </c>
      <c r="K921" s="140"/>
      <c r="AC921" s="139"/>
      <c r="AD921" s="139"/>
      <c r="AE921" s="139"/>
      <c r="AF921" s="139"/>
      <c r="AG921" s="139"/>
      <c r="AH921" s="139"/>
      <c r="AI921" s="139"/>
      <c r="AJ921" s="139"/>
      <c r="AK921" s="139"/>
      <c r="AL921" s="139"/>
      <c r="AM921" s="139"/>
      <c r="AN921" s="139"/>
      <c r="AO921" s="139"/>
      <c r="AP921" s="139"/>
    </row>
    <row r="922" spans="1:42" s="137" customFormat="1" hidden="1" x14ac:dyDescent="0.3">
      <c r="A922" s="136"/>
      <c r="B922" s="298" t="s">
        <v>834</v>
      </c>
      <c r="C922" s="298"/>
      <c r="D922" s="298"/>
      <c r="E922" s="179" t="s">
        <v>835</v>
      </c>
      <c r="AC922" s="139"/>
      <c r="AD922" s="139"/>
      <c r="AE922" s="139"/>
      <c r="AF922" s="139"/>
      <c r="AG922" s="139"/>
      <c r="AH922" s="139"/>
      <c r="AI922" s="139"/>
      <c r="AJ922" s="139"/>
      <c r="AK922" s="139"/>
      <c r="AL922" s="139"/>
      <c r="AM922" s="139"/>
      <c r="AN922" s="139"/>
      <c r="AO922" s="139"/>
      <c r="AP922" s="139"/>
    </row>
    <row r="923" spans="1:42" s="137" customFormat="1" ht="18" hidden="1" customHeight="1" x14ac:dyDescent="0.3">
      <c r="A923" s="136"/>
      <c r="B923" s="298" t="s">
        <v>858</v>
      </c>
      <c r="C923" s="298"/>
      <c r="D923" s="298"/>
      <c r="E923" s="179" t="s">
        <v>835</v>
      </c>
      <c r="G923" s="216" t="s">
        <v>860</v>
      </c>
      <c r="I923" s="216" t="s">
        <v>861</v>
      </c>
      <c r="J923" s="141" t="str">
        <f>+IF(AND(E923="Si",E924=""),"Recuerde diligenciar la fila "&amp;ROW(E924)&amp;"","")</f>
        <v/>
      </c>
      <c r="K923" s="140"/>
      <c r="AC923" s="139"/>
      <c r="AD923" s="139"/>
      <c r="AE923" s="139"/>
      <c r="AF923" s="139"/>
      <c r="AG923" s="139"/>
      <c r="AH923" s="139"/>
      <c r="AI923" s="139"/>
      <c r="AJ923" s="139"/>
      <c r="AK923" s="139"/>
      <c r="AL923" s="139"/>
      <c r="AM923" s="139"/>
      <c r="AN923" s="139"/>
      <c r="AO923" s="139"/>
      <c r="AP923" s="139"/>
    </row>
    <row r="924" spans="1:42" s="137" customFormat="1" ht="18" hidden="1" customHeight="1" x14ac:dyDescent="0.3">
      <c r="A924" s="136"/>
      <c r="B924" s="298" t="s">
        <v>964</v>
      </c>
      <c r="C924" s="298"/>
      <c r="D924" s="298"/>
      <c r="E924" s="180"/>
      <c r="G924" s="217" t="str">
        <f>+IF(OR(E931&gt;E928,E932&lt;E929),"Aplica","No aplica")</f>
        <v>No aplica</v>
      </c>
      <c r="I924" s="217" t="str">
        <f>+IF(OR(E931&lt;E928,E932&gt;E929),"Aplica","No aplica")</f>
        <v>No aplica</v>
      </c>
      <c r="J924" s="142" t="str">
        <f>+IF(AND(E923="No",E924&gt;0),"No es necesario digitar fecha en esta fila","")</f>
        <v/>
      </c>
      <c r="K924" s="140"/>
      <c r="AC924" s="139"/>
      <c r="AD924" s="139"/>
      <c r="AE924" s="139"/>
      <c r="AF924" s="139"/>
      <c r="AG924" s="139"/>
      <c r="AH924" s="139"/>
      <c r="AI924" s="139"/>
      <c r="AJ924" s="139"/>
      <c r="AK924" s="139"/>
      <c r="AL924" s="139"/>
      <c r="AM924" s="139"/>
      <c r="AN924" s="139"/>
      <c r="AO924" s="139"/>
      <c r="AP924" s="139"/>
    </row>
    <row r="925" spans="1:42" s="137" customFormat="1" ht="18" hidden="1" customHeight="1" x14ac:dyDescent="0.3">
      <c r="A925" s="136"/>
      <c r="B925" s="298" t="s">
        <v>837</v>
      </c>
      <c r="C925" s="298"/>
      <c r="D925" s="298"/>
      <c r="E925" s="178">
        <f>IFERROR(-DAYS360(E919+1,E924)/360,"")</f>
        <v>2.7777777777777779E-3</v>
      </c>
      <c r="G925" s="218">
        <v>43826</v>
      </c>
      <c r="I925" s="218"/>
      <c r="K925" s="140"/>
      <c r="AC925" s="139"/>
      <c r="AD925" s="139"/>
      <c r="AE925" s="139"/>
      <c r="AF925" s="139"/>
      <c r="AG925" s="139"/>
      <c r="AH925" s="139"/>
      <c r="AI925" s="139"/>
      <c r="AJ925" s="139"/>
      <c r="AK925" s="139"/>
      <c r="AL925" s="139"/>
      <c r="AM925" s="139"/>
      <c r="AN925" s="139"/>
      <c r="AO925" s="139"/>
      <c r="AP925" s="139"/>
    </row>
    <row r="926" spans="1:42" s="137" customFormat="1" hidden="1" x14ac:dyDescent="0.3">
      <c r="A926" s="136"/>
      <c r="B926" s="298" t="s">
        <v>838</v>
      </c>
      <c r="C926" s="298"/>
      <c r="D926" s="298"/>
      <c r="E926" s="177">
        <f>IF(E923="No",50%,IF(E922="No",+IF(E925&gt;2,50%,IF(AND(E925&lt;=2,E925&gt;1),75%,"No aplica")),IF(E922="Si",+IF(E925&gt;4,50%,IF(AND(E925&lt;=4,E925&gt;2),75%,"No aplica")))))</f>
        <v>0.5</v>
      </c>
      <c r="G926" s="218">
        <v>43096</v>
      </c>
      <c r="I926" s="218"/>
      <c r="K926" s="140"/>
      <c r="AC926" s="139"/>
      <c r="AD926" s="139"/>
      <c r="AE926" s="139"/>
      <c r="AF926" s="139"/>
      <c r="AG926" s="139"/>
      <c r="AH926" s="139"/>
      <c r="AI926" s="139"/>
      <c r="AJ926" s="139"/>
      <c r="AK926" s="139"/>
      <c r="AL926" s="139"/>
      <c r="AM926" s="139"/>
      <c r="AN926" s="139"/>
      <c r="AO926" s="139"/>
      <c r="AP926" s="139"/>
    </row>
    <row r="927" spans="1:42" s="137" customFormat="1" hidden="1" x14ac:dyDescent="0.3">
      <c r="A927" s="136"/>
      <c r="B927" s="136"/>
      <c r="C927" s="136"/>
      <c r="G927" s="217">
        <f>+IF(E919&lt;G926,2,3)</f>
        <v>2</v>
      </c>
      <c r="I927" s="217">
        <v>1</v>
      </c>
      <c r="K927" s="140"/>
      <c r="AC927" s="139"/>
      <c r="AD927" s="139"/>
      <c r="AE927" s="139"/>
      <c r="AF927" s="139"/>
      <c r="AG927" s="139"/>
      <c r="AH927" s="139"/>
      <c r="AI927" s="139"/>
      <c r="AJ927" s="139"/>
      <c r="AK927" s="139"/>
      <c r="AL927" s="139"/>
      <c r="AM927" s="139"/>
      <c r="AN927" s="139"/>
      <c r="AO927" s="139"/>
      <c r="AP927" s="139"/>
    </row>
    <row r="928" spans="1:42" s="137" customFormat="1" hidden="1" x14ac:dyDescent="0.3">
      <c r="A928" s="136"/>
      <c r="B928" s="339" t="s">
        <v>859</v>
      </c>
      <c r="C928" s="340"/>
      <c r="D928" s="341"/>
      <c r="E928" s="158">
        <v>0</v>
      </c>
      <c r="G928" s="217">
        <f>360*G927</f>
        <v>720</v>
      </c>
      <c r="I928" s="217">
        <f>360*I927</f>
        <v>360</v>
      </c>
      <c r="K928" s="140"/>
      <c r="AC928" s="139"/>
      <c r="AD928" s="139"/>
      <c r="AE928" s="139"/>
      <c r="AF928" s="139"/>
      <c r="AG928" s="139"/>
      <c r="AH928" s="139"/>
      <c r="AI928" s="139"/>
      <c r="AJ928" s="139"/>
      <c r="AK928" s="139"/>
      <c r="AL928" s="139"/>
      <c r="AM928" s="139"/>
      <c r="AN928" s="139"/>
      <c r="AO928" s="139"/>
      <c r="AP928" s="139"/>
    </row>
    <row r="929" spans="1:42" s="137" customFormat="1" hidden="1" x14ac:dyDescent="0.3">
      <c r="A929" s="136"/>
      <c r="B929" s="339" t="s">
        <v>862</v>
      </c>
      <c r="C929" s="340"/>
      <c r="D929" s="341"/>
      <c r="E929" s="158">
        <v>0</v>
      </c>
      <c r="G929" s="217">
        <f>IFERROR(+DAYS360(E919,E921),0)</f>
        <v>0</v>
      </c>
      <c r="I929" s="217">
        <f>IFERROR(+DAYS360(E919,E921),0)</f>
        <v>0</v>
      </c>
      <c r="K929" s="140"/>
      <c r="AC929" s="139"/>
      <c r="AD929" s="139"/>
      <c r="AE929" s="139"/>
      <c r="AF929" s="139"/>
      <c r="AG929" s="139"/>
      <c r="AH929" s="139"/>
      <c r="AI929" s="139"/>
      <c r="AJ929" s="139"/>
      <c r="AK929" s="139"/>
      <c r="AL929" s="139"/>
      <c r="AM929" s="139"/>
      <c r="AN929" s="139"/>
      <c r="AO929" s="139"/>
      <c r="AP929" s="139"/>
    </row>
    <row r="930" spans="1:42" s="137" customFormat="1" hidden="1" x14ac:dyDescent="0.3">
      <c r="A930" s="136"/>
      <c r="B930" s="136"/>
      <c r="C930" s="136"/>
      <c r="D930" s="144"/>
      <c r="E930" s="149"/>
      <c r="G930" s="216" t="str">
        <f>+IF(G929&gt;G928,"No se puede","Si se puede")</f>
        <v>Si se puede</v>
      </c>
      <c r="I930" s="216" t="str">
        <f>+IF(I929&gt;I928,"No se puede","Si se puede")</f>
        <v>Si se puede</v>
      </c>
      <c r="K930" s="140"/>
      <c r="AC930" s="139"/>
      <c r="AD930" s="139"/>
      <c r="AE930" s="139"/>
      <c r="AF930" s="139"/>
      <c r="AG930" s="139"/>
      <c r="AH930" s="139"/>
      <c r="AI930" s="139"/>
      <c r="AJ930" s="139"/>
      <c r="AK930" s="139"/>
      <c r="AL930" s="139"/>
      <c r="AM930" s="139"/>
      <c r="AN930" s="139"/>
      <c r="AO930" s="139"/>
      <c r="AP930" s="139"/>
    </row>
    <row r="931" spans="1:42" s="137" customFormat="1" hidden="1" x14ac:dyDescent="0.3">
      <c r="A931" s="136"/>
      <c r="B931" s="339" t="s">
        <v>863</v>
      </c>
      <c r="C931" s="340"/>
      <c r="D931" s="341"/>
      <c r="E931" s="158">
        <v>0</v>
      </c>
      <c r="G931" s="219" t="str">
        <f>+IF(AND(G924="Aplica",G930="No se puede"),"No se puede corregir. Revisar artículo 588 del ET y Oficio 002616/2020",IF(AND(I924="Aplica",I930="No se puede"),"No se puede corregir. Revisar artículo 589 del ET",""))</f>
        <v/>
      </c>
      <c r="K931" s="140"/>
      <c r="AC931" s="139"/>
      <c r="AD931" s="139"/>
      <c r="AE931" s="139"/>
      <c r="AF931" s="139"/>
      <c r="AG931" s="139"/>
      <c r="AH931" s="139"/>
      <c r="AI931" s="139"/>
      <c r="AJ931" s="139"/>
      <c r="AK931" s="139"/>
      <c r="AL931" s="139"/>
      <c r="AM931" s="139"/>
      <c r="AN931" s="139"/>
      <c r="AO931" s="139"/>
      <c r="AP931" s="139"/>
    </row>
    <row r="932" spans="1:42" s="137" customFormat="1" hidden="1" x14ac:dyDescent="0.3">
      <c r="A932" s="136"/>
      <c r="B932" s="339" t="s">
        <v>864</v>
      </c>
      <c r="C932" s="340"/>
      <c r="D932" s="341"/>
      <c r="E932" s="158">
        <v>0</v>
      </c>
      <c r="G932" s="215" t="str">
        <f>+"Nota: Copie y pegue el valor de la casilla 'E"&amp;ROW($E$945)&amp;"' en el periodo correspondiente:"</f>
        <v>Nota: Copie y pegue el valor de la casilla 'E945' en el periodo correspondiente:</v>
      </c>
      <c r="K932" s="140"/>
      <c r="AC932" s="139"/>
      <c r="AD932" s="139"/>
      <c r="AE932" s="139"/>
      <c r="AF932" s="139"/>
      <c r="AG932" s="139"/>
      <c r="AH932" s="139"/>
      <c r="AI932" s="139"/>
      <c r="AJ932" s="139"/>
      <c r="AK932" s="139"/>
      <c r="AL932" s="139"/>
      <c r="AM932" s="139"/>
      <c r="AN932" s="139"/>
      <c r="AO932" s="139"/>
      <c r="AP932" s="139"/>
    </row>
    <row r="933" spans="1:42" s="137" customFormat="1" hidden="1" x14ac:dyDescent="0.3">
      <c r="A933" s="136"/>
      <c r="B933" s="136"/>
      <c r="C933" s="136"/>
      <c r="D933" s="149"/>
      <c r="E933" s="149"/>
      <c r="K933" s="140"/>
      <c r="AC933" s="139"/>
      <c r="AD933" s="139"/>
      <c r="AE933" s="139"/>
      <c r="AF933" s="139"/>
      <c r="AG933" s="139"/>
      <c r="AH933" s="139"/>
      <c r="AI933" s="139"/>
      <c r="AJ933" s="139"/>
      <c r="AK933" s="139"/>
      <c r="AL933" s="139"/>
      <c r="AM933" s="139"/>
      <c r="AN933" s="139"/>
      <c r="AO933" s="139"/>
      <c r="AP933" s="139"/>
    </row>
    <row r="934" spans="1:42" s="137" customFormat="1" hidden="1" x14ac:dyDescent="0.3">
      <c r="A934" s="136"/>
      <c r="B934" s="293" t="s">
        <v>844</v>
      </c>
      <c r="C934" s="294"/>
      <c r="D934" s="295"/>
      <c r="E934" s="159" t="str">
        <f>IFERROR(IF(E919="","",IF(E920-E919&gt;0,ROUNDUP((DAYS360(E919,E920))/30,0),0)),0)</f>
        <v/>
      </c>
      <c r="G934" s="255" t="s">
        <v>877</v>
      </c>
      <c r="H934" s="256"/>
      <c r="I934" s="256"/>
      <c r="J934" s="256"/>
      <c r="K934" s="256"/>
      <c r="L934" s="256"/>
      <c r="M934" s="256"/>
      <c r="N934" s="256"/>
      <c r="O934" s="256"/>
      <c r="P934" s="256"/>
      <c r="Q934" s="257"/>
      <c r="AC934" s="139"/>
      <c r="AD934" s="139"/>
      <c r="AE934" s="139"/>
      <c r="AF934" s="139"/>
      <c r="AG934" s="139"/>
      <c r="AH934" s="139"/>
      <c r="AI934" s="139"/>
      <c r="AJ934" s="139"/>
      <c r="AK934" s="139"/>
      <c r="AL934" s="139"/>
      <c r="AM934" s="139"/>
      <c r="AN934" s="139"/>
      <c r="AO934" s="139"/>
      <c r="AP934" s="139"/>
    </row>
    <row r="935" spans="1:42" s="137" customFormat="1" hidden="1" x14ac:dyDescent="0.3">
      <c r="A935" s="136"/>
      <c r="B935" s="293" t="s">
        <v>865</v>
      </c>
      <c r="C935" s="294"/>
      <c r="D935" s="295"/>
      <c r="E935" s="160">
        <f>+IF(AND(E928&gt;0,E931&gt;0),MAX(E931-E928,0),IF(AND(E929&gt;0,E932&gt;=0),MAX((E932-E929)*-1,0),IF(AND(E929&gt;0,E931&gt;0),E929+E931,0)))</f>
        <v>0</v>
      </c>
      <c r="G935" s="184" t="s">
        <v>871</v>
      </c>
      <c r="H935" s="140"/>
      <c r="I935" s="184" t="s">
        <v>872</v>
      </c>
      <c r="J935" s="140"/>
      <c r="K935" s="184" t="s">
        <v>873</v>
      </c>
      <c r="M935" s="184" t="s">
        <v>874</v>
      </c>
      <c r="O935" s="184" t="s">
        <v>875</v>
      </c>
      <c r="Q935" s="184" t="s">
        <v>876</v>
      </c>
      <c r="AC935" s="139"/>
      <c r="AD935" s="139"/>
      <c r="AE935" s="139"/>
      <c r="AF935" s="139"/>
      <c r="AG935" s="139"/>
      <c r="AH935" s="139"/>
      <c r="AI935" s="139"/>
      <c r="AJ935" s="139"/>
      <c r="AK935" s="139"/>
      <c r="AL935" s="139"/>
      <c r="AM935" s="139"/>
      <c r="AN935" s="139"/>
      <c r="AO935" s="139"/>
      <c r="AP935" s="139"/>
    </row>
    <row r="936" spans="1:42" s="137" customFormat="1" hidden="1" x14ac:dyDescent="0.3">
      <c r="A936" s="136"/>
      <c r="B936" s="293" t="s">
        <v>866</v>
      </c>
      <c r="C936" s="294"/>
      <c r="D936" s="295"/>
      <c r="E936" s="161">
        <f>+IF(E922="No",10%,20%)</f>
        <v>0.1</v>
      </c>
      <c r="G936" s="167"/>
      <c r="H936" s="140"/>
      <c r="I936" s="168"/>
      <c r="J936" s="140"/>
      <c r="K936" s="167"/>
      <c r="M936" s="167"/>
      <c r="O936" s="167"/>
      <c r="Q936" s="167"/>
      <c r="AC936" s="139"/>
      <c r="AD936" s="139"/>
      <c r="AE936" s="139"/>
      <c r="AF936" s="139"/>
      <c r="AG936" s="139"/>
      <c r="AH936" s="139"/>
      <c r="AI936" s="139"/>
      <c r="AJ936" s="139"/>
      <c r="AK936" s="139"/>
      <c r="AL936" s="139"/>
      <c r="AM936" s="139"/>
      <c r="AN936" s="139"/>
      <c r="AO936" s="139"/>
      <c r="AP936" s="139"/>
    </row>
    <row r="937" spans="1:42" s="137" customFormat="1" hidden="1" x14ac:dyDescent="0.3">
      <c r="A937" s="136"/>
      <c r="B937" s="293" t="s">
        <v>845</v>
      </c>
      <c r="C937" s="294"/>
      <c r="D937" s="295"/>
      <c r="E937" s="148">
        <f>MIN(IF(E920&gt;E919,E934*5%,0),100%)</f>
        <v>0</v>
      </c>
      <c r="AC937" s="139"/>
      <c r="AD937" s="139"/>
      <c r="AE937" s="139"/>
      <c r="AF937" s="139"/>
      <c r="AG937" s="139"/>
      <c r="AH937" s="139"/>
      <c r="AI937" s="139"/>
      <c r="AJ937" s="139"/>
      <c r="AK937" s="139"/>
      <c r="AL937" s="139"/>
      <c r="AM937" s="139"/>
      <c r="AN937" s="139"/>
      <c r="AO937" s="139"/>
      <c r="AP937" s="139"/>
    </row>
    <row r="938" spans="1:42" s="137" customFormat="1" hidden="1" x14ac:dyDescent="0.3">
      <c r="A938" s="136"/>
      <c r="B938" s="136"/>
      <c r="C938" s="136"/>
      <c r="D938" s="162"/>
      <c r="E938" s="163"/>
      <c r="G938" s="251" t="s">
        <v>878</v>
      </c>
      <c r="H938" s="252"/>
      <c r="I938" s="252"/>
      <c r="J938" s="252"/>
      <c r="K938" s="253"/>
      <c r="AC938" s="139"/>
      <c r="AD938" s="139"/>
      <c r="AE938" s="139"/>
      <c r="AF938" s="139"/>
      <c r="AG938" s="139"/>
      <c r="AH938" s="139"/>
      <c r="AI938" s="139"/>
      <c r="AJ938" s="139"/>
      <c r="AK938" s="139"/>
      <c r="AL938" s="139"/>
      <c r="AM938" s="139"/>
      <c r="AN938" s="139"/>
      <c r="AO938" s="139"/>
      <c r="AP938" s="139"/>
    </row>
    <row r="939" spans="1:42" s="137" customFormat="1" hidden="1" x14ac:dyDescent="0.3">
      <c r="A939" s="136"/>
      <c r="B939" s="150" t="s">
        <v>850</v>
      </c>
      <c r="C939" s="136"/>
      <c r="E939" s="163"/>
      <c r="G939" s="184" t="s">
        <v>879</v>
      </c>
      <c r="I939" s="184" t="s">
        <v>880</v>
      </c>
      <c r="K939" s="184" t="s">
        <v>881</v>
      </c>
      <c r="AC939" s="139"/>
      <c r="AD939" s="139"/>
      <c r="AE939" s="139"/>
      <c r="AF939" s="139"/>
      <c r="AG939" s="139"/>
      <c r="AH939" s="139"/>
      <c r="AI939" s="139"/>
      <c r="AJ939" s="139"/>
      <c r="AK939" s="139"/>
      <c r="AL939" s="139"/>
      <c r="AM939" s="139"/>
      <c r="AN939" s="139"/>
      <c r="AO939" s="139"/>
      <c r="AP939" s="139"/>
    </row>
    <row r="940" spans="1:42" s="137" customFormat="1" hidden="1" x14ac:dyDescent="0.3">
      <c r="A940" s="136"/>
      <c r="B940" s="296" t="str">
        <f>+IF(G931="No se puede corregir. Revisar artículo 588 del ET y Oficio 002616/2020","No se puede corregir. Revisar artículo 588 del ET y Oficio 002616/2020",IF(G931="No se puede corregir. Revisar artículo 589 del ET","No se puede corregir. Revisar artículo 589 del ET","Sanción por corrección"))</f>
        <v>Sanción por corrección</v>
      </c>
      <c r="C940" s="296"/>
      <c r="D940" s="296"/>
      <c r="E940" s="160">
        <f>IF(AND(G924="Aplica",G930="Si se puede",E935*E936&gt;0),E935*E936,IF(AND(I924="Aplica",I930="Si se puede",E935*E936&gt;0),E935*E936,0))</f>
        <v>0</v>
      </c>
      <c r="G940" s="167"/>
      <c r="I940" s="168"/>
      <c r="K940" s="167"/>
      <c r="AC940" s="139"/>
      <c r="AD940" s="139"/>
      <c r="AE940" s="139"/>
      <c r="AF940" s="139"/>
      <c r="AG940" s="139"/>
      <c r="AH940" s="139"/>
      <c r="AI940" s="139"/>
      <c r="AJ940" s="139"/>
      <c r="AK940" s="139"/>
      <c r="AL940" s="139"/>
      <c r="AM940" s="139"/>
      <c r="AN940" s="139"/>
      <c r="AO940" s="139"/>
      <c r="AP940" s="139"/>
    </row>
    <row r="941" spans="1:42" s="137" customFormat="1" hidden="1" x14ac:dyDescent="0.3">
      <c r="A941" s="136"/>
      <c r="B941" s="296" t="s">
        <v>852</v>
      </c>
      <c r="C941" s="296"/>
      <c r="D941" s="296"/>
      <c r="E941" s="160">
        <f>ROUND(+E935*E937,-3)</f>
        <v>0</v>
      </c>
      <c r="AC941" s="139"/>
      <c r="AD941" s="139"/>
      <c r="AE941" s="139"/>
      <c r="AF941" s="139"/>
      <c r="AG941" s="139"/>
      <c r="AH941" s="139"/>
      <c r="AI941" s="139"/>
      <c r="AJ941" s="139"/>
      <c r="AK941" s="139"/>
      <c r="AL941" s="139"/>
      <c r="AM941" s="139"/>
      <c r="AN941" s="139"/>
      <c r="AO941" s="139"/>
      <c r="AP941" s="139"/>
    </row>
    <row r="942" spans="1:42" s="137" customFormat="1" hidden="1" x14ac:dyDescent="0.3">
      <c r="A942" s="136"/>
      <c r="B942" s="276" t="s">
        <v>867</v>
      </c>
      <c r="C942" s="276"/>
      <c r="D942" s="276"/>
      <c r="E942" s="164">
        <f>+E940+E941</f>
        <v>0</v>
      </c>
      <c r="G942" s="202" t="s">
        <v>882</v>
      </c>
      <c r="H942" s="203"/>
      <c r="I942" s="185"/>
      <c r="AC942" s="139"/>
      <c r="AD942" s="139"/>
      <c r="AE942" s="139"/>
      <c r="AF942" s="139"/>
      <c r="AG942" s="139"/>
      <c r="AH942" s="139"/>
      <c r="AI942" s="139"/>
      <c r="AJ942" s="139"/>
      <c r="AK942" s="139"/>
      <c r="AL942" s="139"/>
      <c r="AM942" s="139"/>
      <c r="AN942" s="139"/>
      <c r="AO942" s="139"/>
      <c r="AP942" s="139"/>
    </row>
    <row r="943" spans="1:42" s="137" customFormat="1" hidden="1" x14ac:dyDescent="0.3">
      <c r="A943" s="136"/>
      <c r="B943" s="276" t="s">
        <v>868</v>
      </c>
      <c r="C943" s="276"/>
      <c r="D943" s="276"/>
      <c r="E943" s="164">
        <f>ROUND(IFERROR(+E942*E926,E942),-3)</f>
        <v>0</v>
      </c>
      <c r="G943" s="184" t="s">
        <v>1</v>
      </c>
      <c r="AC943" s="139"/>
      <c r="AD943" s="139"/>
      <c r="AE943" s="139"/>
      <c r="AF943" s="139"/>
      <c r="AG943" s="139"/>
      <c r="AH943" s="139"/>
      <c r="AI943" s="139"/>
      <c r="AJ943" s="139"/>
      <c r="AK943" s="139"/>
      <c r="AL943" s="139"/>
      <c r="AM943" s="139"/>
      <c r="AN943" s="139"/>
      <c r="AO943" s="139"/>
      <c r="AP943" s="139"/>
    </row>
    <row r="944" spans="1:42" s="137" customFormat="1" hidden="1" x14ac:dyDescent="0.3">
      <c r="A944" s="136"/>
      <c r="B944" s="296" t="s">
        <v>854</v>
      </c>
      <c r="C944" s="296"/>
      <c r="D944" s="296"/>
      <c r="E944" s="160">
        <f>+ROUND(10*I921,-3)</f>
        <v>498000</v>
      </c>
      <c r="G944" s="167"/>
      <c r="AC944" s="139"/>
      <c r="AD944" s="139"/>
      <c r="AE944" s="139"/>
      <c r="AF944" s="139"/>
      <c r="AG944" s="139"/>
      <c r="AH944" s="139"/>
      <c r="AI944" s="139"/>
      <c r="AJ944" s="139"/>
      <c r="AK944" s="139"/>
      <c r="AL944" s="139"/>
      <c r="AM944" s="139"/>
      <c r="AN944" s="139"/>
      <c r="AO944" s="139"/>
      <c r="AP944" s="139"/>
    </row>
    <row r="945" spans="1:59" s="155" customFormat="1" ht="38.25" hidden="1" customHeight="1" x14ac:dyDescent="0.3">
      <c r="A945" s="152"/>
      <c r="B945" s="277" t="str">
        <f>+IF(P945="No es necesario liquidar sanción (Ver Art 588 Inc 4 o 589 del ET según el caso)","No es necesario liquidar sanción (Ver Art 588 Inc 4 o 589 del ET según el caso)","Total sanción por corrección")</f>
        <v>Total sanción por corrección</v>
      </c>
      <c r="C945" s="277"/>
      <c r="D945" s="277"/>
      <c r="E945" s="165">
        <f>+IF(E935=0,0,IF(OR(G931="No se puede corregir. Revisar artículo 588 del ET y Oficio 002616/2020",G931="No se puede corregir. Revisar artículo 589 del ET"),0,MAX(E943,E944)))</f>
        <v>0</v>
      </c>
      <c r="K945" s="156"/>
      <c r="P945" s="137"/>
      <c r="Q945" s="137"/>
      <c r="R945" s="137"/>
      <c r="V945" s="137"/>
      <c r="W945" s="137"/>
      <c r="X945" s="137"/>
      <c r="Y945" s="137"/>
      <c r="Z945" s="137"/>
      <c r="AA945" s="137"/>
      <c r="AC945" s="157"/>
      <c r="AD945" s="157"/>
      <c r="AE945" s="157"/>
      <c r="AF945" s="157"/>
      <c r="AG945" s="157"/>
      <c r="AH945" s="157"/>
      <c r="AI945" s="157"/>
      <c r="AJ945" s="157"/>
      <c r="AK945" s="157"/>
      <c r="AL945" s="157"/>
      <c r="AM945" s="157"/>
      <c r="AN945" s="157"/>
      <c r="AO945" s="157"/>
      <c r="AP945" s="157"/>
    </row>
    <row r="946" spans="1:59" hidden="1" x14ac:dyDescent="0.3"/>
    <row r="947" spans="1:59" ht="36" customHeight="1" x14ac:dyDescent="0.3">
      <c r="A947" s="11"/>
      <c r="B947" s="258" t="s">
        <v>1026</v>
      </c>
      <c r="C947" s="258"/>
      <c r="D947" s="258"/>
      <c r="E947" s="258"/>
      <c r="F947" s="258"/>
      <c r="G947" s="258"/>
      <c r="H947" s="258"/>
      <c r="I947" s="258"/>
      <c r="J947" s="258"/>
      <c r="K947" s="183"/>
      <c r="L947" s="183"/>
      <c r="M947" s="183"/>
      <c r="N947" s="183"/>
      <c r="O947" s="183"/>
    </row>
    <row r="949" spans="1:59" ht="36" hidden="1" customHeight="1" x14ac:dyDescent="0.3">
      <c r="A949" s="11"/>
      <c r="B949" s="259" t="s">
        <v>898</v>
      </c>
      <c r="C949" s="259"/>
      <c r="D949" s="259"/>
      <c r="E949" s="259"/>
      <c r="F949" s="259"/>
      <c r="G949" s="259"/>
      <c r="H949" s="259"/>
      <c r="I949" s="259"/>
      <c r="J949" s="259"/>
      <c r="K949" s="183"/>
      <c r="L949" s="183"/>
      <c r="M949" s="183"/>
      <c r="N949" s="183"/>
      <c r="O949" s="183"/>
    </row>
    <row r="950" spans="1:59" hidden="1" x14ac:dyDescent="0.3">
      <c r="D950" s="173"/>
    </row>
    <row r="951" spans="1:59" ht="21" hidden="1" customHeight="1" x14ac:dyDescent="0.3">
      <c r="A951" s="11"/>
      <c r="B951" s="284" t="s">
        <v>884</v>
      </c>
      <c r="C951" s="285"/>
      <c r="D951" s="286"/>
      <c r="E951" s="174" t="s">
        <v>887</v>
      </c>
      <c r="G951" s="174" t="s">
        <v>871</v>
      </c>
      <c r="H951" s="36"/>
      <c r="I951" s="174" t="s">
        <v>872</v>
      </c>
      <c r="J951" s="36"/>
      <c r="K951" s="174" t="s">
        <v>873</v>
      </c>
      <c r="L951" s="36"/>
      <c r="M951" s="174" t="s">
        <v>874</v>
      </c>
      <c r="N951" s="36"/>
      <c r="O951" s="174" t="s">
        <v>875</v>
      </c>
      <c r="P951" s="36"/>
      <c r="Q951" s="174" t="s">
        <v>876</v>
      </c>
      <c r="R951" s="36"/>
      <c r="T951" s="36"/>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c r="BA951" s="170"/>
      <c r="BB951" s="170"/>
      <c r="BC951" s="170"/>
      <c r="BD951" s="170"/>
      <c r="BE951" s="170"/>
      <c r="BF951" s="170"/>
      <c r="BG951" s="170"/>
    </row>
    <row r="952" spans="1:59" ht="21" hidden="1" customHeight="1" x14ac:dyDescent="0.3">
      <c r="A952" s="11"/>
      <c r="B952" s="287" t="s">
        <v>886</v>
      </c>
      <c r="C952" s="288"/>
      <c r="D952" s="289"/>
      <c r="E952" s="214">
        <v>89</v>
      </c>
      <c r="G952" s="174">
        <f ca="1">+'F300-2025'!O40</f>
        <v>0</v>
      </c>
      <c r="H952" s="36"/>
      <c r="I952" s="174">
        <f ca="1">+'F300-2025'!O84</f>
        <v>0</v>
      </c>
      <c r="J952" s="36"/>
      <c r="K952" s="174">
        <f ca="1">+'F300-2025'!O128</f>
        <v>0</v>
      </c>
      <c r="L952" s="36"/>
      <c r="M952" s="174">
        <f ca="1">+'F300-2025'!O172</f>
        <v>0</v>
      </c>
      <c r="N952" s="36"/>
      <c r="O952" s="174">
        <f ca="1">+'F300-2025'!O216</f>
        <v>0</v>
      </c>
      <c r="P952" s="36"/>
      <c r="Q952" s="174">
        <f ca="1">+'F300-2025'!O260</f>
        <v>0</v>
      </c>
      <c r="R952" s="36"/>
      <c r="T952" s="36"/>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row>
    <row r="953" spans="1:59" ht="21" hidden="1" customHeight="1" x14ac:dyDescent="0.3">
      <c r="A953" s="11"/>
      <c r="B953" s="290" t="s">
        <v>883</v>
      </c>
      <c r="C953" s="291"/>
      <c r="D953" s="292"/>
      <c r="E953" s="214">
        <v>90</v>
      </c>
      <c r="G953" s="169"/>
      <c r="H953" s="35"/>
      <c r="I953" s="169"/>
      <c r="J953" s="36"/>
      <c r="K953" s="169"/>
      <c r="L953" s="170"/>
      <c r="M953" s="169"/>
      <c r="N953" s="170"/>
      <c r="O953" s="169"/>
      <c r="P953" s="170"/>
      <c r="Q953" s="169"/>
      <c r="R953" s="170"/>
      <c r="T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c r="BA953" s="170"/>
      <c r="BB953" s="170"/>
      <c r="BC953" s="170"/>
      <c r="BD953" s="170"/>
      <c r="BE953" s="170"/>
      <c r="BF953" s="170"/>
      <c r="BG953" s="170"/>
    </row>
    <row r="954" spans="1:59" ht="21" hidden="1" customHeight="1" x14ac:dyDescent="0.3">
      <c r="A954" s="11"/>
      <c r="B954" s="290" t="s">
        <v>55</v>
      </c>
      <c r="C954" s="291"/>
      <c r="D954" s="292"/>
      <c r="E954" s="214">
        <v>91</v>
      </c>
      <c r="G954" s="169">
        <f ca="1">+G952</f>
        <v>0</v>
      </c>
      <c r="H954" s="35"/>
      <c r="I954" s="169">
        <f ca="1">+I952</f>
        <v>0</v>
      </c>
      <c r="J954" s="36"/>
      <c r="K954" s="169">
        <f ca="1">+K952</f>
        <v>0</v>
      </c>
      <c r="L954" s="170"/>
      <c r="M954" s="169">
        <f ca="1">+M952</f>
        <v>0</v>
      </c>
      <c r="N954" s="170"/>
      <c r="O954" s="169">
        <f ca="1">+O952</f>
        <v>0</v>
      </c>
      <c r="P954" s="170"/>
      <c r="Q954" s="169">
        <f ca="1">+Q952</f>
        <v>0</v>
      </c>
      <c r="R954" s="170"/>
      <c r="T954" s="170"/>
      <c r="V954" s="170"/>
      <c r="W954" s="170"/>
      <c r="X954" s="170"/>
      <c r="Y954" s="170"/>
      <c r="Z954" s="170"/>
      <c r="AA954" s="170"/>
      <c r="AB954" s="170"/>
      <c r="AC954" s="170"/>
      <c r="AD954" s="170"/>
      <c r="AE954" s="170"/>
      <c r="AF954" s="170"/>
      <c r="AG954" s="170"/>
      <c r="AH954" s="170"/>
      <c r="AI954" s="170"/>
      <c r="AJ954" s="170"/>
      <c r="AK954" s="170"/>
      <c r="AL954" s="170"/>
      <c r="AM954" s="170"/>
      <c r="AN954" s="170"/>
      <c r="AO954" s="170"/>
      <c r="AP954" s="170"/>
      <c r="AQ954" s="170"/>
      <c r="AR954" s="170"/>
      <c r="AS954" s="170"/>
      <c r="AT954" s="170"/>
      <c r="AU954" s="170"/>
      <c r="AV954" s="170"/>
      <c r="AW954" s="170"/>
      <c r="AX954" s="170"/>
      <c r="AY954" s="170"/>
      <c r="AZ954" s="170"/>
      <c r="BA954" s="170"/>
      <c r="BB954" s="170"/>
      <c r="BC954" s="170"/>
      <c r="BD954" s="170"/>
      <c r="BE954" s="170"/>
      <c r="BF954" s="170"/>
      <c r="BG954" s="170"/>
    </row>
    <row r="955" spans="1:59" ht="21" hidden="1" customHeight="1" x14ac:dyDescent="0.3">
      <c r="A955" s="11"/>
      <c r="B955" s="290" t="s">
        <v>56</v>
      </c>
      <c r="C955" s="291"/>
      <c r="D955" s="292"/>
      <c r="E955" s="214">
        <v>92</v>
      </c>
      <c r="G955" s="169"/>
      <c r="H955" s="35"/>
      <c r="I955" s="169"/>
      <c r="J955" s="36"/>
      <c r="K955" s="169"/>
      <c r="L955" s="170"/>
      <c r="M955" s="169"/>
      <c r="N955" s="170"/>
      <c r="O955" s="169"/>
      <c r="P955" s="170"/>
      <c r="Q955" s="169"/>
      <c r="R955" s="170"/>
      <c r="T955" s="170"/>
      <c r="V955" s="170"/>
      <c r="W955" s="170"/>
      <c r="X955" s="170"/>
      <c r="Y955" s="170"/>
      <c r="Z955" s="170"/>
      <c r="AA955" s="170"/>
      <c r="AB955" s="170"/>
      <c r="AC955" s="170"/>
      <c r="AD955" s="170"/>
      <c r="AE955" s="170"/>
      <c r="AF955" s="170"/>
      <c r="AG955" s="170"/>
      <c r="AH955" s="170"/>
      <c r="AI955" s="170"/>
      <c r="AJ955" s="170"/>
      <c r="AK955" s="170"/>
      <c r="AL955" s="170"/>
      <c r="AM955" s="170"/>
      <c r="AN955" s="170"/>
      <c r="AO955" s="170"/>
      <c r="AP955" s="170"/>
      <c r="AQ955" s="170"/>
      <c r="AR955" s="170"/>
      <c r="AS955" s="170"/>
      <c r="AT955" s="170"/>
      <c r="AU955" s="170"/>
      <c r="AV955" s="170"/>
      <c r="AW955" s="170"/>
      <c r="AX955" s="170"/>
      <c r="AY955" s="170"/>
      <c r="AZ955" s="170"/>
      <c r="BA955" s="170"/>
      <c r="BB955" s="170"/>
      <c r="BC955" s="170"/>
      <c r="BD955" s="170"/>
      <c r="BE955" s="170"/>
      <c r="BF955" s="170"/>
      <c r="BG955" s="170"/>
    </row>
    <row r="956" spans="1:59" ht="21" hidden="1" customHeight="1" x14ac:dyDescent="0.3">
      <c r="A956" s="11"/>
      <c r="B956" s="290" t="s">
        <v>885</v>
      </c>
      <c r="C956" s="291"/>
      <c r="D956" s="292"/>
      <c r="E956" s="214">
        <v>93</v>
      </c>
      <c r="G956" s="174">
        <f ca="1">+IF(G952-G953&gt;0,G952-G953,0)</f>
        <v>0</v>
      </c>
      <c r="H956" s="35"/>
      <c r="I956" s="174">
        <f ca="1">+IF(I952-I953&gt;0,I952-I953,0)</f>
        <v>0</v>
      </c>
      <c r="J956" s="36"/>
      <c r="K956" s="174">
        <f ca="1">+IF(K952-K953&gt;0,K952-K953,0)</f>
        <v>0</v>
      </c>
      <c r="L956" s="36"/>
      <c r="M956" s="174">
        <f ca="1">+IF(M952-M953&gt;0,M952-M953,0)</f>
        <v>0</v>
      </c>
      <c r="N956" s="36"/>
      <c r="O956" s="174">
        <f ca="1">+IF(O952-O953&gt;0,O952-O953,0)</f>
        <v>0</v>
      </c>
      <c r="P956" s="36"/>
      <c r="Q956" s="174">
        <f ca="1">+IF(Q952-Q953&gt;0,Q952-Q953,0)</f>
        <v>0</v>
      </c>
      <c r="R956" s="36"/>
      <c r="T956" s="36"/>
      <c r="V956" s="170"/>
      <c r="W956" s="170"/>
      <c r="X956" s="170"/>
      <c r="Y956" s="170"/>
      <c r="Z956" s="170"/>
      <c r="AA956" s="170"/>
      <c r="AB956" s="170"/>
      <c r="AC956" s="170"/>
      <c r="AD956" s="170"/>
      <c r="AE956" s="170"/>
      <c r="AF956" s="170"/>
      <c r="AG956" s="170"/>
      <c r="AH956" s="170"/>
      <c r="AI956" s="170"/>
      <c r="AJ956" s="170"/>
      <c r="AK956" s="170"/>
      <c r="AL956" s="170"/>
      <c r="AM956" s="170"/>
      <c r="AN956" s="170"/>
      <c r="AO956" s="170"/>
      <c r="AP956" s="170"/>
      <c r="AQ956" s="170"/>
      <c r="AR956" s="170"/>
      <c r="AS956" s="170"/>
      <c r="AT956" s="170"/>
      <c r="AU956" s="170"/>
      <c r="AV956" s="170"/>
      <c r="AW956" s="170"/>
      <c r="AX956" s="170"/>
      <c r="AY956" s="170"/>
      <c r="AZ956" s="170"/>
      <c r="BA956" s="170"/>
      <c r="BB956" s="170"/>
      <c r="BC956" s="170"/>
      <c r="BD956" s="170"/>
      <c r="BE956" s="170"/>
      <c r="BF956" s="170"/>
      <c r="BG956" s="170"/>
    </row>
    <row r="957" spans="1:59" ht="21" hidden="1" customHeight="1" x14ac:dyDescent="0.3">
      <c r="A957" s="11"/>
      <c r="B957" s="36"/>
      <c r="C957" s="11"/>
      <c r="E957" s="36"/>
      <c r="G957" s="36"/>
      <c r="H957" s="35"/>
      <c r="I957" s="36"/>
      <c r="J957" s="36"/>
      <c r="K957" s="36"/>
      <c r="L957" s="36"/>
      <c r="M957" s="36"/>
      <c r="N957" s="36"/>
      <c r="O957" s="36"/>
      <c r="P957" s="36"/>
      <c r="Q957" s="36"/>
      <c r="R957" s="36"/>
      <c r="T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36"/>
      <c r="BD957" s="36"/>
      <c r="BE957" s="36"/>
      <c r="BF957" s="36"/>
      <c r="BG957" s="36"/>
    </row>
    <row r="958" spans="1:59" ht="21" hidden="1" customHeight="1" x14ac:dyDescent="0.3">
      <c r="A958" s="11"/>
      <c r="B958" s="290" t="s">
        <v>888</v>
      </c>
      <c r="C958" s="291"/>
      <c r="D958" s="291"/>
      <c r="E958" s="292"/>
      <c r="G958" s="171" t="str">
        <f ca="1">+IF(G952&lt;&gt;G953+G954+G955,"Revise","Ok")</f>
        <v>Ok</v>
      </c>
      <c r="H958" s="35"/>
      <c r="I958" s="171" t="str">
        <f ca="1">+IF(I952&lt;&gt;I953+I954+I955,"Revise","Ok")</f>
        <v>Ok</v>
      </c>
      <c r="J958" s="36"/>
      <c r="K958" s="171" t="str">
        <f ca="1">+IF(K952&lt;&gt;K953+K954+K955,"Revise","Ok")</f>
        <v>Ok</v>
      </c>
      <c r="L958" s="36"/>
      <c r="M958" s="171" t="str">
        <f ca="1">+IF(M952&lt;&gt;M953+M954+M955,"Revise","Ok")</f>
        <v>Ok</v>
      </c>
      <c r="N958" s="36"/>
      <c r="O958" s="171" t="str">
        <f ca="1">+IF(O952&lt;&gt;O953+O954+O955,"Revise","Ok")</f>
        <v>Ok</v>
      </c>
      <c r="P958" s="36"/>
      <c r="Q958" s="171" t="str">
        <f ca="1">+IF(Q952&lt;&gt;Q953+Q954+Q955,"Revise","Ok")</f>
        <v>Ok</v>
      </c>
      <c r="R958" s="36"/>
      <c r="T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36"/>
      <c r="BD958" s="36"/>
      <c r="BE958" s="36"/>
      <c r="BF958" s="36"/>
      <c r="BG958" s="36"/>
    </row>
    <row r="959" spans="1:59" ht="21" hidden="1" customHeight="1" x14ac:dyDescent="0.3">
      <c r="A959" s="11"/>
      <c r="B959" s="290" t="s">
        <v>889</v>
      </c>
      <c r="C959" s="291"/>
      <c r="D959" s="291"/>
      <c r="E959" s="292"/>
      <c r="G959" s="172" t="str">
        <f ca="1">+IF(G956&lt;&gt;G954+G955,"Revise","Ok")</f>
        <v>Ok</v>
      </c>
      <c r="H959" s="35"/>
      <c r="I959" s="172" t="str">
        <f ca="1">+IF(I956&lt;&gt;I954+I955,"Revise","Ok")</f>
        <v>Ok</v>
      </c>
      <c r="J959" s="36"/>
      <c r="K959" s="172" t="str">
        <f ca="1">+IF(K956&lt;&gt;K954+K955,"Revise","Ok")</f>
        <v>Ok</v>
      </c>
      <c r="L959" s="36"/>
      <c r="M959" s="172" t="str">
        <f ca="1">+IF(M956&lt;&gt;M954+M955,"Revise","Ok")</f>
        <v>Ok</v>
      </c>
      <c r="N959" s="36"/>
      <c r="O959" s="172" t="str">
        <f ca="1">+IF(O956&lt;&gt;O954+O955,"Revise","Ok")</f>
        <v>Ok</v>
      </c>
      <c r="P959" s="36"/>
      <c r="Q959" s="172" t="str">
        <f ca="1">+IF(Q956&lt;&gt;Q954+Q955,"Revise","Ok")</f>
        <v>Ok</v>
      </c>
      <c r="R959" s="36"/>
      <c r="T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36"/>
      <c r="BD959" s="36"/>
      <c r="BE959" s="36"/>
      <c r="BF959" s="36"/>
      <c r="BG959" s="36"/>
    </row>
    <row r="960" spans="1:59" ht="21" hidden="1" customHeight="1" x14ac:dyDescent="0.3">
      <c r="A960" s="11"/>
      <c r="B960" s="11"/>
      <c r="C960" s="11"/>
      <c r="D960" s="36"/>
      <c r="E960" s="36"/>
      <c r="F960" s="36"/>
      <c r="G960" s="36"/>
      <c r="H960" s="35"/>
      <c r="I960" s="36"/>
      <c r="J960" s="36"/>
      <c r="K960" s="36"/>
      <c r="L960" s="36"/>
      <c r="M960" s="36"/>
      <c r="N960" s="36"/>
      <c r="O960" s="36"/>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36"/>
      <c r="BD960" s="36"/>
      <c r="BE960" s="36"/>
      <c r="BF960" s="36"/>
      <c r="BG960" s="36"/>
    </row>
    <row r="961" spans="1:59" ht="21" hidden="1" customHeight="1" x14ac:dyDescent="0.3">
      <c r="A961" s="11"/>
      <c r="B961" s="275" t="str">
        <f>+"Valor del saldo a favor bimestre anterior (Casilla 89 - Bim 6 - AG "&amp;$I$6-1&amp;")"</f>
        <v>Valor del saldo a favor bimestre anterior (Casilla 89 - Bim 6 - AG 2024)</v>
      </c>
      <c r="C961" s="275"/>
      <c r="D961" s="275"/>
      <c r="E961" s="169"/>
      <c r="F961" s="36"/>
      <c r="G961" s="36"/>
      <c r="H961" s="35"/>
      <c r="I961" s="36"/>
      <c r="J961" s="36"/>
      <c r="K961" s="36"/>
      <c r="L961" s="36"/>
      <c r="M961" s="36"/>
      <c r="N961" s="36"/>
      <c r="O961" s="36"/>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36"/>
      <c r="BD961" s="36"/>
      <c r="BE961" s="36"/>
      <c r="BF961" s="36"/>
      <c r="BG961" s="36"/>
    </row>
    <row r="962" spans="1:59" ht="21" hidden="1" customHeight="1" x14ac:dyDescent="0.3">
      <c r="A962" s="11"/>
      <c r="B962" s="275" t="str">
        <f>+"Solicitó el saldo a favor del bimestre anterior (Casilla 89 - Bim 6 - AG "&amp;I6-1&amp;")?"</f>
        <v>Solicitó el saldo a favor del bimestre anterior (Casilla 89 - Bim 6 - AG 2024)?</v>
      </c>
      <c r="C962" s="275"/>
      <c r="D962" s="275"/>
      <c r="E962" s="175" t="s">
        <v>835</v>
      </c>
      <c r="F962" s="36"/>
      <c r="G962" s="36"/>
      <c r="H962" s="35"/>
      <c r="I962" s="36"/>
      <c r="J962" s="36"/>
      <c r="K962" s="36"/>
      <c r="L962" s="36"/>
      <c r="M962" s="36"/>
      <c r="N962" s="36"/>
      <c r="O962" s="36"/>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36"/>
      <c r="BD962" s="36"/>
      <c r="BE962" s="36"/>
      <c r="BF962" s="36"/>
      <c r="BG962" s="36"/>
    </row>
    <row r="963" spans="1:59" ht="21" hidden="1" customHeight="1" x14ac:dyDescent="0.3">
      <c r="A963" s="11"/>
      <c r="B963" s="275" t="str">
        <f>+"Solicitó el saldo a favor del bimestre 1 (Casilla 89 - AG "&amp;I6&amp;")?"</f>
        <v>Solicitó el saldo a favor del bimestre 1 (Casilla 89 - AG 2025)?</v>
      </c>
      <c r="C963" s="275"/>
      <c r="D963" s="275"/>
      <c r="E963" s="175" t="s">
        <v>835</v>
      </c>
      <c r="F963" s="36"/>
      <c r="G963" s="36"/>
      <c r="H963" s="35"/>
      <c r="I963" s="36"/>
      <c r="J963" s="36"/>
      <c r="K963" s="36"/>
      <c r="L963" s="36"/>
      <c r="M963" s="36"/>
      <c r="N963" s="36"/>
      <c r="O963" s="36"/>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36"/>
      <c r="BD963" s="36"/>
      <c r="BE963" s="36"/>
      <c r="BF963" s="36"/>
      <c r="BG963" s="36"/>
    </row>
    <row r="964" spans="1:59" ht="21" hidden="1" customHeight="1" x14ac:dyDescent="0.3">
      <c r="A964" s="11"/>
      <c r="B964" s="275" t="str">
        <f>+"Solicitó el saldo a favor del bimestre 2 (Casilla 89 - AG "&amp;$I$6&amp;")?"</f>
        <v>Solicitó el saldo a favor del bimestre 2 (Casilla 89 - AG 2025)?</v>
      </c>
      <c r="C964" s="275"/>
      <c r="D964" s="275"/>
      <c r="E964" s="175" t="s">
        <v>835</v>
      </c>
      <c r="F964" s="36"/>
      <c r="G964" s="36"/>
      <c r="H964" s="35"/>
      <c r="I964" s="36"/>
      <c r="J964" s="36"/>
      <c r="K964" s="36"/>
      <c r="L964" s="36"/>
      <c r="M964" s="36"/>
      <c r="N964" s="36"/>
      <c r="O964" s="36"/>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36"/>
      <c r="BD964" s="36"/>
      <c r="BE964" s="36"/>
      <c r="BF964" s="36"/>
      <c r="BG964" s="36"/>
    </row>
    <row r="965" spans="1:59" ht="21" hidden="1" customHeight="1" x14ac:dyDescent="0.3">
      <c r="A965" s="11"/>
      <c r="B965" s="275" t="str">
        <f>+"Solicitó el saldo a favor del bimestre 3 (Casilla 89 - AG "&amp;$I$6&amp;")?"</f>
        <v>Solicitó el saldo a favor del bimestre 3 (Casilla 89 - AG 2025)?</v>
      </c>
      <c r="C965" s="275"/>
      <c r="D965" s="275"/>
      <c r="E965" s="175" t="s">
        <v>835</v>
      </c>
      <c r="F965" s="36"/>
      <c r="G965" s="36"/>
      <c r="H965" s="35"/>
      <c r="I965" s="36"/>
      <c r="J965" s="36"/>
      <c r="K965" s="36"/>
      <c r="L965" s="36"/>
      <c r="M965" s="36"/>
      <c r="N965" s="36"/>
      <c r="O965" s="36"/>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36"/>
      <c r="BD965" s="36"/>
      <c r="BE965" s="36"/>
      <c r="BF965" s="36"/>
      <c r="BG965" s="36"/>
    </row>
    <row r="966" spans="1:59" ht="21" hidden="1" customHeight="1" x14ac:dyDescent="0.3">
      <c r="A966" s="11"/>
      <c r="B966" s="275" t="str">
        <f>+"Solicitó el saldo a favor del bimestre 4 (Casilla 89 - AG "&amp;$I$6&amp;")?"</f>
        <v>Solicitó el saldo a favor del bimestre 4 (Casilla 89 - AG 2025)?</v>
      </c>
      <c r="C966" s="275"/>
      <c r="D966" s="275"/>
      <c r="E966" s="175" t="s">
        <v>835</v>
      </c>
      <c r="F966" s="36"/>
      <c r="G966" s="36"/>
      <c r="H966" s="35"/>
      <c r="I966" s="36"/>
      <c r="J966" s="36"/>
      <c r="K966" s="36"/>
      <c r="L966" s="36"/>
      <c r="M966" s="36"/>
      <c r="N966" s="36"/>
      <c r="O966" s="36"/>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36"/>
      <c r="BD966" s="36"/>
      <c r="BE966" s="36"/>
      <c r="BF966" s="36"/>
      <c r="BG966" s="36"/>
    </row>
    <row r="967" spans="1:59" ht="21" hidden="1" customHeight="1" x14ac:dyDescent="0.3">
      <c r="A967" s="11"/>
      <c r="B967" s="275" t="str">
        <f>+"Solicitó el saldo a favor del bimestre 5 (Casilla 89 - AG "&amp;$I$6&amp;")?"</f>
        <v>Solicitó el saldo a favor del bimestre 5 (Casilla 89 - AG 2025)?</v>
      </c>
      <c r="C967" s="275"/>
      <c r="D967" s="275"/>
      <c r="E967" s="175" t="s">
        <v>835</v>
      </c>
      <c r="F967" s="36"/>
      <c r="G967" s="36"/>
      <c r="H967" s="35"/>
      <c r="I967" s="36"/>
      <c r="J967" s="36"/>
      <c r="K967" s="36"/>
      <c r="L967" s="36"/>
      <c r="M967" s="36"/>
      <c r="N967" s="36"/>
      <c r="O967" s="36"/>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36"/>
      <c r="BD967" s="36"/>
      <c r="BE967" s="36"/>
      <c r="BF967" s="36"/>
      <c r="BG967" s="36"/>
    </row>
    <row r="968" spans="1:59" ht="21" hidden="1" customHeight="1" x14ac:dyDescent="0.3">
      <c r="A968" s="11"/>
      <c r="B968" s="11"/>
      <c r="C968" s="11"/>
      <c r="D968" s="36"/>
      <c r="E968" s="36"/>
      <c r="F968" s="36"/>
      <c r="G968" s="36"/>
      <c r="H968" s="35"/>
      <c r="I968" s="36"/>
      <c r="J968" s="36"/>
      <c r="K968" s="36"/>
      <c r="L968" s="36"/>
      <c r="M968" s="36"/>
      <c r="N968" s="36"/>
      <c r="O968" s="36"/>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36"/>
      <c r="BD968" s="36"/>
      <c r="BE968" s="36"/>
      <c r="BF968" s="36"/>
      <c r="BG968" s="36"/>
    </row>
    <row r="969" spans="1:59" ht="36" hidden="1" customHeight="1" x14ac:dyDescent="0.3">
      <c r="A969" s="11"/>
      <c r="B969" s="259" t="s">
        <v>899</v>
      </c>
      <c r="C969" s="259"/>
      <c r="D969" s="259"/>
      <c r="E969" s="259"/>
      <c r="F969" s="259"/>
      <c r="G969" s="259"/>
      <c r="H969" s="259"/>
      <c r="I969" s="259"/>
      <c r="J969" s="259"/>
      <c r="K969" s="183"/>
      <c r="L969" s="183"/>
      <c r="M969" s="183"/>
      <c r="N969" s="183"/>
      <c r="O969" s="183"/>
    </row>
    <row r="970" spans="1:59" ht="21" hidden="1" customHeight="1" x14ac:dyDescent="0.3">
      <c r="A970" s="11"/>
      <c r="B970" s="11"/>
      <c r="C970" s="11"/>
      <c r="D970" s="36"/>
      <c r="E970" s="36"/>
      <c r="F970" s="36"/>
      <c r="G970" s="36"/>
      <c r="H970" s="35"/>
      <c r="I970" s="36"/>
      <c r="J970" s="36"/>
      <c r="K970" s="36"/>
      <c r="L970" s="36"/>
      <c r="M970" s="36"/>
      <c r="N970" s="36"/>
      <c r="O970" s="36"/>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36"/>
      <c r="BD970" s="36"/>
      <c r="BE970" s="36"/>
      <c r="BF970" s="36"/>
      <c r="BG970" s="36"/>
    </row>
    <row r="971" spans="1:59" ht="21" hidden="1" customHeight="1" x14ac:dyDescent="0.3">
      <c r="A971" s="11"/>
      <c r="B971" s="284" t="s">
        <v>884</v>
      </c>
      <c r="C971" s="285"/>
      <c r="D971" s="286"/>
      <c r="E971" s="174" t="s">
        <v>887</v>
      </c>
      <c r="G971" s="174" t="s">
        <v>879</v>
      </c>
      <c r="H971" s="36"/>
      <c r="I971" s="174" t="s">
        <v>880</v>
      </c>
      <c r="J971" s="36"/>
      <c r="K971" s="174" t="s">
        <v>881</v>
      </c>
      <c r="N971" s="36"/>
      <c r="P971" s="36"/>
      <c r="R971" s="36"/>
      <c r="S971" s="36"/>
      <c r="T971" s="36"/>
      <c r="U971" s="36"/>
      <c r="V971" s="170"/>
      <c r="W971" s="170"/>
      <c r="X971" s="170"/>
      <c r="Y971" s="170"/>
      <c r="Z971" s="170"/>
      <c r="AA971" s="170"/>
      <c r="AB971" s="170"/>
      <c r="AC971" s="170"/>
      <c r="AD971" s="170"/>
      <c r="AE971" s="170"/>
      <c r="AF971" s="170"/>
      <c r="AG971" s="170"/>
      <c r="AH971" s="170"/>
      <c r="AI971" s="170"/>
      <c r="AJ971" s="170"/>
      <c r="AK971" s="170"/>
      <c r="AL971" s="170"/>
      <c r="AM971" s="170"/>
      <c r="AN971" s="170"/>
      <c r="AO971" s="170"/>
      <c r="AP971" s="170"/>
      <c r="AQ971" s="170"/>
      <c r="AR971" s="170"/>
      <c r="AS971" s="170"/>
      <c r="AT971" s="170"/>
      <c r="AU971" s="170"/>
      <c r="AV971" s="170"/>
      <c r="AW971" s="170"/>
      <c r="AX971" s="170"/>
      <c r="AY971" s="170"/>
      <c r="AZ971" s="170"/>
      <c r="BA971" s="170"/>
      <c r="BB971" s="170"/>
      <c r="BC971" s="170"/>
      <c r="BD971" s="170"/>
      <c r="BE971" s="170"/>
      <c r="BF971" s="170"/>
      <c r="BG971" s="170"/>
    </row>
    <row r="972" spans="1:59" ht="21" hidden="1" customHeight="1" x14ac:dyDescent="0.3">
      <c r="A972" s="11"/>
      <c r="B972" s="287" t="s">
        <v>886</v>
      </c>
      <c r="C972" s="288"/>
      <c r="D972" s="289"/>
      <c r="E972" s="214">
        <v>89</v>
      </c>
      <c r="G972" s="174">
        <f ca="1">+'F300-2025'!O306</f>
        <v>0</v>
      </c>
      <c r="H972" s="36"/>
      <c r="I972" s="174">
        <f ca="1">+'F300-2025'!O350</f>
        <v>0</v>
      </c>
      <c r="J972" s="36"/>
      <c r="K972" s="174">
        <f ca="1">+'F300-2025'!O394</f>
        <v>0</v>
      </c>
      <c r="L972" s="36"/>
      <c r="R972" s="36"/>
      <c r="S972" s="36"/>
      <c r="T972" s="36"/>
      <c r="U972" s="36"/>
      <c r="V972" s="170"/>
      <c r="W972" s="170"/>
      <c r="X972" s="170"/>
      <c r="Y972" s="170"/>
      <c r="Z972" s="170"/>
      <c r="AA972" s="170"/>
      <c r="AB972" s="170"/>
      <c r="AC972" s="170"/>
      <c r="AD972" s="170"/>
      <c r="AE972" s="170"/>
      <c r="AF972" s="170"/>
      <c r="AG972" s="170"/>
      <c r="AH972" s="170"/>
      <c r="AI972" s="170"/>
      <c r="AJ972" s="170"/>
      <c r="AK972" s="170"/>
      <c r="AL972" s="170"/>
      <c r="AM972" s="170"/>
      <c r="AN972" s="170"/>
      <c r="AO972" s="170"/>
      <c r="AP972" s="170"/>
      <c r="AQ972" s="170"/>
      <c r="AR972" s="170"/>
      <c r="AS972" s="170"/>
      <c r="AT972" s="170"/>
      <c r="AU972" s="170"/>
      <c r="AV972" s="170"/>
      <c r="AW972" s="170"/>
      <c r="AX972" s="170"/>
      <c r="AY972" s="170"/>
      <c r="AZ972" s="170"/>
      <c r="BA972" s="170"/>
      <c r="BB972" s="170"/>
      <c r="BC972" s="170"/>
      <c r="BD972" s="170"/>
      <c r="BE972" s="170"/>
      <c r="BF972" s="170"/>
      <c r="BG972" s="170"/>
    </row>
    <row r="973" spans="1:59" ht="21" hidden="1" customHeight="1" x14ac:dyDescent="0.3">
      <c r="A973" s="11"/>
      <c r="B973" s="290" t="s">
        <v>883</v>
      </c>
      <c r="C973" s="291"/>
      <c r="D973" s="292"/>
      <c r="E973" s="214">
        <v>90</v>
      </c>
      <c r="G973" s="169"/>
      <c r="H973" s="35"/>
      <c r="I973" s="169"/>
      <c r="J973" s="36"/>
      <c r="K973" s="169"/>
      <c r="L973" s="170"/>
      <c r="N973" s="170"/>
      <c r="P973" s="170"/>
      <c r="R973" s="170"/>
      <c r="S973" s="36"/>
      <c r="T973" s="36"/>
      <c r="U973" s="36"/>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c r="BA973" s="170"/>
      <c r="BB973" s="170"/>
      <c r="BC973" s="170"/>
      <c r="BD973" s="170"/>
      <c r="BE973" s="170"/>
      <c r="BF973" s="170"/>
      <c r="BG973" s="170"/>
    </row>
    <row r="974" spans="1:59" ht="21" hidden="1" customHeight="1" x14ac:dyDescent="0.3">
      <c r="A974" s="11"/>
      <c r="B974" s="290" t="s">
        <v>55</v>
      </c>
      <c r="C974" s="291"/>
      <c r="D974" s="292"/>
      <c r="E974" s="214">
        <v>91</v>
      </c>
      <c r="G974" s="169">
        <f ca="1">+G972</f>
        <v>0</v>
      </c>
      <c r="H974" s="35"/>
      <c r="I974" s="169">
        <f ca="1">+I972</f>
        <v>0</v>
      </c>
      <c r="J974" s="36"/>
      <c r="K974" s="169">
        <f ca="1">+K972</f>
        <v>0</v>
      </c>
      <c r="L974" s="170"/>
      <c r="N974" s="170"/>
      <c r="P974" s="170"/>
      <c r="R974" s="170"/>
      <c r="S974" s="36"/>
      <c r="T974" s="36"/>
      <c r="U974" s="36"/>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c r="BA974" s="170"/>
      <c r="BB974" s="170"/>
      <c r="BC974" s="170"/>
      <c r="BD974" s="170"/>
      <c r="BE974" s="170"/>
      <c r="BF974" s="170"/>
      <c r="BG974" s="170"/>
    </row>
    <row r="975" spans="1:59" ht="21" hidden="1" customHeight="1" x14ac:dyDescent="0.3">
      <c r="A975" s="11"/>
      <c r="B975" s="290" t="s">
        <v>56</v>
      </c>
      <c r="C975" s="291"/>
      <c r="D975" s="292"/>
      <c r="E975" s="214">
        <v>92</v>
      </c>
      <c r="G975" s="169"/>
      <c r="H975" s="35"/>
      <c r="I975" s="169"/>
      <c r="J975" s="36"/>
      <c r="K975" s="169"/>
      <c r="L975" s="170"/>
      <c r="N975" s="170"/>
      <c r="P975" s="170"/>
      <c r="R975" s="170"/>
      <c r="S975" s="36"/>
      <c r="T975" s="36"/>
      <c r="U975" s="36"/>
      <c r="V975" s="170"/>
      <c r="W975" s="170"/>
      <c r="X975" s="170"/>
      <c r="Y975" s="170"/>
      <c r="Z975" s="170"/>
      <c r="AA975" s="170"/>
      <c r="AB975" s="170"/>
      <c r="AC975" s="170"/>
      <c r="AD975" s="170"/>
      <c r="AE975" s="170"/>
      <c r="AF975" s="170"/>
      <c r="AG975" s="170"/>
      <c r="AH975" s="170"/>
      <c r="AI975" s="170"/>
      <c r="AJ975" s="170"/>
      <c r="AK975" s="170"/>
      <c r="AL975" s="170"/>
      <c r="AM975" s="170"/>
      <c r="AN975" s="170"/>
      <c r="AO975" s="170"/>
      <c r="AP975" s="170"/>
      <c r="AQ975" s="170"/>
      <c r="AR975" s="170"/>
      <c r="AS975" s="170"/>
      <c r="AT975" s="170"/>
      <c r="AU975" s="170"/>
      <c r="AV975" s="170"/>
      <c r="AW975" s="170"/>
      <c r="AX975" s="170"/>
      <c r="AY975" s="170"/>
      <c r="AZ975" s="170"/>
      <c r="BA975" s="170"/>
      <c r="BB975" s="170"/>
      <c r="BC975" s="170"/>
      <c r="BD975" s="170"/>
      <c r="BE975" s="170"/>
      <c r="BF975" s="170"/>
      <c r="BG975" s="170"/>
    </row>
    <row r="976" spans="1:59" ht="21" hidden="1" customHeight="1" x14ac:dyDescent="0.3">
      <c r="A976" s="11"/>
      <c r="B976" s="290" t="s">
        <v>885</v>
      </c>
      <c r="C976" s="291"/>
      <c r="D976" s="292"/>
      <c r="E976" s="214">
        <v>93</v>
      </c>
      <c r="G976" s="174">
        <f ca="1">+IF(G972-G973&gt;0,G972-G973,0)</f>
        <v>0</v>
      </c>
      <c r="H976" s="35"/>
      <c r="I976" s="174">
        <f ca="1">+IF(I972-I973&gt;0,I972-I973,0)</f>
        <v>0</v>
      </c>
      <c r="J976" s="36"/>
      <c r="K976" s="174">
        <f ca="1">+IF(K972-K973&gt;0,K972-K973,0)</f>
        <v>0</v>
      </c>
      <c r="L976" s="36"/>
      <c r="N976" s="36"/>
      <c r="P976" s="36"/>
      <c r="R976" s="36"/>
      <c r="S976" s="36"/>
      <c r="T976" s="36"/>
      <c r="U976" s="36"/>
      <c r="V976" s="170"/>
      <c r="W976" s="170"/>
      <c r="X976" s="170"/>
      <c r="Y976" s="170"/>
      <c r="Z976" s="170"/>
      <c r="AA976" s="170"/>
      <c r="AB976" s="170"/>
      <c r="AC976" s="170"/>
      <c r="AD976" s="170"/>
      <c r="AE976" s="170"/>
      <c r="AF976" s="170"/>
      <c r="AG976" s="170"/>
      <c r="AH976" s="170"/>
      <c r="AI976" s="170"/>
      <c r="AJ976" s="170"/>
      <c r="AK976" s="170"/>
      <c r="AL976" s="170"/>
      <c r="AM976" s="170"/>
      <c r="AN976" s="170"/>
      <c r="AO976" s="170"/>
      <c r="AP976" s="170"/>
      <c r="AQ976" s="170"/>
      <c r="AR976" s="170"/>
      <c r="AS976" s="170"/>
      <c r="AT976" s="170"/>
      <c r="AU976" s="170"/>
      <c r="AV976" s="170"/>
      <c r="AW976" s="170"/>
      <c r="AX976" s="170"/>
      <c r="AY976" s="170"/>
      <c r="AZ976" s="170"/>
      <c r="BA976" s="170"/>
      <c r="BB976" s="170"/>
      <c r="BC976" s="170"/>
      <c r="BD976" s="170"/>
      <c r="BE976" s="170"/>
      <c r="BF976" s="170"/>
      <c r="BG976" s="170"/>
    </row>
    <row r="977" spans="1:59" ht="21" hidden="1" customHeight="1" x14ac:dyDescent="0.3">
      <c r="A977" s="11"/>
      <c r="B977" s="36"/>
      <c r="C977" s="11"/>
      <c r="E977" s="36"/>
      <c r="G977" s="36"/>
      <c r="H977" s="35"/>
      <c r="I977" s="36"/>
      <c r="J977" s="36"/>
      <c r="K977" s="36"/>
      <c r="L977" s="36"/>
      <c r="N977" s="36"/>
      <c r="P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36"/>
      <c r="BD977" s="36"/>
      <c r="BE977" s="36"/>
      <c r="BF977" s="36"/>
      <c r="BG977" s="36"/>
    </row>
    <row r="978" spans="1:59" ht="21" hidden="1" customHeight="1" x14ac:dyDescent="0.3">
      <c r="A978" s="11"/>
      <c r="B978" s="290" t="s">
        <v>888</v>
      </c>
      <c r="C978" s="291"/>
      <c r="D978" s="291"/>
      <c r="E978" s="292"/>
      <c r="G978" s="171" t="str">
        <f ca="1">+IF(G972&lt;&gt;G973+G974+G975,"Revise","Ok")</f>
        <v>Ok</v>
      </c>
      <c r="H978" s="35"/>
      <c r="I978" s="171" t="str">
        <f ca="1">+IF(I972&lt;&gt;I973+I974+I975,"Revise","Ok")</f>
        <v>Ok</v>
      </c>
      <c r="J978" s="36"/>
      <c r="K978" s="171" t="str">
        <f ca="1">+IF(K972&lt;&gt;K973+K974+K975,"Revise","Ok")</f>
        <v>Ok</v>
      </c>
      <c r="L978" s="36"/>
      <c r="N978" s="36"/>
      <c r="P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36"/>
      <c r="BD978" s="36"/>
      <c r="BE978" s="36"/>
      <c r="BF978" s="36"/>
      <c r="BG978" s="36"/>
    </row>
    <row r="979" spans="1:59" ht="21" hidden="1" customHeight="1" x14ac:dyDescent="0.3">
      <c r="A979" s="11"/>
      <c r="B979" s="290" t="s">
        <v>889</v>
      </c>
      <c r="C979" s="291"/>
      <c r="D979" s="291"/>
      <c r="E979" s="292"/>
      <c r="G979" s="172" t="str">
        <f ca="1">+IF(G976&lt;&gt;G974+G975,"Revise","Ok")</f>
        <v>Ok</v>
      </c>
      <c r="H979" s="35"/>
      <c r="I979" s="172" t="str">
        <f ca="1">+IF(I976&lt;&gt;I974+I975,"Revise","Ok")</f>
        <v>Ok</v>
      </c>
      <c r="J979" s="36"/>
      <c r="K979" s="172" t="str">
        <f ca="1">+IF(K976&lt;&gt;K974+K975,"Revise","Ok")</f>
        <v>Ok</v>
      </c>
      <c r="L979" s="36"/>
      <c r="N979" s="36"/>
      <c r="P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36"/>
      <c r="BD979" s="36"/>
      <c r="BE979" s="36"/>
      <c r="BF979" s="36"/>
      <c r="BG979" s="36"/>
    </row>
    <row r="980" spans="1:59" ht="21" hidden="1" customHeight="1" x14ac:dyDescent="0.3">
      <c r="A980" s="11"/>
      <c r="B980" s="11"/>
      <c r="C980" s="11"/>
      <c r="D980" s="36"/>
      <c r="E980" s="36"/>
      <c r="F980" s="36"/>
      <c r="G980" s="36"/>
      <c r="H980" s="35"/>
      <c r="I980" s="36"/>
      <c r="J980" s="36"/>
      <c r="K980" s="36"/>
      <c r="L980" s="36"/>
      <c r="M980" s="36"/>
      <c r="N980" s="36"/>
      <c r="O980" s="36"/>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36"/>
      <c r="BD980" s="36"/>
      <c r="BE980" s="36"/>
      <c r="BF980" s="36"/>
      <c r="BG980" s="36"/>
    </row>
    <row r="981" spans="1:59" ht="21" hidden="1" customHeight="1" x14ac:dyDescent="0.3">
      <c r="A981" s="11"/>
      <c r="B981" s="275" t="str">
        <f>+"Valor del saldo a favor cuatrimestre anterior (Casilla 89 - AG "&amp;$I$6-1&amp;")"</f>
        <v>Valor del saldo a favor cuatrimestre anterior (Casilla 89 - AG 2024)</v>
      </c>
      <c r="C981" s="275"/>
      <c r="D981" s="275"/>
      <c r="E981" s="169"/>
      <c r="G981" s="201"/>
      <c r="H981" s="35"/>
      <c r="I981" s="201"/>
      <c r="J981" s="36"/>
      <c r="K981" s="201"/>
      <c r="L981" s="36"/>
      <c r="M981" s="201"/>
      <c r="N981" s="36"/>
      <c r="P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36"/>
      <c r="BD981" s="36"/>
      <c r="BE981" s="36"/>
      <c r="BF981" s="36"/>
      <c r="BG981" s="36"/>
    </row>
    <row r="982" spans="1:59" ht="21" hidden="1" customHeight="1" x14ac:dyDescent="0.3">
      <c r="A982" s="11"/>
      <c r="B982" s="275" t="str">
        <f>+"Solicitó el saldo a favor del cuatrimestre anterior (Casilla 89 - AG "&amp;$I$6-1&amp;")?"</f>
        <v>Solicitó el saldo a favor del cuatrimestre anterior (Casilla 89 - AG 2024)?</v>
      </c>
      <c r="C982" s="275"/>
      <c r="D982" s="275"/>
      <c r="E982" s="175" t="s">
        <v>835</v>
      </c>
      <c r="G982" s="201"/>
      <c r="H982" s="35"/>
      <c r="I982" s="201"/>
      <c r="J982" s="36"/>
      <c r="K982" s="201"/>
      <c r="L982" s="36"/>
      <c r="M982" s="201"/>
      <c r="N982" s="36"/>
      <c r="P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36"/>
      <c r="BD982" s="36"/>
      <c r="BE982" s="36"/>
      <c r="BF982" s="36"/>
      <c r="BG982" s="36"/>
    </row>
    <row r="983" spans="1:59" ht="21" hidden="1" customHeight="1" x14ac:dyDescent="0.3">
      <c r="A983" s="11"/>
      <c r="B983" s="275" t="str">
        <f>+"Solicitó el saldo a favor del cuatrimestre 1 (Casilla 89 - AG "&amp;$I$6&amp;")?"</f>
        <v>Solicitó el saldo a favor del cuatrimestre 1 (Casilla 89 - AG 2025)?</v>
      </c>
      <c r="C983" s="275"/>
      <c r="D983" s="275"/>
      <c r="E983" s="175" t="s">
        <v>835</v>
      </c>
      <c r="G983" s="201"/>
      <c r="H983" s="35"/>
      <c r="I983" s="201"/>
      <c r="J983" s="36"/>
      <c r="K983" s="201"/>
      <c r="L983" s="36"/>
      <c r="M983" s="201"/>
      <c r="N983" s="36"/>
      <c r="P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36"/>
      <c r="BD983" s="36"/>
      <c r="BE983" s="36"/>
      <c r="BF983" s="36"/>
      <c r="BG983" s="36"/>
    </row>
    <row r="984" spans="1:59" ht="21" hidden="1" customHeight="1" x14ac:dyDescent="0.3">
      <c r="A984" s="11"/>
      <c r="B984" s="275" t="str">
        <f>+"Solicitó el saldo a favor del cuatrimestre 2 (Casilla 89 - AG "&amp;$I$6&amp;")?"</f>
        <v>Solicitó el saldo a favor del cuatrimestre 2 (Casilla 89 - AG 2025)?</v>
      </c>
      <c r="C984" s="275"/>
      <c r="D984" s="275"/>
      <c r="E984" s="175" t="s">
        <v>835</v>
      </c>
      <c r="G984" s="201"/>
      <c r="H984" s="35"/>
      <c r="I984" s="201"/>
      <c r="J984" s="36"/>
      <c r="K984" s="201"/>
      <c r="L984" s="36"/>
      <c r="M984" s="201"/>
      <c r="N984" s="36"/>
      <c r="P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36"/>
      <c r="BD984" s="36"/>
      <c r="BE984" s="36"/>
      <c r="BF984" s="36"/>
      <c r="BG984" s="36"/>
    </row>
    <row r="985" spans="1:59" ht="21" hidden="1" customHeight="1" x14ac:dyDescent="0.3">
      <c r="A985" s="11"/>
      <c r="B985" s="11"/>
      <c r="C985" s="11"/>
      <c r="D985" s="36"/>
      <c r="E985" s="36"/>
      <c r="F985" s="36"/>
      <c r="G985" s="36"/>
      <c r="H985" s="35"/>
      <c r="I985" s="36"/>
      <c r="J985" s="36"/>
      <c r="K985" s="36"/>
      <c r="L985" s="36"/>
      <c r="M985" s="36"/>
      <c r="N985" s="36"/>
      <c r="O985" s="36"/>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36"/>
      <c r="BD985" s="36"/>
      <c r="BE985" s="36"/>
      <c r="BF985" s="36"/>
      <c r="BG985" s="36"/>
    </row>
    <row r="986" spans="1:59" ht="36" hidden="1" customHeight="1" x14ac:dyDescent="0.3">
      <c r="A986" s="11"/>
      <c r="B986" s="259" t="s">
        <v>900</v>
      </c>
      <c r="C986" s="259"/>
      <c r="D986" s="259"/>
      <c r="E986" s="259"/>
      <c r="F986" s="259"/>
      <c r="G986" s="259"/>
      <c r="H986" s="259"/>
      <c r="I986" s="259"/>
      <c r="J986" s="259"/>
      <c r="K986" s="183"/>
      <c r="L986" s="183"/>
      <c r="M986" s="183"/>
      <c r="N986" s="183"/>
      <c r="O986" s="183"/>
    </row>
    <row r="987" spans="1:59" ht="21" hidden="1" customHeight="1" x14ac:dyDescent="0.3">
      <c r="A987" s="11"/>
      <c r="B987" s="11"/>
      <c r="C987" s="11"/>
      <c r="D987" s="36"/>
      <c r="E987" s="36"/>
      <c r="F987" s="36"/>
      <c r="G987" s="36"/>
      <c r="H987" s="35"/>
      <c r="I987" s="36"/>
      <c r="J987" s="36"/>
      <c r="K987" s="36"/>
      <c r="L987" s="36"/>
      <c r="M987" s="36"/>
      <c r="N987" s="36"/>
      <c r="O987" s="36"/>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36"/>
      <c r="BD987" s="36"/>
      <c r="BE987" s="36"/>
      <c r="BF987" s="36"/>
      <c r="BG987" s="36"/>
    </row>
    <row r="988" spans="1:59" ht="21" hidden="1" customHeight="1" x14ac:dyDescent="0.3">
      <c r="A988" s="11"/>
      <c r="B988" s="284" t="s">
        <v>884</v>
      </c>
      <c r="C988" s="285"/>
      <c r="D988" s="286"/>
      <c r="E988" s="174" t="s">
        <v>887</v>
      </c>
      <c r="G988" s="174" t="s">
        <v>14</v>
      </c>
      <c r="H988" s="36"/>
      <c r="J988" s="36"/>
      <c r="L988" s="36"/>
      <c r="M988" s="36"/>
      <c r="N988" s="36"/>
      <c r="O988" s="36"/>
      <c r="P988" s="36"/>
      <c r="Q988" s="36"/>
      <c r="R988" s="36"/>
      <c r="S988" s="36"/>
      <c r="T988" s="36"/>
      <c r="U988" s="36"/>
      <c r="V988" s="170"/>
      <c r="W988" s="170"/>
      <c r="X988" s="170"/>
      <c r="Y988" s="170"/>
      <c r="Z988" s="170"/>
      <c r="AA988" s="170"/>
      <c r="AB988" s="170"/>
      <c r="AC988" s="170"/>
      <c r="AD988" s="170"/>
      <c r="AE988" s="170"/>
      <c r="AF988" s="170"/>
      <c r="AG988" s="170"/>
      <c r="AH988" s="170"/>
      <c r="AI988" s="170"/>
      <c r="AJ988" s="170"/>
      <c r="AK988" s="170"/>
      <c r="AL988" s="170"/>
      <c r="AM988" s="170"/>
      <c r="AN988" s="170"/>
      <c r="AO988" s="170"/>
      <c r="AP988" s="170"/>
      <c r="AQ988" s="170"/>
      <c r="AR988" s="170"/>
      <c r="AS988" s="170"/>
      <c r="AT988" s="170"/>
      <c r="AU988" s="170"/>
      <c r="AV988" s="170"/>
      <c r="AW988" s="170"/>
      <c r="AX988" s="170"/>
      <c r="AY988" s="170"/>
      <c r="AZ988" s="170"/>
      <c r="BA988" s="170"/>
      <c r="BB988" s="170"/>
      <c r="BC988" s="170"/>
      <c r="BD988" s="170"/>
      <c r="BE988" s="170"/>
      <c r="BF988" s="170"/>
      <c r="BG988" s="170"/>
    </row>
    <row r="989" spans="1:59" ht="21" hidden="1" customHeight="1" x14ac:dyDescent="0.3">
      <c r="A989" s="11"/>
      <c r="B989" s="287" t="s">
        <v>886</v>
      </c>
      <c r="C989" s="288"/>
      <c r="D989" s="289"/>
      <c r="E989" s="214">
        <v>89</v>
      </c>
      <c r="G989" s="174">
        <f ca="1">+'F300-2025'!O438</f>
        <v>0</v>
      </c>
      <c r="H989" s="35"/>
      <c r="J989" s="36"/>
      <c r="M989" s="36"/>
      <c r="N989" s="36"/>
      <c r="O989" s="36"/>
      <c r="P989" s="36"/>
      <c r="Q989" s="36"/>
      <c r="R989" s="36"/>
      <c r="S989" s="36"/>
      <c r="T989" s="36"/>
      <c r="U989" s="36"/>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c r="BA989" s="170"/>
      <c r="BB989" s="170"/>
      <c r="BC989" s="170"/>
      <c r="BD989" s="170"/>
      <c r="BE989" s="170"/>
      <c r="BF989" s="170"/>
      <c r="BG989" s="170"/>
    </row>
    <row r="990" spans="1:59" ht="21" hidden="1" customHeight="1" x14ac:dyDescent="0.3">
      <c r="A990" s="11"/>
      <c r="B990" s="290" t="s">
        <v>883</v>
      </c>
      <c r="C990" s="291"/>
      <c r="D990" s="292"/>
      <c r="E990" s="214">
        <v>90</v>
      </c>
      <c r="G990" s="169"/>
      <c r="H990" s="35"/>
      <c r="J990" s="36"/>
      <c r="L990" s="36"/>
      <c r="M990" s="36"/>
      <c r="N990" s="36"/>
      <c r="O990" s="36"/>
      <c r="P990" s="36"/>
      <c r="Q990" s="36"/>
      <c r="R990" s="170"/>
      <c r="S990" s="36"/>
      <c r="T990" s="36"/>
      <c r="U990" s="36"/>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c r="BA990" s="170"/>
      <c r="BB990" s="170"/>
      <c r="BC990" s="170"/>
      <c r="BD990" s="170"/>
      <c r="BE990" s="170"/>
      <c r="BF990" s="170"/>
      <c r="BG990" s="170"/>
    </row>
    <row r="991" spans="1:59" ht="21" hidden="1" customHeight="1" x14ac:dyDescent="0.3">
      <c r="A991" s="11"/>
      <c r="B991" s="290" t="s">
        <v>55</v>
      </c>
      <c r="C991" s="291"/>
      <c r="D991" s="292"/>
      <c r="E991" s="214">
        <v>91</v>
      </c>
      <c r="G991" s="169">
        <f ca="1">+G989</f>
        <v>0</v>
      </c>
      <c r="H991" s="35"/>
      <c r="J991" s="36"/>
      <c r="L991" s="36"/>
      <c r="M991" s="36"/>
      <c r="N991" s="36"/>
      <c r="O991" s="36"/>
      <c r="P991" s="36"/>
      <c r="Q991" s="36"/>
      <c r="R991" s="170"/>
      <c r="S991" s="36"/>
      <c r="T991" s="36"/>
      <c r="U991" s="36"/>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c r="BA991" s="170"/>
      <c r="BB991" s="170"/>
      <c r="BC991" s="170"/>
      <c r="BD991" s="170"/>
      <c r="BE991" s="170"/>
      <c r="BF991" s="170"/>
      <c r="BG991" s="170"/>
    </row>
    <row r="992" spans="1:59" ht="21" hidden="1" customHeight="1" x14ac:dyDescent="0.3">
      <c r="A992" s="11"/>
      <c r="B992" s="290" t="s">
        <v>56</v>
      </c>
      <c r="C992" s="291"/>
      <c r="D992" s="292"/>
      <c r="E992" s="214">
        <v>92</v>
      </c>
      <c r="G992" s="169"/>
      <c r="H992" s="35"/>
      <c r="J992" s="36"/>
      <c r="L992" s="36"/>
      <c r="M992" s="36"/>
      <c r="N992" s="36"/>
      <c r="O992" s="36"/>
      <c r="P992" s="36"/>
      <c r="Q992" s="36"/>
      <c r="R992" s="170"/>
      <c r="S992" s="36"/>
      <c r="T992" s="36"/>
      <c r="U992" s="36"/>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row>
    <row r="993" spans="1:59" ht="21" hidden="1" customHeight="1" x14ac:dyDescent="0.3">
      <c r="A993" s="11"/>
      <c r="B993" s="290" t="s">
        <v>885</v>
      </c>
      <c r="C993" s="291"/>
      <c r="D993" s="292"/>
      <c r="E993" s="214">
        <v>93</v>
      </c>
      <c r="G993" s="174">
        <f ca="1">+IF(G989-G990&gt;0,G989-G990,0)</f>
        <v>0</v>
      </c>
      <c r="H993" s="35"/>
      <c r="J993" s="36"/>
      <c r="L993" s="36"/>
      <c r="M993" s="36"/>
      <c r="N993" s="36"/>
      <c r="O993" s="36"/>
      <c r="P993" s="36"/>
      <c r="Q993" s="36"/>
      <c r="R993" s="36"/>
      <c r="S993" s="36"/>
      <c r="T993" s="36"/>
      <c r="U993" s="36"/>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row>
    <row r="994" spans="1:59" ht="21" hidden="1" customHeight="1" x14ac:dyDescent="0.3">
      <c r="A994" s="11"/>
      <c r="B994" s="36"/>
      <c r="C994" s="11"/>
      <c r="E994" s="36"/>
      <c r="G994" s="36"/>
      <c r="H994" s="35"/>
      <c r="I994" s="36"/>
      <c r="J994" s="36"/>
      <c r="L994" s="36"/>
      <c r="M994" s="36"/>
      <c r="N994" s="36"/>
      <c r="O994" s="36"/>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36"/>
      <c r="BD994" s="36"/>
      <c r="BE994" s="36"/>
      <c r="BF994" s="36"/>
      <c r="BG994" s="36"/>
    </row>
    <row r="995" spans="1:59" ht="21" hidden="1" customHeight="1" x14ac:dyDescent="0.3">
      <c r="A995" s="11"/>
      <c r="B995" s="290" t="s">
        <v>888</v>
      </c>
      <c r="C995" s="291"/>
      <c r="D995" s="291"/>
      <c r="E995" s="292"/>
      <c r="G995" s="171" t="str">
        <f ca="1">+IF(G989&lt;&gt;G990+G991+G992,"Revise","Ok")</f>
        <v>Ok</v>
      </c>
      <c r="H995" s="35"/>
      <c r="I995" s="36"/>
      <c r="J995" s="36"/>
      <c r="L995" s="36"/>
      <c r="M995" s="36"/>
      <c r="N995" s="36"/>
      <c r="O995" s="36"/>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36"/>
      <c r="BD995" s="36"/>
      <c r="BE995" s="36"/>
      <c r="BF995" s="36"/>
      <c r="BG995" s="36"/>
    </row>
    <row r="996" spans="1:59" ht="21" hidden="1" customHeight="1" x14ac:dyDescent="0.3">
      <c r="A996" s="11"/>
      <c r="B996" s="290" t="s">
        <v>889</v>
      </c>
      <c r="C996" s="291"/>
      <c r="D996" s="291"/>
      <c r="E996" s="292"/>
      <c r="G996" s="172" t="str">
        <f ca="1">+IF(G993&lt;&gt;G991+G992,"Revise","Ok")</f>
        <v>Ok</v>
      </c>
      <c r="H996" s="35"/>
      <c r="I996" s="36"/>
      <c r="J996" s="36"/>
      <c r="L996" s="36"/>
      <c r="M996" s="36"/>
      <c r="N996" s="36"/>
      <c r="O996" s="36"/>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36"/>
      <c r="BD996" s="36"/>
      <c r="BE996" s="36"/>
      <c r="BF996" s="36"/>
      <c r="BG996" s="36"/>
    </row>
    <row r="997" spans="1:59" hidden="1" x14ac:dyDescent="0.3"/>
    <row r="998" spans="1:59" ht="21" hidden="1" customHeight="1" x14ac:dyDescent="0.3">
      <c r="A998" s="11"/>
      <c r="B998" s="275" t="str">
        <f>+"Valor del saldo a favor año anterior (Casilla 89 - AG "&amp;$I$6-1&amp;")"</f>
        <v>Valor del saldo a favor año anterior (Casilla 89 - AG 2024)</v>
      </c>
      <c r="C998" s="275"/>
      <c r="D998" s="275"/>
      <c r="E998" s="169"/>
      <c r="G998" s="201"/>
      <c r="H998" s="35"/>
      <c r="I998" s="201"/>
      <c r="J998" s="36"/>
      <c r="K998" s="201"/>
      <c r="L998" s="36"/>
      <c r="M998" s="201"/>
      <c r="N998" s="36"/>
      <c r="P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36"/>
      <c r="BD998" s="36"/>
      <c r="BE998" s="36"/>
      <c r="BF998" s="36"/>
      <c r="BG998" s="36"/>
    </row>
    <row r="999" spans="1:59" ht="21" hidden="1" customHeight="1" x14ac:dyDescent="0.3">
      <c r="A999" s="11"/>
      <c r="B999" s="275" t="str">
        <f>+"Solicitó el saldo a favor del año anterior (Casilla 89 - AG "&amp;$I$6-1&amp;")?"</f>
        <v>Solicitó el saldo a favor del año anterior (Casilla 89 - AG 2024)?</v>
      </c>
      <c r="C999" s="275"/>
      <c r="D999" s="275"/>
      <c r="E999" s="175" t="s">
        <v>835</v>
      </c>
      <c r="G999" s="201"/>
      <c r="H999" s="35"/>
      <c r="I999" s="201"/>
      <c r="J999" s="36"/>
      <c r="K999" s="201"/>
      <c r="L999" s="36"/>
      <c r="M999" s="201"/>
      <c r="N999" s="36"/>
      <c r="P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36"/>
      <c r="BD999" s="36"/>
      <c r="BE999" s="36"/>
      <c r="BF999" s="36"/>
      <c r="BG999" s="36"/>
    </row>
    <row r="1000" spans="1:59" hidden="1" x14ac:dyDescent="0.3"/>
    <row r="1001" spans="1:59" ht="36" customHeight="1" x14ac:dyDescent="0.3">
      <c r="A1001" s="11"/>
      <c r="B1001" s="356" t="s">
        <v>947</v>
      </c>
      <c r="C1001" s="356"/>
      <c r="D1001" s="356"/>
      <c r="E1001" s="356"/>
      <c r="F1001" s="356"/>
      <c r="G1001" s="356"/>
      <c r="H1001" s="356"/>
      <c r="I1001" s="356"/>
      <c r="J1001" s="356"/>
      <c r="K1001" s="183"/>
      <c r="L1001" s="183"/>
      <c r="M1001" s="183"/>
      <c r="N1001" s="183"/>
      <c r="O1001" s="183"/>
    </row>
    <row r="1003" spans="1:59" ht="21" hidden="1" customHeight="1" x14ac:dyDescent="0.3">
      <c r="A1003" s="11"/>
      <c r="B1003" s="352" t="s">
        <v>884</v>
      </c>
      <c r="C1003" s="352"/>
      <c r="D1003" s="352"/>
      <c r="E1003" s="199" t="s">
        <v>887</v>
      </c>
      <c r="G1003" s="200" t="s">
        <v>871</v>
      </c>
      <c r="H1003" s="36"/>
      <c r="I1003" s="200" t="s">
        <v>872</v>
      </c>
      <c r="K1003" s="200" t="s">
        <v>873</v>
      </c>
      <c r="L1003" s="204"/>
      <c r="M1003" s="200" t="s">
        <v>874</v>
      </c>
      <c r="N1003" s="204"/>
      <c r="O1003" s="200" t="s">
        <v>875</v>
      </c>
      <c r="P1003" s="204"/>
      <c r="Q1003" s="200" t="s">
        <v>876</v>
      </c>
      <c r="R1003" s="204"/>
      <c r="T1003" s="204"/>
      <c r="U1003" s="204"/>
      <c r="V1003" s="204"/>
      <c r="W1003" s="204"/>
      <c r="X1003" s="204"/>
      <c r="Y1003" s="204"/>
      <c r="Z1003" s="204"/>
      <c r="AA1003" s="204"/>
      <c r="AB1003" s="204"/>
      <c r="AC1003" s="204"/>
      <c r="AD1003" s="204"/>
      <c r="AE1003" s="204"/>
      <c r="AF1003" s="204"/>
      <c r="AG1003" s="204"/>
      <c r="AH1003" s="204"/>
      <c r="AI1003" s="204"/>
      <c r="AJ1003" s="204"/>
      <c r="AK1003" s="204"/>
      <c r="AL1003" s="204"/>
      <c r="AM1003" s="204"/>
      <c r="AN1003" s="204"/>
      <c r="AO1003" s="204"/>
      <c r="AP1003" s="204"/>
      <c r="AQ1003" s="204"/>
      <c r="AR1003" s="204"/>
      <c r="AS1003" s="204"/>
      <c r="AT1003" s="204"/>
      <c r="AU1003" s="204"/>
      <c r="AV1003" s="204"/>
      <c r="AW1003" s="204"/>
      <c r="AX1003" s="204"/>
      <c r="AY1003" s="204"/>
      <c r="AZ1003" s="204"/>
      <c r="BA1003" s="204"/>
      <c r="BB1003" s="204"/>
      <c r="BC1003" s="204"/>
      <c r="BD1003" s="204"/>
      <c r="BE1003" s="204"/>
      <c r="BF1003" s="204"/>
      <c r="BG1003" s="204"/>
    </row>
    <row r="1004" spans="1:59" ht="21" hidden="1" customHeight="1" x14ac:dyDescent="0.3">
      <c r="A1004" s="11"/>
      <c r="B1004" s="353" t="s">
        <v>948</v>
      </c>
      <c r="C1004" s="354"/>
      <c r="D1004" s="355"/>
      <c r="E1004" s="212">
        <v>66</v>
      </c>
      <c r="G1004" s="205">
        <f>+'F300-2025'!O18</f>
        <v>0</v>
      </c>
      <c r="H1004" s="170"/>
      <c r="I1004" s="205">
        <f>+'F300-2025'!O62</f>
        <v>0</v>
      </c>
      <c r="K1004" s="205">
        <f>+'F300-2025'!O106</f>
        <v>0</v>
      </c>
      <c r="L1004" s="209"/>
      <c r="M1004" s="205">
        <f>+'F300-2025'!O150</f>
        <v>0</v>
      </c>
      <c r="N1004" s="209"/>
      <c r="O1004" s="205">
        <f>+'F300-2025'!O194</f>
        <v>0</v>
      </c>
      <c r="P1004" s="209"/>
      <c r="Q1004" s="205">
        <f>+'F300-2025'!O238</f>
        <v>0</v>
      </c>
      <c r="R1004" s="209"/>
      <c r="T1004" s="209"/>
      <c r="U1004" s="209"/>
      <c r="V1004" s="209"/>
      <c r="W1004" s="209"/>
      <c r="X1004" s="209"/>
      <c r="Y1004" s="209"/>
      <c r="Z1004" s="209"/>
      <c r="AA1004" s="209"/>
      <c r="AB1004" s="209"/>
      <c r="AC1004" s="209"/>
      <c r="AD1004" s="209"/>
      <c r="AE1004" s="209"/>
      <c r="AF1004" s="209"/>
      <c r="AG1004" s="209"/>
      <c r="AH1004" s="209"/>
      <c r="AI1004" s="209"/>
      <c r="AJ1004" s="209"/>
      <c r="AK1004" s="209"/>
      <c r="AL1004" s="209"/>
      <c r="AM1004" s="209"/>
      <c r="AN1004" s="209"/>
      <c r="AO1004" s="209"/>
      <c r="AP1004" s="209"/>
      <c r="AQ1004" s="209"/>
      <c r="AR1004" s="209"/>
      <c r="AS1004" s="209"/>
      <c r="AT1004" s="209"/>
      <c r="AU1004" s="209"/>
      <c r="AV1004" s="209"/>
      <c r="AW1004" s="209"/>
      <c r="AX1004" s="209"/>
      <c r="AY1004" s="209"/>
      <c r="AZ1004" s="209"/>
      <c r="BA1004" s="209"/>
      <c r="BB1004" s="209"/>
      <c r="BC1004" s="209"/>
      <c r="BD1004" s="209"/>
      <c r="BE1004" s="209"/>
      <c r="BF1004" s="209"/>
      <c r="BG1004" s="209"/>
    </row>
    <row r="1005" spans="1:59" ht="21" hidden="1" customHeight="1" x14ac:dyDescent="0.3">
      <c r="A1005" s="11"/>
      <c r="B1005" s="353" t="s">
        <v>949</v>
      </c>
      <c r="C1005" s="354"/>
      <c r="D1005" s="355"/>
      <c r="E1005" s="212">
        <v>67</v>
      </c>
      <c r="G1005" s="205">
        <f ca="1">+'F300-2025'!O32</f>
        <v>0</v>
      </c>
      <c r="H1005" s="170"/>
      <c r="I1005" s="205">
        <f ca="1">+'F300-2025'!O76</f>
        <v>0</v>
      </c>
      <c r="K1005" s="205">
        <f ca="1">+'F300-2025'!O120</f>
        <v>0</v>
      </c>
      <c r="L1005" s="209"/>
      <c r="M1005" s="205">
        <f ca="1">+'F300-2025'!O164</f>
        <v>0</v>
      </c>
      <c r="N1005" s="209"/>
      <c r="O1005" s="205">
        <f ca="1">+'F300-2025'!O208</f>
        <v>0</v>
      </c>
      <c r="P1005" s="209"/>
      <c r="Q1005" s="205">
        <f ca="1">+'F300-2025'!O252</f>
        <v>0</v>
      </c>
      <c r="R1005" s="209"/>
      <c r="T1005" s="209"/>
      <c r="U1005" s="209"/>
      <c r="V1005" s="209"/>
      <c r="W1005" s="209"/>
      <c r="X1005" s="209"/>
      <c r="Y1005" s="209"/>
      <c r="Z1005" s="209"/>
      <c r="AA1005" s="209"/>
      <c r="AB1005" s="209"/>
      <c r="AC1005" s="209"/>
      <c r="AD1005" s="209"/>
      <c r="AE1005" s="209"/>
      <c r="AF1005" s="209"/>
      <c r="AG1005" s="209"/>
      <c r="AH1005" s="209"/>
      <c r="AI1005" s="209"/>
      <c r="AJ1005" s="209"/>
      <c r="AK1005" s="209"/>
      <c r="AL1005" s="209"/>
      <c r="AM1005" s="209"/>
      <c r="AN1005" s="209"/>
      <c r="AO1005" s="209"/>
      <c r="AP1005" s="209"/>
      <c r="AQ1005" s="209"/>
      <c r="AR1005" s="209"/>
      <c r="AS1005" s="209"/>
      <c r="AT1005" s="209"/>
      <c r="AU1005" s="209"/>
      <c r="AV1005" s="209"/>
      <c r="AW1005" s="209"/>
      <c r="AX1005" s="209"/>
      <c r="AY1005" s="209"/>
      <c r="AZ1005" s="209"/>
      <c r="BA1005" s="209"/>
      <c r="BB1005" s="209"/>
      <c r="BC1005" s="209"/>
      <c r="BD1005" s="209"/>
      <c r="BE1005" s="209"/>
      <c r="BF1005" s="209"/>
      <c r="BG1005" s="209"/>
    </row>
    <row r="1006" spans="1:59" ht="21" hidden="1" customHeight="1" x14ac:dyDescent="0.3">
      <c r="A1006" s="11"/>
      <c r="B1006" s="353" t="s">
        <v>950</v>
      </c>
      <c r="C1006" s="354"/>
      <c r="D1006" s="355"/>
      <c r="E1006" s="212">
        <v>68</v>
      </c>
      <c r="G1006" s="205">
        <f>+IF(E999="No",E998,0)</f>
        <v>0</v>
      </c>
      <c r="H1006" s="35"/>
      <c r="I1006" s="205"/>
      <c r="K1006" s="205"/>
      <c r="L1006" s="209"/>
      <c r="M1006" s="205"/>
      <c r="N1006" s="209"/>
      <c r="O1006" s="205"/>
      <c r="P1006" s="209"/>
      <c r="Q1006" s="205"/>
      <c r="R1006" s="209"/>
      <c r="T1006" s="209"/>
      <c r="U1006" s="209"/>
      <c r="V1006" s="209"/>
      <c r="W1006" s="209"/>
      <c r="X1006" s="209"/>
      <c r="Y1006" s="209"/>
      <c r="Z1006" s="209"/>
      <c r="AA1006" s="209"/>
      <c r="AB1006" s="209"/>
      <c r="AC1006" s="209"/>
      <c r="AD1006" s="209"/>
      <c r="AE1006" s="209"/>
      <c r="AF1006" s="209"/>
      <c r="AG1006" s="209"/>
      <c r="AH1006" s="209"/>
      <c r="AI1006" s="209"/>
      <c r="AJ1006" s="209"/>
      <c r="AK1006" s="209"/>
      <c r="AL1006" s="209"/>
      <c r="AM1006" s="209"/>
      <c r="AN1006" s="209"/>
      <c r="AO1006" s="209"/>
      <c r="AP1006" s="209"/>
      <c r="AQ1006" s="209"/>
      <c r="AR1006" s="209"/>
      <c r="AS1006" s="209"/>
      <c r="AT1006" s="209"/>
      <c r="AU1006" s="209"/>
      <c r="AV1006" s="209"/>
      <c r="AW1006" s="209"/>
      <c r="AX1006" s="209"/>
      <c r="AY1006" s="209"/>
      <c r="AZ1006" s="209"/>
      <c r="BA1006" s="209"/>
      <c r="BB1006" s="209"/>
      <c r="BC1006" s="209"/>
      <c r="BD1006" s="209"/>
      <c r="BE1006" s="209"/>
      <c r="BF1006" s="209"/>
      <c r="BG1006" s="209"/>
    </row>
    <row r="1007" spans="1:59" ht="21" hidden="1" customHeight="1" x14ac:dyDescent="0.3">
      <c r="A1007" s="11"/>
      <c r="B1007" s="353" t="s">
        <v>951</v>
      </c>
      <c r="C1007" s="354"/>
      <c r="D1007" s="355"/>
      <c r="E1007" s="212">
        <v>69</v>
      </c>
      <c r="G1007" s="211"/>
      <c r="H1007" s="35"/>
      <c r="I1007" s="205">
        <f ca="1">+G1013</f>
        <v>0</v>
      </c>
      <c r="K1007" s="205">
        <f ca="1">+I1013</f>
        <v>0</v>
      </c>
      <c r="L1007" s="209"/>
      <c r="M1007" s="205">
        <f ca="1">+K1013</f>
        <v>0</v>
      </c>
      <c r="N1007" s="209"/>
      <c r="O1007" s="205">
        <f ca="1">+M1013</f>
        <v>0</v>
      </c>
      <c r="P1007" s="209"/>
      <c r="Q1007" s="205">
        <f ca="1">+O1013</f>
        <v>0</v>
      </c>
      <c r="R1007" s="209"/>
      <c r="T1007" s="209"/>
      <c r="U1007" s="209"/>
      <c r="V1007" s="209"/>
      <c r="W1007" s="209"/>
      <c r="X1007" s="209"/>
      <c r="Y1007" s="209"/>
      <c r="Z1007" s="209"/>
      <c r="AA1007" s="209"/>
      <c r="AB1007" s="209"/>
      <c r="AC1007" s="209"/>
      <c r="AD1007" s="209"/>
      <c r="AE1007" s="209"/>
      <c r="AF1007" s="209"/>
      <c r="AG1007" s="209"/>
      <c r="AH1007" s="209"/>
      <c r="AI1007" s="209"/>
      <c r="AJ1007" s="209"/>
      <c r="AK1007" s="209"/>
      <c r="AL1007" s="209"/>
      <c r="AM1007" s="209"/>
      <c r="AN1007" s="209"/>
      <c r="AO1007" s="209"/>
      <c r="AP1007" s="209"/>
      <c r="AQ1007" s="209"/>
      <c r="AR1007" s="209"/>
      <c r="AS1007" s="209"/>
      <c r="AT1007" s="209"/>
      <c r="AU1007" s="209"/>
      <c r="AV1007" s="209"/>
      <c r="AW1007" s="209"/>
      <c r="AX1007" s="209"/>
      <c r="AY1007" s="209"/>
      <c r="AZ1007" s="209"/>
      <c r="BA1007" s="209"/>
      <c r="BB1007" s="209"/>
      <c r="BC1007" s="209"/>
      <c r="BD1007" s="209"/>
      <c r="BE1007" s="209"/>
      <c r="BF1007" s="209"/>
      <c r="BG1007" s="209"/>
    </row>
    <row r="1008" spans="1:59" ht="21" hidden="1" customHeight="1" x14ac:dyDescent="0.3">
      <c r="A1008" s="11"/>
      <c r="B1008" s="353" t="s">
        <v>952</v>
      </c>
      <c r="C1008" s="354"/>
      <c r="D1008" s="355"/>
      <c r="E1008" s="212">
        <v>70</v>
      </c>
      <c r="G1008" s="205">
        <f>+'F300-2025'!O36</f>
        <v>0</v>
      </c>
      <c r="H1008" s="35"/>
      <c r="I1008" s="211"/>
      <c r="K1008" s="211"/>
      <c r="L1008" s="209"/>
      <c r="M1008" s="211"/>
      <c r="N1008" s="209"/>
      <c r="O1008" s="211"/>
      <c r="P1008" s="209"/>
      <c r="Q1008" s="211"/>
      <c r="R1008" s="209"/>
      <c r="T1008" s="209"/>
      <c r="U1008" s="209"/>
      <c r="V1008" s="209"/>
      <c r="W1008" s="209"/>
      <c r="X1008" s="209"/>
      <c r="Y1008" s="209"/>
      <c r="Z1008" s="209"/>
      <c r="AA1008" s="209"/>
      <c r="AB1008" s="209"/>
      <c r="AC1008" s="209"/>
      <c r="AD1008" s="209"/>
      <c r="AE1008" s="209"/>
      <c r="AF1008" s="209"/>
      <c r="AG1008" s="209"/>
      <c r="AH1008" s="209"/>
      <c r="AI1008" s="209"/>
      <c r="AJ1008" s="209"/>
      <c r="AK1008" s="209"/>
      <c r="AL1008" s="209"/>
      <c r="AM1008" s="209"/>
      <c r="AN1008" s="209"/>
      <c r="AO1008" s="209"/>
      <c r="AP1008" s="209"/>
      <c r="AQ1008" s="209"/>
      <c r="AR1008" s="209"/>
      <c r="AS1008" s="209"/>
      <c r="AT1008" s="209"/>
      <c r="AU1008" s="209"/>
      <c r="AV1008" s="209"/>
      <c r="AW1008" s="209"/>
      <c r="AX1008" s="209"/>
      <c r="AY1008" s="209"/>
      <c r="AZ1008" s="209"/>
      <c r="BA1008" s="209"/>
      <c r="BB1008" s="209"/>
      <c r="BC1008" s="209"/>
      <c r="BD1008" s="209"/>
      <c r="BE1008" s="209"/>
      <c r="BF1008" s="209"/>
      <c r="BG1008" s="209"/>
    </row>
    <row r="1009" spans="1:59" s="186" customFormat="1" ht="21" hidden="1" customHeight="1" x14ac:dyDescent="0.3">
      <c r="A1009" s="207"/>
      <c r="B1009" s="358" t="s">
        <v>965</v>
      </c>
      <c r="C1009" s="359"/>
      <c r="D1009" s="360"/>
      <c r="E1009" s="213">
        <v>71</v>
      </c>
      <c r="G1009" s="206">
        <f ca="1">IF(+G1004-G1005-G1006-G1007-G1008&gt;0,G1004-G1005-G1006-G1007-G1008,0)</f>
        <v>0</v>
      </c>
      <c r="H1009" s="208"/>
      <c r="I1009" s="206">
        <f ca="1">IF(+I1004-I1005-I1006-I1007-I1008&gt;0,I1004-I1005-I1006-I1007-I1008,0)</f>
        <v>0</v>
      </c>
      <c r="K1009" s="206">
        <f ca="1">IF(+K1004-K1005-K1006-K1007-K1008&gt;0,K1004-K1005-K1006-K1007-K1008,0)</f>
        <v>0</v>
      </c>
      <c r="L1009" s="204"/>
      <c r="M1009" s="206">
        <f ca="1">IF(+M1004-M1005-M1006-M1007-M1008&gt;0,M1004-M1005-M1006-M1007-M1008,0)</f>
        <v>0</v>
      </c>
      <c r="N1009" s="204"/>
      <c r="O1009" s="206">
        <f ca="1">IF(+O1004-O1005-O1006-O1007-O1008&gt;0,O1004-O1005-O1006-O1007-O1008,0)</f>
        <v>0</v>
      </c>
      <c r="P1009" s="204"/>
      <c r="Q1009" s="206">
        <f ca="1">IF(+Q1004-Q1005-Q1006-Q1007-Q1008&gt;0,Q1004-Q1005-Q1006-Q1007-Q1008,0)</f>
        <v>0</v>
      </c>
      <c r="R1009" s="204"/>
      <c r="T1009" s="204"/>
      <c r="U1009" s="204"/>
      <c r="V1009" s="204"/>
      <c r="W1009" s="204"/>
      <c r="X1009" s="204"/>
      <c r="Y1009" s="204"/>
      <c r="Z1009" s="204"/>
      <c r="AA1009" s="204"/>
      <c r="AB1009" s="204"/>
      <c r="AC1009" s="204"/>
      <c r="AD1009" s="204"/>
      <c r="AE1009" s="204"/>
      <c r="AF1009" s="204"/>
      <c r="AG1009" s="204"/>
      <c r="AH1009" s="204"/>
      <c r="AI1009" s="204"/>
      <c r="AJ1009" s="204"/>
      <c r="AK1009" s="204"/>
      <c r="AL1009" s="204"/>
      <c r="AM1009" s="204"/>
      <c r="AN1009" s="204"/>
      <c r="AO1009" s="204"/>
      <c r="AP1009" s="204"/>
      <c r="AQ1009" s="204"/>
      <c r="AR1009" s="204"/>
      <c r="AS1009" s="204"/>
      <c r="AT1009" s="204"/>
      <c r="AU1009" s="204"/>
      <c r="AV1009" s="204"/>
      <c r="AW1009" s="204"/>
      <c r="AX1009" s="204"/>
      <c r="AY1009" s="204"/>
      <c r="AZ1009" s="204"/>
      <c r="BA1009" s="204"/>
      <c r="BB1009" s="204"/>
      <c r="BC1009" s="204"/>
      <c r="BD1009" s="204"/>
      <c r="BE1009" s="204"/>
      <c r="BF1009" s="204"/>
      <c r="BG1009" s="204"/>
    </row>
    <row r="1010" spans="1:59" ht="21" hidden="1" customHeight="1" x14ac:dyDescent="0.3">
      <c r="A1010" s="11"/>
      <c r="B1010" s="353" t="s">
        <v>966</v>
      </c>
      <c r="C1010" s="354"/>
      <c r="D1010" s="355"/>
      <c r="E1010" s="212">
        <v>72</v>
      </c>
      <c r="G1010" s="211"/>
      <c r="H1010" s="210"/>
      <c r="I1010" s="211"/>
      <c r="J1010" s="11"/>
      <c r="K1010" s="211"/>
      <c r="L1010" s="209"/>
      <c r="M1010" s="211"/>
      <c r="N1010" s="209"/>
      <c r="O1010" s="211"/>
      <c r="P1010" s="209"/>
      <c r="Q1010" s="211"/>
      <c r="R1010" s="209"/>
      <c r="T1010" s="209"/>
      <c r="U1010" s="209"/>
      <c r="V1010" s="209"/>
      <c r="W1010" s="209"/>
      <c r="X1010" s="209"/>
      <c r="Y1010" s="209"/>
      <c r="Z1010" s="209"/>
      <c r="AA1010" s="209"/>
      <c r="AB1010" s="209"/>
      <c r="AC1010" s="209"/>
      <c r="AD1010" s="209"/>
      <c r="AE1010" s="209"/>
      <c r="AF1010" s="209"/>
      <c r="AG1010" s="209"/>
      <c r="AH1010" s="209"/>
      <c r="AI1010" s="209"/>
      <c r="AJ1010" s="209"/>
      <c r="AK1010" s="209"/>
      <c r="AL1010" s="209"/>
      <c r="AM1010" s="209"/>
      <c r="AN1010" s="209"/>
      <c r="AO1010" s="209"/>
      <c r="AP1010" s="209"/>
      <c r="AQ1010" s="209"/>
      <c r="AR1010" s="209"/>
      <c r="AS1010" s="209"/>
      <c r="AT1010" s="209"/>
      <c r="AU1010" s="209"/>
      <c r="AV1010" s="209"/>
      <c r="AW1010" s="209"/>
      <c r="AX1010" s="209"/>
      <c r="AY1010" s="209"/>
      <c r="AZ1010" s="209"/>
      <c r="BA1010" s="209"/>
      <c r="BB1010" s="209"/>
      <c r="BC1010" s="209"/>
      <c r="BD1010" s="209"/>
      <c r="BE1010" s="209"/>
      <c r="BF1010" s="209"/>
      <c r="BG1010" s="209"/>
    </row>
    <row r="1011" spans="1:59" ht="21" hidden="1" customHeight="1" x14ac:dyDescent="0.3">
      <c r="A1011" s="11"/>
      <c r="B1011" s="353" t="s">
        <v>967</v>
      </c>
      <c r="C1011" s="354"/>
      <c r="D1011" s="355"/>
      <c r="E1011" s="212">
        <v>73</v>
      </c>
      <c r="G1011" s="211"/>
      <c r="H1011" s="35"/>
      <c r="I1011" s="211"/>
      <c r="K1011" s="211"/>
      <c r="L1011" s="209"/>
      <c r="M1011" s="211"/>
      <c r="N1011" s="209"/>
      <c r="O1011" s="211"/>
      <c r="P1011" s="209"/>
      <c r="Q1011" s="211"/>
      <c r="R1011" s="209"/>
      <c r="T1011" s="209"/>
      <c r="U1011" s="209"/>
      <c r="V1011" s="209"/>
      <c r="W1011" s="209"/>
      <c r="X1011" s="209"/>
      <c r="Y1011" s="209"/>
      <c r="Z1011" s="209"/>
      <c r="AA1011" s="209"/>
      <c r="AB1011" s="209"/>
      <c r="AC1011" s="209"/>
      <c r="AD1011" s="209"/>
      <c r="AE1011" s="209"/>
      <c r="AF1011" s="209"/>
      <c r="AG1011" s="209"/>
      <c r="AH1011" s="209"/>
      <c r="AI1011" s="209"/>
      <c r="AJ1011" s="209"/>
      <c r="AK1011" s="209"/>
      <c r="AL1011" s="209"/>
      <c r="AM1011" s="209"/>
      <c r="AN1011" s="209"/>
      <c r="AO1011" s="209"/>
      <c r="AP1011" s="209"/>
      <c r="AQ1011" s="209"/>
      <c r="AR1011" s="209"/>
      <c r="AS1011" s="209"/>
      <c r="AT1011" s="209"/>
      <c r="AU1011" s="209"/>
      <c r="AV1011" s="209"/>
      <c r="AW1011" s="209"/>
      <c r="AX1011" s="209"/>
      <c r="AY1011" s="209"/>
      <c r="AZ1011" s="209"/>
      <c r="BA1011" s="209"/>
      <c r="BB1011" s="209"/>
      <c r="BC1011" s="209"/>
      <c r="BD1011" s="209"/>
      <c r="BE1011" s="209"/>
      <c r="BF1011" s="209"/>
      <c r="BG1011" s="209"/>
    </row>
    <row r="1012" spans="1:59" ht="21" hidden="1" customHeight="1" x14ac:dyDescent="0.3">
      <c r="A1012" s="11"/>
      <c r="B1012" s="353" t="s">
        <v>968</v>
      </c>
      <c r="C1012" s="354"/>
      <c r="D1012" s="355"/>
      <c r="E1012" s="213">
        <v>74</v>
      </c>
      <c r="G1012" s="206">
        <f ca="1">IF(+G1004+G1010-G1005-G1006-G1007-G1008-G1011&gt;0,G1004+G1010-G1005-G1006-G1007-G1008-G1011,0)</f>
        <v>0</v>
      </c>
      <c r="H1012" s="35"/>
      <c r="I1012" s="206">
        <f ca="1">IF(+I1004+I1010-I1005-I1006-I1007-I1008-I1011&gt;0,I1004+I1010-I1005-I1006-I1007-I1008-I1011,0)</f>
        <v>0</v>
      </c>
      <c r="K1012" s="206">
        <f ca="1">IF(+K1004+K1010-K1005-K1006-K1007-K1008-K1011&gt;0,K1004+K1010-K1005-K1006-K1007-K1008-K1011,0)</f>
        <v>0</v>
      </c>
      <c r="L1012" s="204"/>
      <c r="M1012" s="206">
        <f ca="1">IF(+M1004+M1010-M1005-M1006-M1007-M1008-M1011&gt;0,M1004+M1010-M1005-M1006-M1007-M1008-M1011,0)</f>
        <v>0</v>
      </c>
      <c r="N1012" s="204"/>
      <c r="O1012" s="206">
        <f ca="1">IF(+O1004+O1010-O1005-O1006-O1007-O1008-O1011&gt;0,O1004+O1010-O1005-O1006-O1007-O1008-O1011,0)</f>
        <v>0</v>
      </c>
      <c r="P1012" s="204"/>
      <c r="Q1012" s="206">
        <f ca="1">IF(+Q1004+Q1010-Q1005-Q1006-Q1007-Q1008-Q1011&gt;0,Q1004+Q1010-Q1005-Q1006-Q1007-Q1008-Q1011,0)</f>
        <v>0</v>
      </c>
      <c r="R1012" s="204"/>
      <c r="T1012" s="204"/>
      <c r="U1012" s="204"/>
      <c r="V1012" s="204"/>
      <c r="W1012" s="204"/>
      <c r="X1012" s="204"/>
      <c r="Y1012" s="204"/>
      <c r="Z1012" s="204"/>
      <c r="AA1012" s="204"/>
      <c r="AB1012" s="204"/>
      <c r="AC1012" s="204"/>
      <c r="AD1012" s="204"/>
      <c r="AE1012" s="204"/>
      <c r="AF1012" s="204"/>
      <c r="AG1012" s="204"/>
      <c r="AH1012" s="204"/>
      <c r="AI1012" s="204"/>
      <c r="AJ1012" s="204"/>
      <c r="AK1012" s="204"/>
      <c r="AL1012" s="204"/>
      <c r="AM1012" s="204"/>
      <c r="AN1012" s="204"/>
      <c r="AO1012" s="204"/>
      <c r="AP1012" s="204"/>
      <c r="AQ1012" s="204"/>
      <c r="AR1012" s="204"/>
      <c r="AS1012" s="204"/>
      <c r="AT1012" s="204"/>
      <c r="AU1012" s="204"/>
      <c r="AV1012" s="204"/>
      <c r="AW1012" s="204"/>
      <c r="AX1012" s="204"/>
      <c r="AY1012" s="204"/>
      <c r="AZ1012" s="204"/>
      <c r="BA1012" s="204"/>
      <c r="BB1012" s="204"/>
      <c r="BC1012" s="204"/>
      <c r="BD1012" s="204"/>
      <c r="BE1012" s="204"/>
      <c r="BF1012" s="204"/>
      <c r="BG1012" s="204"/>
    </row>
    <row r="1013" spans="1:59" ht="21" hidden="1" customHeight="1" x14ac:dyDescent="0.3">
      <c r="A1013" s="11"/>
      <c r="B1013" s="353" t="s">
        <v>969</v>
      </c>
      <c r="C1013" s="354"/>
      <c r="D1013" s="355"/>
      <c r="E1013" s="213">
        <v>75</v>
      </c>
      <c r="G1013" s="206">
        <f ca="1">IF(+G1005+G1006+G1007+G1008+G1011-G1004-G1010&gt;0,G1005+G1006+G1007+G1008+G1011-G1004-G1010,0)</f>
        <v>0</v>
      </c>
      <c r="H1013" s="35"/>
      <c r="I1013" s="206">
        <f ca="1">IF(+I1005+I1006+I1007+I1008+I1011-I1004-I1010&gt;0,I1005+I1006+I1007+I1008+I1011-I1004-I1010,0)</f>
        <v>0</v>
      </c>
      <c r="K1013" s="206">
        <f ca="1">IF(+K1005+K1006+K1007+K1008+K1011-K1004-K1010&gt;0,K1005+K1006+K1007+K1008+K1011-K1004-K1010,0)</f>
        <v>0</v>
      </c>
      <c r="L1013" s="204"/>
      <c r="M1013" s="206">
        <f ca="1">IF(+M1005+M1006+M1007+M1008+M1011-M1004-M1010&gt;0,M1005+M1006+M1007+M1008+M1011-M1004-M1010,0)</f>
        <v>0</v>
      </c>
      <c r="N1013" s="204"/>
      <c r="O1013" s="206">
        <f ca="1">IF(+O1005+O1006+O1007+O1008+O1011-O1004-O1010&gt;0,O1005+O1006+O1007+O1008+O1011-O1004-O1010,0)</f>
        <v>0</v>
      </c>
      <c r="P1013" s="204"/>
      <c r="Q1013" s="206">
        <f ca="1">IF(+Q1005+Q1006+Q1007+Q1008+Q1011-Q1004-Q1010&gt;0,Q1005+Q1006+Q1007+Q1008+Q1011-Q1004-Q1010,0)</f>
        <v>0</v>
      </c>
      <c r="R1013" s="204"/>
      <c r="T1013" s="204"/>
      <c r="U1013" s="204"/>
      <c r="V1013" s="204"/>
      <c r="W1013" s="204"/>
      <c r="X1013" s="204"/>
      <c r="Y1013" s="204"/>
      <c r="Z1013" s="204"/>
      <c r="AA1013" s="204"/>
      <c r="AB1013" s="204"/>
      <c r="AC1013" s="204"/>
      <c r="AD1013" s="204"/>
      <c r="AE1013" s="204"/>
      <c r="AF1013" s="204"/>
      <c r="AG1013" s="204"/>
      <c r="AH1013" s="204"/>
      <c r="AI1013" s="204"/>
      <c r="AJ1013" s="204"/>
      <c r="AK1013" s="204"/>
      <c r="AL1013" s="204"/>
      <c r="AM1013" s="204"/>
      <c r="AN1013" s="204"/>
      <c r="AO1013" s="204"/>
      <c r="AP1013" s="204"/>
      <c r="AQ1013" s="204"/>
      <c r="AR1013" s="204"/>
      <c r="AS1013" s="204"/>
      <c r="AT1013" s="204"/>
      <c r="AU1013" s="204"/>
      <c r="AV1013" s="204"/>
      <c r="AW1013" s="204"/>
      <c r="AX1013" s="204"/>
      <c r="AY1013" s="204"/>
      <c r="AZ1013" s="204"/>
      <c r="BA1013" s="204"/>
      <c r="BB1013" s="204"/>
      <c r="BC1013" s="204"/>
      <c r="BD1013" s="204"/>
      <c r="BE1013" s="204"/>
      <c r="BF1013" s="204"/>
      <c r="BG1013" s="204"/>
    </row>
    <row r="1014" spans="1:59" ht="21" hidden="1" customHeight="1" x14ac:dyDescent="0.3">
      <c r="A1014" s="11"/>
      <c r="H1014" s="35"/>
      <c r="I1014" s="183"/>
      <c r="K1014" s="183"/>
      <c r="L1014" s="183"/>
      <c r="M1014" s="183"/>
      <c r="N1014" s="183"/>
      <c r="O1014" s="183"/>
      <c r="P1014" s="183"/>
      <c r="Q1014" s="183"/>
      <c r="R1014" s="183"/>
      <c r="S1014" s="183"/>
      <c r="T1014" s="183"/>
      <c r="U1014" s="183"/>
      <c r="V1014" s="183"/>
      <c r="W1014" s="183"/>
      <c r="X1014" s="183"/>
      <c r="Y1014" s="183"/>
      <c r="Z1014" s="183"/>
      <c r="AA1014" s="183"/>
      <c r="AB1014" s="183"/>
      <c r="AC1014" s="183"/>
      <c r="AD1014" s="183"/>
      <c r="AE1014" s="183"/>
      <c r="AF1014" s="183"/>
      <c r="AG1014" s="183"/>
      <c r="AH1014" s="183"/>
      <c r="AI1014" s="183"/>
      <c r="AJ1014" s="183"/>
      <c r="AK1014" s="183"/>
      <c r="AL1014" s="183"/>
      <c r="AM1014" s="183"/>
      <c r="AN1014" s="183"/>
      <c r="AO1014" s="183"/>
      <c r="AP1014" s="183"/>
      <c r="AQ1014" s="183"/>
      <c r="AR1014" s="183"/>
      <c r="AS1014" s="183"/>
      <c r="AT1014" s="183"/>
      <c r="AU1014" s="183"/>
      <c r="AV1014" s="183"/>
      <c r="AW1014" s="183"/>
      <c r="AX1014" s="183"/>
      <c r="AY1014" s="183"/>
      <c r="AZ1014" s="183"/>
      <c r="BA1014" s="183"/>
      <c r="BB1014" s="183"/>
      <c r="BC1014" s="183"/>
      <c r="BD1014" s="183"/>
      <c r="BE1014" s="183"/>
      <c r="BF1014" s="183"/>
      <c r="BG1014" s="183"/>
    </row>
    <row r="1015" spans="1:59" ht="21" customHeight="1" x14ac:dyDescent="0.3">
      <c r="A1015" s="11"/>
      <c r="H1015" s="35"/>
      <c r="I1015" s="183"/>
      <c r="K1015" s="183"/>
      <c r="L1015" s="183"/>
      <c r="M1015" s="183"/>
      <c r="N1015" s="183"/>
      <c r="O1015" s="183"/>
      <c r="P1015" s="183"/>
      <c r="Q1015" s="183"/>
      <c r="R1015" s="183"/>
      <c r="S1015" s="183"/>
      <c r="T1015" s="183"/>
      <c r="U1015" s="183"/>
      <c r="V1015" s="183"/>
      <c r="W1015" s="183"/>
      <c r="X1015" s="183"/>
      <c r="Y1015" s="183"/>
      <c r="Z1015" s="183"/>
      <c r="AA1015" s="183"/>
      <c r="AB1015" s="183"/>
      <c r="AC1015" s="183"/>
      <c r="AD1015" s="183"/>
      <c r="AE1015" s="183"/>
      <c r="AF1015" s="183"/>
      <c r="AG1015" s="183"/>
      <c r="AH1015" s="183"/>
      <c r="AI1015" s="183"/>
      <c r="AJ1015" s="183"/>
      <c r="AK1015" s="183"/>
      <c r="AL1015" s="183"/>
      <c r="AM1015" s="183"/>
      <c r="AN1015" s="183"/>
      <c r="AO1015" s="183"/>
      <c r="AP1015" s="183"/>
      <c r="AQ1015" s="183"/>
      <c r="AR1015" s="183"/>
      <c r="AS1015" s="183"/>
      <c r="AT1015" s="183"/>
      <c r="AU1015" s="183"/>
      <c r="AV1015" s="183"/>
      <c r="AW1015" s="183"/>
      <c r="AX1015" s="183"/>
      <c r="AY1015" s="183"/>
      <c r="AZ1015" s="183"/>
      <c r="BA1015" s="183"/>
      <c r="BB1015" s="183"/>
      <c r="BC1015" s="183"/>
      <c r="BD1015" s="183"/>
      <c r="BE1015" s="183"/>
      <c r="BF1015" s="183"/>
      <c r="BG1015" s="183"/>
    </row>
  </sheetData>
  <sheetProtection formatRows="0" sort="0"/>
  <mergeCells count="1560">
    <mergeCell ref="B1009:D1009"/>
    <mergeCell ref="B1010:D1010"/>
    <mergeCell ref="B998:D998"/>
    <mergeCell ref="B999:D999"/>
    <mergeCell ref="C876:D876"/>
    <mergeCell ref="C877:D877"/>
    <mergeCell ref="C878:D878"/>
    <mergeCell ref="C857:D857"/>
    <mergeCell ref="C858:D858"/>
    <mergeCell ref="C859:D859"/>
    <mergeCell ref="C861:D861"/>
    <mergeCell ref="C862:D862"/>
    <mergeCell ref="C863:D863"/>
    <mergeCell ref="C864:D864"/>
    <mergeCell ref="C865:D865"/>
    <mergeCell ref="C866:D866"/>
    <mergeCell ref="C868:D868"/>
    <mergeCell ref="C869:D869"/>
    <mergeCell ref="C870:D870"/>
    <mergeCell ref="C871:D871"/>
    <mergeCell ref="C872:D872"/>
    <mergeCell ref="C873:D873"/>
    <mergeCell ref="C874:D874"/>
    <mergeCell ref="C875:D875"/>
    <mergeCell ref="B942:D942"/>
    <mergeCell ref="B943:D943"/>
    <mergeCell ref="B882:J882"/>
    <mergeCell ref="B917:J917"/>
    <mergeCell ref="B884:D884"/>
    <mergeCell ref="B885:D885"/>
    <mergeCell ref="B886:D886"/>
    <mergeCell ref="B887:D887"/>
    <mergeCell ref="B889:D889"/>
    <mergeCell ref="C837:D837"/>
    <mergeCell ref="C838:D838"/>
    <mergeCell ref="B840:J840"/>
    <mergeCell ref="B842:C842"/>
    <mergeCell ref="C844:D844"/>
    <mergeCell ref="C845:D845"/>
    <mergeCell ref="C846:D846"/>
    <mergeCell ref="C847:D847"/>
    <mergeCell ref="C848:D848"/>
    <mergeCell ref="C849:D849"/>
    <mergeCell ref="C850:D850"/>
    <mergeCell ref="C851:D851"/>
    <mergeCell ref="C852:D852"/>
    <mergeCell ref="C853:D853"/>
    <mergeCell ref="C854:D854"/>
    <mergeCell ref="C855:D855"/>
    <mergeCell ref="C856:D856"/>
    <mergeCell ref="I884:I885"/>
    <mergeCell ref="C819:D819"/>
    <mergeCell ref="C821:D821"/>
    <mergeCell ref="C822:D822"/>
    <mergeCell ref="C823:D823"/>
    <mergeCell ref="C824:D824"/>
    <mergeCell ref="C825:D825"/>
    <mergeCell ref="C826:D826"/>
    <mergeCell ref="C828:D828"/>
    <mergeCell ref="C829:D829"/>
    <mergeCell ref="C830:D830"/>
    <mergeCell ref="C831:D831"/>
    <mergeCell ref="C832:D832"/>
    <mergeCell ref="C833:D833"/>
    <mergeCell ref="C834:D834"/>
    <mergeCell ref="C835:D835"/>
    <mergeCell ref="C836:D836"/>
    <mergeCell ref="B888:D888"/>
    <mergeCell ref="B800:J800"/>
    <mergeCell ref="B802:C802"/>
    <mergeCell ref="C804:D804"/>
    <mergeCell ref="C805:D805"/>
    <mergeCell ref="C806:D806"/>
    <mergeCell ref="C807:D807"/>
    <mergeCell ref="C808:D808"/>
    <mergeCell ref="C809:D809"/>
    <mergeCell ref="C810:D810"/>
    <mergeCell ref="C811:D811"/>
    <mergeCell ref="C812:D812"/>
    <mergeCell ref="C813:D813"/>
    <mergeCell ref="C814:D814"/>
    <mergeCell ref="C815:D815"/>
    <mergeCell ref="C816:D816"/>
    <mergeCell ref="C817:D817"/>
    <mergeCell ref="C818:D818"/>
    <mergeCell ref="C781:D781"/>
    <mergeCell ref="C782:D782"/>
    <mergeCell ref="C783:D783"/>
    <mergeCell ref="C784:D784"/>
    <mergeCell ref="C785:D785"/>
    <mergeCell ref="C786:D786"/>
    <mergeCell ref="C788:D788"/>
    <mergeCell ref="C789:D789"/>
    <mergeCell ref="C790:D790"/>
    <mergeCell ref="C791:D791"/>
    <mergeCell ref="C792:D792"/>
    <mergeCell ref="C793:D793"/>
    <mergeCell ref="C794:D794"/>
    <mergeCell ref="C795:D795"/>
    <mergeCell ref="C796:D796"/>
    <mergeCell ref="C797:D797"/>
    <mergeCell ref="C798:D798"/>
    <mergeCell ref="B762:C762"/>
    <mergeCell ref="C764:D764"/>
    <mergeCell ref="C765:D765"/>
    <mergeCell ref="C766:D766"/>
    <mergeCell ref="C767:D767"/>
    <mergeCell ref="C768:D768"/>
    <mergeCell ref="C769:D769"/>
    <mergeCell ref="C770:D770"/>
    <mergeCell ref="C771:D771"/>
    <mergeCell ref="C772:D772"/>
    <mergeCell ref="C773:D773"/>
    <mergeCell ref="C774:D774"/>
    <mergeCell ref="C775:D775"/>
    <mergeCell ref="C776:D776"/>
    <mergeCell ref="C777:D777"/>
    <mergeCell ref="C778:D778"/>
    <mergeCell ref="C779:D779"/>
    <mergeCell ref="B1007:D1007"/>
    <mergeCell ref="B1008:D1008"/>
    <mergeCell ref="B1011:D1011"/>
    <mergeCell ref="B1012:D1012"/>
    <mergeCell ref="B1013:D1013"/>
    <mergeCell ref="B720:J720"/>
    <mergeCell ref="B1001:J1001"/>
    <mergeCell ref="C591:D591"/>
    <mergeCell ref="C592:D592"/>
    <mergeCell ref="C593:D593"/>
    <mergeCell ref="C594:D594"/>
    <mergeCell ref="C595:D595"/>
    <mergeCell ref="C596:D596"/>
    <mergeCell ref="B990:D990"/>
    <mergeCell ref="B991:D991"/>
    <mergeCell ref="B992:D992"/>
    <mergeCell ref="B993:D993"/>
    <mergeCell ref="B995:E995"/>
    <mergeCell ref="B996:E996"/>
    <mergeCell ref="B989:D989"/>
    <mergeCell ref="B932:D932"/>
    <mergeCell ref="B934:D934"/>
    <mergeCell ref="B935:D935"/>
    <mergeCell ref="B936:D936"/>
    <mergeCell ref="B937:D937"/>
    <mergeCell ref="B940:D940"/>
    <mergeCell ref="B941:D941"/>
    <mergeCell ref="B944:D944"/>
    <mergeCell ref="B722:C722"/>
    <mergeCell ref="C724:D724"/>
    <mergeCell ref="C725:D725"/>
    <mergeCell ref="C726:D726"/>
    <mergeCell ref="C579:D579"/>
    <mergeCell ref="C580:D580"/>
    <mergeCell ref="C581:D581"/>
    <mergeCell ref="C582:D582"/>
    <mergeCell ref="C583:D583"/>
    <mergeCell ref="C584:D584"/>
    <mergeCell ref="C586:D586"/>
    <mergeCell ref="C587:D587"/>
    <mergeCell ref="C588:D588"/>
    <mergeCell ref="C589:D589"/>
    <mergeCell ref="C590:D590"/>
    <mergeCell ref="B1003:D1003"/>
    <mergeCell ref="B1004:D1004"/>
    <mergeCell ref="B1005:D1005"/>
    <mergeCell ref="B1006:D1006"/>
    <mergeCell ref="C727:D727"/>
    <mergeCell ref="C728:D728"/>
    <mergeCell ref="C729:D729"/>
    <mergeCell ref="C730:D730"/>
    <mergeCell ref="C731:D731"/>
    <mergeCell ref="C732:D732"/>
    <mergeCell ref="C733:D733"/>
    <mergeCell ref="C734:D734"/>
    <mergeCell ref="C735:D735"/>
    <mergeCell ref="C736:D736"/>
    <mergeCell ref="C737:D737"/>
    <mergeCell ref="C738:D738"/>
    <mergeCell ref="C739:D739"/>
    <mergeCell ref="C741:D741"/>
    <mergeCell ref="C742:D742"/>
    <mergeCell ref="C755:D755"/>
    <mergeCell ref="C756:D756"/>
    <mergeCell ref="C573:D573"/>
    <mergeCell ref="C574:D574"/>
    <mergeCell ref="C575:D575"/>
    <mergeCell ref="I421:I422"/>
    <mergeCell ref="J421:J422"/>
    <mergeCell ref="C577:D577"/>
    <mergeCell ref="C567:D567"/>
    <mergeCell ref="C568:D568"/>
    <mergeCell ref="C536:D536"/>
    <mergeCell ref="C537:D537"/>
    <mergeCell ref="C539:D539"/>
    <mergeCell ref="C540:D540"/>
    <mergeCell ref="C541:D541"/>
    <mergeCell ref="C542:D542"/>
    <mergeCell ref="B560:C560"/>
    <mergeCell ref="C562:D562"/>
    <mergeCell ref="C563:D563"/>
    <mergeCell ref="C564:D564"/>
    <mergeCell ref="C565:D565"/>
    <mergeCell ref="C548:D548"/>
    <mergeCell ref="C549:D549"/>
    <mergeCell ref="C569:D569"/>
    <mergeCell ref="C570:D570"/>
    <mergeCell ref="V377:V378"/>
    <mergeCell ref="C483:D483"/>
    <mergeCell ref="C484:D484"/>
    <mergeCell ref="C485:D485"/>
    <mergeCell ref="C486:D486"/>
    <mergeCell ref="C487:D487"/>
    <mergeCell ref="C488:D488"/>
    <mergeCell ref="B418:J418"/>
    <mergeCell ref="B404:J404"/>
    <mergeCell ref="M393:M394"/>
    <mergeCell ref="R407:R408"/>
    <mergeCell ref="C376:C378"/>
    <mergeCell ref="C496:D496"/>
    <mergeCell ref="C535:D535"/>
    <mergeCell ref="C495:D495"/>
    <mergeCell ref="M434:O434"/>
    <mergeCell ref="Q434:S434"/>
    <mergeCell ref="U434:W434"/>
    <mergeCell ref="M449:M450"/>
    <mergeCell ref="N449:N450"/>
    <mergeCell ref="C491:D491"/>
    <mergeCell ref="C492:D492"/>
    <mergeCell ref="C493:D493"/>
    <mergeCell ref="C494:D494"/>
    <mergeCell ref="M376:O376"/>
    <mergeCell ref="Q376:S376"/>
    <mergeCell ref="F384:G384"/>
    <mergeCell ref="F448:F450"/>
    <mergeCell ref="B363:B364"/>
    <mergeCell ref="C363:C364"/>
    <mergeCell ref="B361:J361"/>
    <mergeCell ref="M363:O363"/>
    <mergeCell ref="C489:D489"/>
    <mergeCell ref="C490:D490"/>
    <mergeCell ref="D196:D197"/>
    <mergeCell ref="E196:E197"/>
    <mergeCell ref="F196:F197"/>
    <mergeCell ref="G196:G197"/>
    <mergeCell ref="I196:K196"/>
    <mergeCell ref="I349:K349"/>
    <mergeCell ref="D321:D323"/>
    <mergeCell ref="B349:B351"/>
    <mergeCell ref="J350:J351"/>
    <mergeCell ref="N350:N351"/>
    <mergeCell ref="B374:J374"/>
    <mergeCell ref="B359:G359"/>
    <mergeCell ref="D267:D268"/>
    <mergeCell ref="E267:E268"/>
    <mergeCell ref="F267:F268"/>
    <mergeCell ref="G267:G268"/>
    <mergeCell ref="D280:D281"/>
    <mergeCell ref="E280:E281"/>
    <mergeCell ref="F280:F281"/>
    <mergeCell ref="G280:G281"/>
    <mergeCell ref="M225:O225"/>
    <mergeCell ref="B249:G249"/>
    <mergeCell ref="B253:B255"/>
    <mergeCell ref="N377:N378"/>
    <mergeCell ref="E349:E351"/>
    <mergeCell ref="I376:K376"/>
    <mergeCell ref="E75:E76"/>
    <mergeCell ref="F75:F76"/>
    <mergeCell ref="G75:G76"/>
    <mergeCell ref="I75:K75"/>
    <mergeCell ref="B75:B76"/>
    <mergeCell ref="C75:C76"/>
    <mergeCell ref="B84:G84"/>
    <mergeCell ref="B101:B102"/>
    <mergeCell ref="F114:F116"/>
    <mergeCell ref="G114:G116"/>
    <mergeCell ref="B62:B63"/>
    <mergeCell ref="C62:C63"/>
    <mergeCell ref="B71:G71"/>
    <mergeCell ref="J49:J50"/>
    <mergeCell ref="B110:G110"/>
    <mergeCell ref="B114:B116"/>
    <mergeCell ref="C114:C116"/>
    <mergeCell ref="D88:D89"/>
    <mergeCell ref="D48:D50"/>
    <mergeCell ref="E48:E50"/>
    <mergeCell ref="F48:F50"/>
    <mergeCell ref="E101:E102"/>
    <mergeCell ref="F101:F102"/>
    <mergeCell ref="G101:G102"/>
    <mergeCell ref="D114:D116"/>
    <mergeCell ref="E114:E116"/>
    <mergeCell ref="C101:C102"/>
    <mergeCell ref="AT115:AT116"/>
    <mergeCell ref="AG363:AI363"/>
    <mergeCell ref="AK363:AM363"/>
    <mergeCell ref="AO363:AQ363"/>
    <mergeCell ref="AS363:AU363"/>
    <mergeCell ref="B181:J181"/>
    <mergeCell ref="B194:J194"/>
    <mergeCell ref="C533:D533"/>
    <mergeCell ref="C534:D534"/>
    <mergeCell ref="C531:D531"/>
    <mergeCell ref="C532:D532"/>
    <mergeCell ref="C497:D497"/>
    <mergeCell ref="C504:D504"/>
    <mergeCell ref="C508:D508"/>
    <mergeCell ref="C509:D509"/>
    <mergeCell ref="C510:D510"/>
    <mergeCell ref="C511:D511"/>
    <mergeCell ref="C512:D512"/>
    <mergeCell ref="C513:D513"/>
    <mergeCell ref="C514:D514"/>
    <mergeCell ref="C515:D515"/>
    <mergeCell ref="C506:D506"/>
    <mergeCell ref="C500:D500"/>
    <mergeCell ref="C501:D501"/>
    <mergeCell ref="B372:G372"/>
    <mergeCell ref="B376:B378"/>
    <mergeCell ref="B478:J478"/>
    <mergeCell ref="G420:G422"/>
    <mergeCell ref="C253:C255"/>
    <mergeCell ref="B265:J265"/>
    <mergeCell ref="C239:C241"/>
    <mergeCell ref="C349:C351"/>
    <mergeCell ref="AT35:AT36"/>
    <mergeCell ref="AX35:AX36"/>
    <mergeCell ref="C88:C89"/>
    <mergeCell ref="AD115:AD116"/>
    <mergeCell ref="M114:O114"/>
    <mergeCell ref="Q114:S114"/>
    <mergeCell ref="U114:W114"/>
    <mergeCell ref="BE101:BG101"/>
    <mergeCell ref="I101:K101"/>
    <mergeCell ref="BA75:BC75"/>
    <mergeCell ref="Q75:S75"/>
    <mergeCell ref="U75:W75"/>
    <mergeCell ref="Y75:AA75"/>
    <mergeCell ref="AC75:AE75"/>
    <mergeCell ref="AG75:AI75"/>
    <mergeCell ref="B97:G97"/>
    <mergeCell ref="E88:E89"/>
    <mergeCell ref="F88:F89"/>
    <mergeCell ref="G88:G89"/>
    <mergeCell ref="I88:K88"/>
    <mergeCell ref="M88:O88"/>
    <mergeCell ref="Y114:AA114"/>
    <mergeCell ref="AC114:AE114"/>
    <mergeCell ref="BB115:BB116"/>
    <mergeCell ref="AH115:AH116"/>
    <mergeCell ref="BA114:BC114"/>
    <mergeCell ref="AW88:AY88"/>
    <mergeCell ref="BA88:BC88"/>
    <mergeCell ref="AW62:AY62"/>
    <mergeCell ref="BA62:BC62"/>
    <mergeCell ref="AS62:AU62"/>
    <mergeCell ref="Z115:Z116"/>
    <mergeCell ref="BF35:BF36"/>
    <mergeCell ref="Z35:Z36"/>
    <mergeCell ref="AD35:AD36"/>
    <mergeCell ref="AH35:AH36"/>
    <mergeCell ref="AL35:AL36"/>
    <mergeCell ref="BE88:BG88"/>
    <mergeCell ref="BE75:BG75"/>
    <mergeCell ref="AK101:AM101"/>
    <mergeCell ref="AO101:AQ101"/>
    <mergeCell ref="AS101:AU101"/>
    <mergeCell ref="AW101:AY101"/>
    <mergeCell ref="BA101:BC101"/>
    <mergeCell ref="Q101:S101"/>
    <mergeCell ref="U101:W101"/>
    <mergeCell ref="Y101:AA101"/>
    <mergeCell ref="BB49:BB50"/>
    <mergeCell ref="B124:G124"/>
    <mergeCell ref="J115:J116"/>
    <mergeCell ref="D101:D102"/>
    <mergeCell ref="Y88:AA88"/>
    <mergeCell ref="AC88:AE88"/>
    <mergeCell ref="AG88:AI88"/>
    <mergeCell ref="AK88:AM88"/>
    <mergeCell ref="AO88:AQ88"/>
    <mergeCell ref="AK75:AM75"/>
    <mergeCell ref="AO75:AQ75"/>
    <mergeCell ref="AS75:AU75"/>
    <mergeCell ref="AW75:AY75"/>
    <mergeCell ref="AC101:AE101"/>
    <mergeCell ref="AG101:AI101"/>
    <mergeCell ref="AX115:AX116"/>
    <mergeCell ref="AP115:AP116"/>
    <mergeCell ref="AX377:AX378"/>
    <mergeCell ref="F379:G379"/>
    <mergeCell ref="AS376:AU376"/>
    <mergeCell ref="AT377:AT378"/>
    <mergeCell ref="AC376:AE376"/>
    <mergeCell ref="AG376:AI376"/>
    <mergeCell ref="AK376:AM376"/>
    <mergeCell ref="AO376:AQ376"/>
    <mergeCell ref="B988:D988"/>
    <mergeCell ref="G904:Q904"/>
    <mergeCell ref="BA421:BA422"/>
    <mergeCell ref="BB421:BB422"/>
    <mergeCell ref="G448:G450"/>
    <mergeCell ref="I462:K462"/>
    <mergeCell ref="M462:O462"/>
    <mergeCell ref="Q462:S462"/>
    <mergeCell ref="I448:K448"/>
    <mergeCell ref="M448:O448"/>
    <mergeCell ref="Q448:S448"/>
    <mergeCell ref="E462:E464"/>
    <mergeCell ref="F462:F464"/>
    <mergeCell ref="G462:G464"/>
    <mergeCell ref="I919:I920"/>
    <mergeCell ref="AX421:AX422"/>
    <mergeCell ref="J377:J378"/>
    <mergeCell ref="C502:D502"/>
    <mergeCell ref="C503:D503"/>
    <mergeCell ref="Q449:Q450"/>
    <mergeCell ref="R449:R450"/>
    <mergeCell ref="R377:R378"/>
    <mergeCell ref="BB377:BB378"/>
    <mergeCell ref="AW448:AY448"/>
    <mergeCell ref="BF377:BF378"/>
    <mergeCell ref="Y363:AA363"/>
    <mergeCell ref="AC363:AE363"/>
    <mergeCell ref="BE448:BG448"/>
    <mergeCell ref="U448:W448"/>
    <mergeCell ref="Y448:AA448"/>
    <mergeCell ref="AC448:AE448"/>
    <mergeCell ref="AG448:AI448"/>
    <mergeCell ref="AK448:AM448"/>
    <mergeCell ref="AO448:AQ448"/>
    <mergeCell ref="BE376:BG376"/>
    <mergeCell ref="Q392:S392"/>
    <mergeCell ref="U392:W392"/>
    <mergeCell ref="Y392:AA392"/>
    <mergeCell ref="AC392:AE392"/>
    <mergeCell ref="AG392:AI392"/>
    <mergeCell ref="AK392:AM392"/>
    <mergeCell ref="AO392:AQ392"/>
    <mergeCell ref="AS392:AU392"/>
    <mergeCell ref="AW392:AY392"/>
    <mergeCell ref="BA392:BC392"/>
    <mergeCell ref="BE392:BG392"/>
    <mergeCell ref="U376:W376"/>
    <mergeCell ref="Y376:AA376"/>
    <mergeCell ref="Q435:Q436"/>
    <mergeCell ref="R435:R436"/>
    <mergeCell ref="U435:U436"/>
    <mergeCell ref="V435:V436"/>
    <mergeCell ref="Y435:Y436"/>
    <mergeCell ref="Z435:Z436"/>
    <mergeCell ref="AW376:AY376"/>
    <mergeCell ref="BA376:BC376"/>
    <mergeCell ref="BF294:BF295"/>
    <mergeCell ref="BA293:BC293"/>
    <mergeCell ref="AW293:AY293"/>
    <mergeCell ref="M293:O293"/>
    <mergeCell ref="Q293:S293"/>
    <mergeCell ref="AX294:AX295"/>
    <mergeCell ref="AP294:AP295"/>
    <mergeCell ref="AT294:AT295"/>
    <mergeCell ref="BA335:BC335"/>
    <mergeCell ref="BE335:BG335"/>
    <mergeCell ref="U321:W321"/>
    <mergeCell ref="Y321:AA321"/>
    <mergeCell ref="AC321:AE321"/>
    <mergeCell ref="AG321:AI321"/>
    <mergeCell ref="BF322:BF323"/>
    <mergeCell ref="Z308:Z309"/>
    <mergeCell ref="M321:O321"/>
    <mergeCell ref="Q321:S321"/>
    <mergeCell ref="AT322:AT323"/>
    <mergeCell ref="AK321:AM321"/>
    <mergeCell ref="AH294:AH295"/>
    <mergeCell ref="AL294:AL295"/>
    <mergeCell ref="M307:O307"/>
    <mergeCell ref="Q307:S307"/>
    <mergeCell ref="U307:W307"/>
    <mergeCell ref="AW335:AY335"/>
    <mergeCell ref="N294:N295"/>
    <mergeCell ref="BB308:BB309"/>
    <mergeCell ref="BF308:BF309"/>
    <mergeCell ref="BB294:BB295"/>
    <mergeCell ref="AS335:AU335"/>
    <mergeCell ref="AX322:AX323"/>
    <mergeCell ref="BF226:BF227"/>
    <mergeCell ref="AS267:AU267"/>
    <mergeCell ref="AW267:AY267"/>
    <mergeCell ref="BA267:BC267"/>
    <mergeCell ref="I267:K267"/>
    <mergeCell ref="M267:O267"/>
    <mergeCell ref="Q267:S267"/>
    <mergeCell ref="BE267:BG267"/>
    <mergeCell ref="M239:O239"/>
    <mergeCell ref="AP226:AP227"/>
    <mergeCell ref="AT226:AT227"/>
    <mergeCell ref="AX226:AX227"/>
    <mergeCell ref="Z226:Z227"/>
    <mergeCell ref="BE239:BG239"/>
    <mergeCell ref="BB240:BB241"/>
    <mergeCell ref="BF240:BF241"/>
    <mergeCell ref="AD226:AD227"/>
    <mergeCell ref="AK267:AM267"/>
    <mergeCell ref="AO267:AQ267"/>
    <mergeCell ref="AH226:AH227"/>
    <mergeCell ref="AL226:AL227"/>
    <mergeCell ref="Y253:AA253"/>
    <mergeCell ref="AC253:AE253"/>
    <mergeCell ref="AO253:AQ253"/>
    <mergeCell ref="AS253:AU253"/>
    <mergeCell ref="AW253:AY253"/>
    <mergeCell ref="BA253:BC253"/>
    <mergeCell ref="N254:N255"/>
    <mergeCell ref="AT240:AT241"/>
    <mergeCell ref="B251:J251"/>
    <mergeCell ref="BE225:BG225"/>
    <mergeCell ref="AG225:AI225"/>
    <mergeCell ref="AK225:AM225"/>
    <mergeCell ref="AO225:AQ225"/>
    <mergeCell ref="AS225:AU225"/>
    <mergeCell ref="AW225:AY225"/>
    <mergeCell ref="AK183:AM183"/>
    <mergeCell ref="AO183:AQ183"/>
    <mergeCell ref="AS183:AU183"/>
    <mergeCell ref="AW183:AY183"/>
    <mergeCell ref="BF210:BF211"/>
    <mergeCell ref="AG183:AI183"/>
    <mergeCell ref="BE209:BG209"/>
    <mergeCell ref="AK209:AM209"/>
    <mergeCell ref="U225:W225"/>
    <mergeCell ref="Y225:AA225"/>
    <mergeCell ref="AC225:AE225"/>
    <mergeCell ref="AO209:AQ209"/>
    <mergeCell ref="BE196:BG196"/>
    <mergeCell ref="BE183:BG183"/>
    <mergeCell ref="BA183:BC183"/>
    <mergeCell ref="AC209:AE209"/>
    <mergeCell ref="AG209:AI209"/>
    <mergeCell ref="Z210:Z211"/>
    <mergeCell ref="AD210:AD211"/>
    <mergeCell ref="AH210:AH211"/>
    <mergeCell ref="AL210:AL211"/>
    <mergeCell ref="AP210:AP211"/>
    <mergeCell ref="AS114:AU114"/>
    <mergeCell ref="AW114:AY114"/>
    <mergeCell ref="N115:N116"/>
    <mergeCell ref="R115:R116"/>
    <mergeCell ref="V115:V116"/>
    <mergeCell ref="AC183:AE183"/>
    <mergeCell ref="AS196:AU196"/>
    <mergeCell ref="AW196:AY196"/>
    <mergeCell ref="AH156:AH157"/>
    <mergeCell ref="AL156:AL157"/>
    <mergeCell ref="AP156:AP157"/>
    <mergeCell ref="AT156:AT157"/>
    <mergeCell ref="R170:R171"/>
    <mergeCell ref="AC155:AE155"/>
    <mergeCell ref="AG155:AI155"/>
    <mergeCell ref="V170:V171"/>
    <mergeCell ref="F183:F184"/>
    <mergeCell ref="G183:G184"/>
    <mergeCell ref="R142:R143"/>
    <mergeCell ref="F155:F157"/>
    <mergeCell ref="G155:G157"/>
    <mergeCell ref="Y169:AA169"/>
    <mergeCell ref="AC169:AE169"/>
    <mergeCell ref="AW169:AY169"/>
    <mergeCell ref="AG114:AI114"/>
    <mergeCell ref="AK114:AM114"/>
    <mergeCell ref="AO114:AQ114"/>
    <mergeCell ref="B126:J126"/>
    <mergeCell ref="B167:J167"/>
    <mergeCell ref="M196:O196"/>
    <mergeCell ref="C169:C171"/>
    <mergeCell ref="B179:G179"/>
    <mergeCell ref="BE128:BG128"/>
    <mergeCell ref="I141:K141"/>
    <mergeCell ref="M141:O141"/>
    <mergeCell ref="Q141:S141"/>
    <mergeCell ref="U141:W141"/>
    <mergeCell ref="Y141:AA141"/>
    <mergeCell ref="AC141:AE141"/>
    <mergeCell ref="AG141:AI141"/>
    <mergeCell ref="AK141:AM141"/>
    <mergeCell ref="AO141:AQ141"/>
    <mergeCell ref="AK128:AM128"/>
    <mergeCell ref="AO128:AQ128"/>
    <mergeCell ref="AS128:AU128"/>
    <mergeCell ref="AW128:AY128"/>
    <mergeCell ref="BA128:BC128"/>
    <mergeCell ref="Q128:S128"/>
    <mergeCell ref="U128:W128"/>
    <mergeCell ref="AG128:AI128"/>
    <mergeCell ref="I128:K128"/>
    <mergeCell ref="M128:O128"/>
    <mergeCell ref="BF115:BF116"/>
    <mergeCell ref="AL115:AL116"/>
    <mergeCell ref="BE141:BG141"/>
    <mergeCell ref="BE114:BG114"/>
    <mergeCell ref="M101:O101"/>
    <mergeCell ref="M75:O75"/>
    <mergeCell ref="AS88:AU88"/>
    <mergeCell ref="BE62:BG62"/>
    <mergeCell ref="BA48:BC48"/>
    <mergeCell ref="BE48:BG48"/>
    <mergeCell ref="D62:D63"/>
    <mergeCell ref="E62:E63"/>
    <mergeCell ref="F62:F63"/>
    <mergeCell ref="G62:G63"/>
    <mergeCell ref="I62:K62"/>
    <mergeCell ref="M62:O62"/>
    <mergeCell ref="Q62:S62"/>
    <mergeCell ref="U62:W62"/>
    <mergeCell ref="Y62:AA62"/>
    <mergeCell ref="AC62:AE62"/>
    <mergeCell ref="AG62:AI62"/>
    <mergeCell ref="AK62:AM62"/>
    <mergeCell ref="AG48:AI48"/>
    <mergeCell ref="AK48:AM48"/>
    <mergeCell ref="AO48:AQ48"/>
    <mergeCell ref="BF49:BF50"/>
    <mergeCell ref="AL49:AL50"/>
    <mergeCell ref="AP49:AP50"/>
    <mergeCell ref="AT49:AT50"/>
    <mergeCell ref="AO62:AQ62"/>
    <mergeCell ref="AW48:AY48"/>
    <mergeCell ref="M48:O48"/>
    <mergeCell ref="E8:F8"/>
    <mergeCell ref="E9:F9"/>
    <mergeCell ref="E10:F10"/>
    <mergeCell ref="Q34:S34"/>
    <mergeCell ref="BE34:BG34"/>
    <mergeCell ref="U34:W34"/>
    <mergeCell ref="Y34:AA34"/>
    <mergeCell ref="AC34:AE34"/>
    <mergeCell ref="AG34:AI34"/>
    <mergeCell ref="AK34:AM34"/>
    <mergeCell ref="AO34:AQ34"/>
    <mergeCell ref="AS34:AU34"/>
    <mergeCell ref="AW34:AY34"/>
    <mergeCell ref="BA34:BC34"/>
    <mergeCell ref="BE20:BG20"/>
    <mergeCell ref="B30:G30"/>
    <mergeCell ref="B20:B22"/>
    <mergeCell ref="C20:C22"/>
    <mergeCell ref="D20:D22"/>
    <mergeCell ref="AK20:AM20"/>
    <mergeCell ref="AO20:AQ20"/>
    <mergeCell ref="AS20:AU20"/>
    <mergeCell ref="V21:V22"/>
    <mergeCell ref="Z21:Z22"/>
    <mergeCell ref="AD21:AD22"/>
    <mergeCell ref="AH21:AH22"/>
    <mergeCell ref="AW20:AY20"/>
    <mergeCell ref="BA20:BC20"/>
    <mergeCell ref="Q20:S20"/>
    <mergeCell ref="U20:W20"/>
    <mergeCell ref="BF21:BF22"/>
    <mergeCell ref="B34:B36"/>
    <mergeCell ref="AT21:AT22"/>
    <mergeCell ref="AX21:AX22"/>
    <mergeCell ref="BB21:BB22"/>
    <mergeCell ref="J35:J36"/>
    <mergeCell ref="N35:N36"/>
    <mergeCell ref="R35:R36"/>
    <mergeCell ref="V35:V36"/>
    <mergeCell ref="Q48:S48"/>
    <mergeCell ref="AS48:AU48"/>
    <mergeCell ref="U48:W48"/>
    <mergeCell ref="Y48:AA48"/>
    <mergeCell ref="AC48:AE48"/>
    <mergeCell ref="AH49:AH50"/>
    <mergeCell ref="R49:R50"/>
    <mergeCell ref="V49:V50"/>
    <mergeCell ref="Z49:Z50"/>
    <mergeCell ref="I48:K48"/>
    <mergeCell ref="N49:N50"/>
    <mergeCell ref="B32:J32"/>
    <mergeCell ref="B46:J46"/>
    <mergeCell ref="E20:E22"/>
    <mergeCell ref="AX49:AX50"/>
    <mergeCell ref="C34:C36"/>
    <mergeCell ref="B44:G44"/>
    <mergeCell ref="D34:D36"/>
    <mergeCell ref="E34:E36"/>
    <mergeCell ref="F34:F36"/>
    <mergeCell ref="G34:G36"/>
    <mergeCell ref="BB35:BB36"/>
    <mergeCell ref="F20:F22"/>
    <mergeCell ref="G20:G22"/>
    <mergeCell ref="J21:J22"/>
    <mergeCell ref="Y20:AA20"/>
    <mergeCell ref="AC20:AE20"/>
    <mergeCell ref="AG20:AI20"/>
    <mergeCell ref="E11:F11"/>
    <mergeCell ref="E12:F12"/>
    <mergeCell ref="E13:F13"/>
    <mergeCell ref="E14:F14"/>
    <mergeCell ref="AD49:AD50"/>
    <mergeCell ref="AL21:AL22"/>
    <mergeCell ref="AP21:AP22"/>
    <mergeCell ref="G48:G50"/>
    <mergeCell ref="Q88:S88"/>
    <mergeCell ref="D128:D129"/>
    <mergeCell ref="E128:E129"/>
    <mergeCell ref="F128:F129"/>
    <mergeCell ref="G128:G129"/>
    <mergeCell ref="E155:E157"/>
    <mergeCell ref="U88:W88"/>
    <mergeCell ref="R21:R22"/>
    <mergeCell ref="AP35:AP36"/>
    <mergeCell ref="B60:J60"/>
    <mergeCell ref="B73:J73"/>
    <mergeCell ref="B86:J86"/>
    <mergeCell ref="B99:J99"/>
    <mergeCell ref="B112:J112"/>
    <mergeCell ref="N21:N22"/>
    <mergeCell ref="C128:C129"/>
    <mergeCell ref="B48:B50"/>
    <mergeCell ref="C48:C50"/>
    <mergeCell ref="B58:G58"/>
    <mergeCell ref="I114:K114"/>
    <mergeCell ref="D75:D76"/>
    <mergeCell ref="J210:J211"/>
    <mergeCell ref="N210:N211"/>
    <mergeCell ref="R210:R211"/>
    <mergeCell ref="V210:V211"/>
    <mergeCell ref="I209:K209"/>
    <mergeCell ref="AO169:AQ169"/>
    <mergeCell ref="AK155:AM155"/>
    <mergeCell ref="AO155:AQ155"/>
    <mergeCell ref="J170:J171"/>
    <mergeCell ref="Q169:S169"/>
    <mergeCell ref="U169:W169"/>
    <mergeCell ref="B88:B89"/>
    <mergeCell ref="AS155:AU155"/>
    <mergeCell ref="E225:E227"/>
    <mergeCell ref="Y128:AA128"/>
    <mergeCell ref="AC128:AE128"/>
    <mergeCell ref="Q183:S183"/>
    <mergeCell ref="U183:W183"/>
    <mergeCell ref="Y183:AA183"/>
    <mergeCell ref="F212:G212"/>
    <mergeCell ref="B207:J207"/>
    <mergeCell ref="F209:G211"/>
    <mergeCell ref="B221:J221"/>
    <mergeCell ref="Q196:S196"/>
    <mergeCell ref="U196:W196"/>
    <mergeCell ref="Y196:AA196"/>
    <mergeCell ref="AC196:AE196"/>
    <mergeCell ref="AG196:AI196"/>
    <mergeCell ref="AK196:AM196"/>
    <mergeCell ref="AO196:AQ196"/>
    <mergeCell ref="V226:V227"/>
    <mergeCell ref="B128:B129"/>
    <mergeCell ref="AW321:AY321"/>
    <mergeCell ref="BB254:BB255"/>
    <mergeCell ref="N240:N241"/>
    <mergeCell ref="R240:R241"/>
    <mergeCell ref="V240:V241"/>
    <mergeCell ref="Z240:Z241"/>
    <mergeCell ref="AD240:AD241"/>
    <mergeCell ref="AH240:AH241"/>
    <mergeCell ref="M253:O253"/>
    <mergeCell ref="Q253:S253"/>
    <mergeCell ref="U253:W253"/>
    <mergeCell ref="AL240:AL241"/>
    <mergeCell ref="AL254:AL255"/>
    <mergeCell ref="AP254:AP255"/>
    <mergeCell ref="AT254:AT255"/>
    <mergeCell ref="B267:B268"/>
    <mergeCell ref="C267:C268"/>
    <mergeCell ref="B276:G276"/>
    <mergeCell ref="E253:E255"/>
    <mergeCell ref="F253:F255"/>
    <mergeCell ref="G253:G255"/>
    <mergeCell ref="AC293:AE293"/>
    <mergeCell ref="AG293:AI293"/>
    <mergeCell ref="AD294:AD295"/>
    <mergeCell ref="G239:G241"/>
    <mergeCell ref="D239:D241"/>
    <mergeCell ref="J254:J255"/>
    <mergeCell ref="Y239:AA239"/>
    <mergeCell ref="AC239:AE239"/>
    <mergeCell ref="AG239:AI239"/>
    <mergeCell ref="AK239:AM239"/>
    <mergeCell ref="AO239:AQ239"/>
    <mergeCell ref="I307:K307"/>
    <mergeCell ref="B333:J333"/>
    <mergeCell ref="B321:B323"/>
    <mergeCell ref="C321:C323"/>
    <mergeCell ref="B331:G331"/>
    <mergeCell ref="I321:K321"/>
    <mergeCell ref="B347:J347"/>
    <mergeCell ref="B278:J278"/>
    <mergeCell ref="B291:J291"/>
    <mergeCell ref="E307:E309"/>
    <mergeCell ref="C307:C309"/>
    <mergeCell ref="B317:G317"/>
    <mergeCell ref="J308:J309"/>
    <mergeCell ref="D307:D309"/>
    <mergeCell ref="I293:K293"/>
    <mergeCell ref="D293:D295"/>
    <mergeCell ref="B335:B337"/>
    <mergeCell ref="C335:C337"/>
    <mergeCell ref="B305:J305"/>
    <mergeCell ref="B303:G303"/>
    <mergeCell ref="J294:J295"/>
    <mergeCell ref="I280:K280"/>
    <mergeCell ref="B307:B309"/>
    <mergeCell ref="E335:E337"/>
    <mergeCell ref="F335:F337"/>
    <mergeCell ref="G335:G337"/>
    <mergeCell ref="BA448:BC448"/>
    <mergeCell ref="AW449:AW450"/>
    <mergeCell ref="AX449:AX450"/>
    <mergeCell ref="BA449:BA450"/>
    <mergeCell ref="BB449:BB450"/>
    <mergeCell ref="BE449:BE450"/>
    <mergeCell ref="BF449:BF450"/>
    <mergeCell ref="BE463:BE464"/>
    <mergeCell ref="BF463:BF464"/>
    <mergeCell ref="AP449:AP450"/>
    <mergeCell ref="AS449:AS450"/>
    <mergeCell ref="AT449:AT450"/>
    <mergeCell ref="AS463:AS464"/>
    <mergeCell ref="AT463:AT464"/>
    <mergeCell ref="AW463:AW464"/>
    <mergeCell ref="AX463:AX464"/>
    <mergeCell ref="BA463:BA464"/>
    <mergeCell ref="BB463:BB464"/>
    <mergeCell ref="G919:G920"/>
    <mergeCell ref="B919:D919"/>
    <mergeCell ref="B920:D920"/>
    <mergeCell ref="B921:D921"/>
    <mergeCell ref="B922:D922"/>
    <mergeCell ref="B923:D923"/>
    <mergeCell ref="B924:D924"/>
    <mergeCell ref="B925:D925"/>
    <mergeCell ref="B926:D926"/>
    <mergeCell ref="B928:D928"/>
    <mergeCell ref="G141:G143"/>
    <mergeCell ref="E239:E241"/>
    <mergeCell ref="F239:F241"/>
    <mergeCell ref="B183:B184"/>
    <mergeCell ref="C183:C184"/>
    <mergeCell ref="B192:G192"/>
    <mergeCell ref="B196:B197"/>
    <mergeCell ref="C196:C197"/>
    <mergeCell ref="B205:G205"/>
    <mergeCell ref="B209:B211"/>
    <mergeCell ref="C209:C211"/>
    <mergeCell ref="B219:G219"/>
    <mergeCell ref="D209:D211"/>
    <mergeCell ref="D183:D184"/>
    <mergeCell ref="E183:E184"/>
    <mergeCell ref="D335:D337"/>
    <mergeCell ref="D349:D351"/>
    <mergeCell ref="E209:E211"/>
    <mergeCell ref="C566:D566"/>
    <mergeCell ref="B239:B241"/>
    <mergeCell ref="C448:C450"/>
    <mergeCell ref="B458:G458"/>
    <mergeCell ref="B929:D929"/>
    <mergeCell ref="B931:D931"/>
    <mergeCell ref="G884:G885"/>
    <mergeCell ref="BE462:BG462"/>
    <mergeCell ref="U462:W462"/>
    <mergeCell ref="Y462:AA462"/>
    <mergeCell ref="AC462:AE462"/>
    <mergeCell ref="AG462:AI462"/>
    <mergeCell ref="AK462:AM462"/>
    <mergeCell ref="AO462:AQ462"/>
    <mergeCell ref="AS462:AU462"/>
    <mergeCell ref="AW462:AY462"/>
    <mergeCell ref="BA462:BC462"/>
    <mergeCell ref="Q463:Q464"/>
    <mergeCell ref="R463:R464"/>
    <mergeCell ref="U463:U464"/>
    <mergeCell ref="V463:V464"/>
    <mergeCell ref="Y463:Y464"/>
    <mergeCell ref="Z463:Z464"/>
    <mergeCell ref="AP463:AP464"/>
    <mergeCell ref="I463:I464"/>
    <mergeCell ref="J463:J464"/>
    <mergeCell ref="M463:M464"/>
    <mergeCell ref="C657:D657"/>
    <mergeCell ref="C659:D659"/>
    <mergeCell ref="C660:D660"/>
    <mergeCell ref="C661:D661"/>
    <mergeCell ref="C662:D662"/>
    <mergeCell ref="C663:D663"/>
    <mergeCell ref="C664:D664"/>
    <mergeCell ref="C666:D666"/>
    <mergeCell ref="N463:N464"/>
    <mergeCell ref="B5:D5"/>
    <mergeCell ref="B6:D6"/>
    <mergeCell ref="B8:C8"/>
    <mergeCell ref="B9:C9"/>
    <mergeCell ref="B10:C10"/>
    <mergeCell ref="B11:C11"/>
    <mergeCell ref="B12:C12"/>
    <mergeCell ref="B13:C13"/>
    <mergeCell ref="B14:C14"/>
    <mergeCell ref="B16:J16"/>
    <mergeCell ref="B18:J18"/>
    <mergeCell ref="I20:K20"/>
    <mergeCell ref="M20:O20"/>
    <mergeCell ref="I34:K34"/>
    <mergeCell ref="M34:O34"/>
    <mergeCell ref="B137:G137"/>
    <mergeCell ref="N170:N171"/>
    <mergeCell ref="B141:B143"/>
    <mergeCell ref="C141:C143"/>
    <mergeCell ref="B151:G151"/>
    <mergeCell ref="J142:J143"/>
    <mergeCell ref="N142:N143"/>
    <mergeCell ref="B169:B171"/>
    <mergeCell ref="I169:K169"/>
    <mergeCell ref="M169:O169"/>
    <mergeCell ref="I155:K155"/>
    <mergeCell ref="M155:O155"/>
    <mergeCell ref="B139:J139"/>
    <mergeCell ref="B153:J153"/>
    <mergeCell ref="D141:D143"/>
    <mergeCell ref="E141:E143"/>
    <mergeCell ref="F141:F143"/>
    <mergeCell ref="BF142:BF143"/>
    <mergeCell ref="B155:B157"/>
    <mergeCell ref="C155:C157"/>
    <mergeCell ref="B165:G165"/>
    <mergeCell ref="J156:J157"/>
    <mergeCell ref="N156:N157"/>
    <mergeCell ref="R156:R157"/>
    <mergeCell ref="V156:V157"/>
    <mergeCell ref="Z156:Z157"/>
    <mergeCell ref="AD156:AD157"/>
    <mergeCell ref="BE155:BG155"/>
    <mergeCell ref="AS141:AU141"/>
    <mergeCell ref="AW141:AY141"/>
    <mergeCell ref="BA141:BC141"/>
    <mergeCell ref="AD142:AD143"/>
    <mergeCell ref="AH142:AH143"/>
    <mergeCell ref="AL142:AL143"/>
    <mergeCell ref="AW155:AY155"/>
    <mergeCell ref="BA155:BC155"/>
    <mergeCell ref="AP142:AP143"/>
    <mergeCell ref="AT142:AT143"/>
    <mergeCell ref="AX142:AX143"/>
    <mergeCell ref="BB142:BB143"/>
    <mergeCell ref="AX156:AX157"/>
    <mergeCell ref="BB156:BB157"/>
    <mergeCell ref="BF156:BF157"/>
    <mergeCell ref="V142:V143"/>
    <mergeCell ref="Z142:Z143"/>
    <mergeCell ref="Q155:S155"/>
    <mergeCell ref="U155:W155"/>
    <mergeCell ref="Y155:AA155"/>
    <mergeCell ref="D155:D157"/>
    <mergeCell ref="BA169:BC169"/>
    <mergeCell ref="AD170:AD171"/>
    <mergeCell ref="AG169:AI169"/>
    <mergeCell ref="AK169:AM169"/>
    <mergeCell ref="I183:K183"/>
    <mergeCell ref="AS169:AU169"/>
    <mergeCell ref="M209:O209"/>
    <mergeCell ref="AX170:AX171"/>
    <mergeCell ref="BB170:BB171"/>
    <mergeCell ref="Z170:Z171"/>
    <mergeCell ref="M183:O183"/>
    <mergeCell ref="BA196:BC196"/>
    <mergeCell ref="AS209:AU209"/>
    <mergeCell ref="AW209:AY209"/>
    <mergeCell ref="BA209:BC209"/>
    <mergeCell ref="Q209:S209"/>
    <mergeCell ref="BA280:BC280"/>
    <mergeCell ref="AG253:AI253"/>
    <mergeCell ref="AK253:AM253"/>
    <mergeCell ref="Q239:S239"/>
    <mergeCell ref="U239:W239"/>
    <mergeCell ref="AS239:AU239"/>
    <mergeCell ref="AW239:AY239"/>
    <mergeCell ref="AT210:AT211"/>
    <mergeCell ref="AX210:AX211"/>
    <mergeCell ref="BB210:BB211"/>
    <mergeCell ref="BB226:BB227"/>
    <mergeCell ref="I253:K253"/>
    <mergeCell ref="BA225:BC225"/>
    <mergeCell ref="Q225:S225"/>
    <mergeCell ref="N226:N227"/>
    <mergeCell ref="R226:R227"/>
    <mergeCell ref="BE293:BG293"/>
    <mergeCell ref="D253:D255"/>
    <mergeCell ref="AX254:AX255"/>
    <mergeCell ref="U293:W293"/>
    <mergeCell ref="Y293:AA293"/>
    <mergeCell ref="BF170:BF171"/>
    <mergeCell ref="E169:E171"/>
    <mergeCell ref="F169:F171"/>
    <mergeCell ref="G169:G171"/>
    <mergeCell ref="D169:D171"/>
    <mergeCell ref="AH170:AH171"/>
    <mergeCell ref="AL170:AL171"/>
    <mergeCell ref="AP170:AP171"/>
    <mergeCell ref="AT170:AT171"/>
    <mergeCell ref="BE169:BG169"/>
    <mergeCell ref="AS293:AU293"/>
    <mergeCell ref="U267:W267"/>
    <mergeCell ref="AX240:AX241"/>
    <mergeCell ref="J240:J241"/>
    <mergeCell ref="F225:F227"/>
    <mergeCell ref="G225:G227"/>
    <mergeCell ref="J226:J227"/>
    <mergeCell ref="I225:K225"/>
    <mergeCell ref="BA239:BC239"/>
    <mergeCell ref="U209:W209"/>
    <mergeCell ref="Y209:AA209"/>
    <mergeCell ref="Y280:AA280"/>
    <mergeCell ref="AC280:AE280"/>
    <mergeCell ref="AG280:AI280"/>
    <mergeCell ref="AK280:AM280"/>
    <mergeCell ref="AO280:AQ280"/>
    <mergeCell ref="AS280:AU280"/>
    <mergeCell ref="BE321:BG321"/>
    <mergeCell ref="AD308:AD309"/>
    <mergeCell ref="AH308:AH309"/>
    <mergeCell ref="AL308:AL309"/>
    <mergeCell ref="AP308:AP309"/>
    <mergeCell ref="AO321:AQ321"/>
    <mergeCell ref="V308:V309"/>
    <mergeCell ref="N308:N309"/>
    <mergeCell ref="R308:R309"/>
    <mergeCell ref="BA307:BC307"/>
    <mergeCell ref="BE307:BG307"/>
    <mergeCell ref="B223:J223"/>
    <mergeCell ref="B237:J237"/>
    <mergeCell ref="I239:K239"/>
    <mergeCell ref="B225:B227"/>
    <mergeCell ref="C225:C227"/>
    <mergeCell ref="B235:G235"/>
    <mergeCell ref="D225:D227"/>
    <mergeCell ref="AP240:AP241"/>
    <mergeCell ref="BF254:BF255"/>
    <mergeCell ref="BE253:BG253"/>
    <mergeCell ref="E293:E295"/>
    <mergeCell ref="F293:F295"/>
    <mergeCell ref="G293:G295"/>
    <mergeCell ref="BE280:BG280"/>
    <mergeCell ref="V294:V295"/>
    <mergeCell ref="Z294:Z295"/>
    <mergeCell ref="Y267:AA267"/>
    <mergeCell ref="AC267:AE267"/>
    <mergeCell ref="AG267:AI267"/>
    <mergeCell ref="R294:R295"/>
    <mergeCell ref="AW280:AY280"/>
    <mergeCell ref="Q335:S335"/>
    <mergeCell ref="U335:W335"/>
    <mergeCell ref="Y335:AA335"/>
    <mergeCell ref="J322:J323"/>
    <mergeCell ref="N322:N323"/>
    <mergeCell ref="R322:R323"/>
    <mergeCell ref="V322:V323"/>
    <mergeCell ref="Z322:Z323"/>
    <mergeCell ref="AD322:AD323"/>
    <mergeCell ref="F307:F309"/>
    <mergeCell ref="G307:G309"/>
    <mergeCell ref="E321:E323"/>
    <mergeCell ref="F321:F323"/>
    <mergeCell ref="G321:G323"/>
    <mergeCell ref="AH322:AH323"/>
    <mergeCell ref="AL322:AL323"/>
    <mergeCell ref="BA321:BC321"/>
    <mergeCell ref="BB322:BB323"/>
    <mergeCell ref="AX308:AX309"/>
    <mergeCell ref="AC335:AE335"/>
    <mergeCell ref="AG335:AI335"/>
    <mergeCell ref="AK335:AM335"/>
    <mergeCell ref="AS321:AU321"/>
    <mergeCell ref="AW307:AY307"/>
    <mergeCell ref="AP322:AP323"/>
    <mergeCell ref="AS307:AU307"/>
    <mergeCell ref="B319:J319"/>
    <mergeCell ref="Y307:AA307"/>
    <mergeCell ref="AC307:AE307"/>
    <mergeCell ref="AG307:AI307"/>
    <mergeCell ref="AK307:AM307"/>
    <mergeCell ref="AT308:AT309"/>
    <mergeCell ref="M349:O349"/>
    <mergeCell ref="Q349:S349"/>
    <mergeCell ref="J336:J337"/>
    <mergeCell ref="N336:N337"/>
    <mergeCell ref="R336:R337"/>
    <mergeCell ref="V336:V337"/>
    <mergeCell ref="Z336:Z337"/>
    <mergeCell ref="R254:R255"/>
    <mergeCell ref="V254:V255"/>
    <mergeCell ref="Z254:Z255"/>
    <mergeCell ref="AD254:AD255"/>
    <mergeCell ref="AH254:AH255"/>
    <mergeCell ref="F349:F351"/>
    <mergeCell ref="G349:G351"/>
    <mergeCell ref="AK293:AM293"/>
    <mergeCell ref="AO293:AQ293"/>
    <mergeCell ref="B345:G345"/>
    <mergeCell ref="I335:K335"/>
    <mergeCell ref="AO335:AQ335"/>
    <mergeCell ref="V350:V351"/>
    <mergeCell ref="R350:R351"/>
    <mergeCell ref="M280:O280"/>
    <mergeCell ref="Q280:S280"/>
    <mergeCell ref="U280:W280"/>
    <mergeCell ref="B263:G263"/>
    <mergeCell ref="B280:B281"/>
    <mergeCell ref="C280:C281"/>
    <mergeCell ref="B289:G289"/>
    <mergeCell ref="B293:B295"/>
    <mergeCell ref="C293:C295"/>
    <mergeCell ref="AO307:AQ307"/>
    <mergeCell ref="M335:O335"/>
    <mergeCell ref="Q363:S363"/>
    <mergeCell ref="BB336:BB337"/>
    <mergeCell ref="BF336:BF337"/>
    <mergeCell ref="AH336:AH337"/>
    <mergeCell ref="AL336:AL337"/>
    <mergeCell ref="AP336:AP337"/>
    <mergeCell ref="AT336:AT337"/>
    <mergeCell ref="AX336:AX337"/>
    <mergeCell ref="AW349:AY349"/>
    <mergeCell ref="BA349:BC349"/>
    <mergeCell ref="AX350:AX351"/>
    <mergeCell ref="BB350:BB351"/>
    <mergeCell ref="Z350:Z351"/>
    <mergeCell ref="AD350:AD351"/>
    <mergeCell ref="AH350:AH351"/>
    <mergeCell ref="AL350:AL351"/>
    <mergeCell ref="AP350:AP351"/>
    <mergeCell ref="AD336:AD337"/>
    <mergeCell ref="BE349:BG349"/>
    <mergeCell ref="Y349:AA349"/>
    <mergeCell ref="AT350:AT351"/>
    <mergeCell ref="BF350:BF351"/>
    <mergeCell ref="AC349:AE349"/>
    <mergeCell ref="AG349:AI349"/>
    <mergeCell ref="AK349:AM349"/>
    <mergeCell ref="AO349:AQ349"/>
    <mergeCell ref="AS349:AU349"/>
    <mergeCell ref="BE363:BG363"/>
    <mergeCell ref="AW363:AY363"/>
    <mergeCell ref="BA363:BC363"/>
    <mergeCell ref="U363:W363"/>
    <mergeCell ref="Y406:AA406"/>
    <mergeCell ref="AC406:AE406"/>
    <mergeCell ref="Q407:Q408"/>
    <mergeCell ref="U349:W349"/>
    <mergeCell ref="C392:C394"/>
    <mergeCell ref="B402:G402"/>
    <mergeCell ref="E392:E394"/>
    <mergeCell ref="F392:F394"/>
    <mergeCell ref="G392:G394"/>
    <mergeCell ref="I393:I394"/>
    <mergeCell ref="J393:J394"/>
    <mergeCell ref="D392:D394"/>
    <mergeCell ref="N393:N394"/>
    <mergeCell ref="Q393:Q394"/>
    <mergeCell ref="R393:R394"/>
    <mergeCell ref="U393:U394"/>
    <mergeCell ref="V393:V394"/>
    <mergeCell ref="I392:K392"/>
    <mergeCell ref="M392:O392"/>
    <mergeCell ref="E376:E378"/>
    <mergeCell ref="F376:G378"/>
    <mergeCell ref="F380:G380"/>
    <mergeCell ref="B388:J388"/>
    <mergeCell ref="B390:J390"/>
    <mergeCell ref="D363:D364"/>
    <mergeCell ref="E363:E364"/>
    <mergeCell ref="F363:F364"/>
    <mergeCell ref="G363:G364"/>
    <mergeCell ref="I363:K363"/>
    <mergeCell ref="B386:G386"/>
    <mergeCell ref="F381:G381"/>
    <mergeCell ref="F382:G382"/>
    <mergeCell ref="AD377:AD378"/>
    <mergeCell ref="AH377:AH378"/>
    <mergeCell ref="AL377:AL378"/>
    <mergeCell ref="Z377:Z378"/>
    <mergeCell ref="AO407:AO408"/>
    <mergeCell ref="B416:G416"/>
    <mergeCell ref="B420:B422"/>
    <mergeCell ref="C420:C422"/>
    <mergeCell ref="Y393:Y394"/>
    <mergeCell ref="Z393:Z394"/>
    <mergeCell ref="AC393:AC394"/>
    <mergeCell ref="AD393:AD394"/>
    <mergeCell ref="AP377:AP378"/>
    <mergeCell ref="AW393:AW394"/>
    <mergeCell ref="AX393:AX394"/>
    <mergeCell ref="BA393:BA394"/>
    <mergeCell ref="BB393:BB394"/>
    <mergeCell ref="J407:J408"/>
    <mergeCell ref="M407:M408"/>
    <mergeCell ref="N407:N408"/>
    <mergeCell ref="AK420:AM420"/>
    <mergeCell ref="AO420:AQ420"/>
    <mergeCell ref="M421:M422"/>
    <mergeCell ref="N421:N422"/>
    <mergeCell ref="AC407:AC408"/>
    <mergeCell ref="AD407:AD408"/>
    <mergeCell ref="E406:E408"/>
    <mergeCell ref="F406:F408"/>
    <mergeCell ref="I406:K406"/>
    <mergeCell ref="M406:O406"/>
    <mergeCell ref="Q406:S406"/>
    <mergeCell ref="U406:W406"/>
    <mergeCell ref="Y434:AA434"/>
    <mergeCell ref="AC434:AE434"/>
    <mergeCell ref="AG434:AI434"/>
    <mergeCell ref="AK434:AM434"/>
    <mergeCell ref="AO434:AQ434"/>
    <mergeCell ref="AS434:AU434"/>
    <mergeCell ref="U407:U408"/>
    <mergeCell ref="V407:V408"/>
    <mergeCell ref="Y407:Y408"/>
    <mergeCell ref="Z407:Z408"/>
    <mergeCell ref="AT407:AT408"/>
    <mergeCell ref="AP407:AP408"/>
    <mergeCell ref="AS407:AS408"/>
    <mergeCell ref="I407:I408"/>
    <mergeCell ref="Q421:Q422"/>
    <mergeCell ref="R421:R422"/>
    <mergeCell ref="U421:U422"/>
    <mergeCell ref="V421:V422"/>
    <mergeCell ref="Y421:Y422"/>
    <mergeCell ref="Z421:Z422"/>
    <mergeCell ref="AC421:AC422"/>
    <mergeCell ref="AD421:AD422"/>
    <mergeCell ref="M420:O420"/>
    <mergeCell ref="BF393:BF394"/>
    <mergeCell ref="BF407:BF408"/>
    <mergeCell ref="BE406:BG406"/>
    <mergeCell ref="AG406:AI406"/>
    <mergeCell ref="AK406:AM406"/>
    <mergeCell ref="AO406:AQ406"/>
    <mergeCell ref="AS406:AU406"/>
    <mergeCell ref="AW406:AY406"/>
    <mergeCell ref="BA406:BC406"/>
    <mergeCell ref="AT421:AT422"/>
    <mergeCell ref="AW421:AW422"/>
    <mergeCell ref="AP393:AP394"/>
    <mergeCell ref="AS393:AS394"/>
    <mergeCell ref="AT393:AT394"/>
    <mergeCell ref="AG407:AG408"/>
    <mergeCell ref="AH407:AH408"/>
    <mergeCell ref="AK407:AK408"/>
    <mergeCell ref="AL407:AL408"/>
    <mergeCell ref="AW407:AW408"/>
    <mergeCell ref="AX407:AX408"/>
    <mergeCell ref="BA407:BA408"/>
    <mergeCell ref="BB407:BB408"/>
    <mergeCell ref="AS420:AU420"/>
    <mergeCell ref="AG393:AG394"/>
    <mergeCell ref="AH393:AH394"/>
    <mergeCell ref="AK393:AK394"/>
    <mergeCell ref="AL393:AL394"/>
    <mergeCell ref="BE407:BE408"/>
    <mergeCell ref="AO393:AO394"/>
    <mergeCell ref="BE393:BE394"/>
    <mergeCell ref="BA434:BC434"/>
    <mergeCell ref="BE434:BG434"/>
    <mergeCell ref="Q420:S420"/>
    <mergeCell ref="U420:W420"/>
    <mergeCell ref="Y420:AA420"/>
    <mergeCell ref="AC420:AE420"/>
    <mergeCell ref="BE435:BE436"/>
    <mergeCell ref="BF435:BF436"/>
    <mergeCell ref="AG421:AG422"/>
    <mergeCell ref="AH421:AH422"/>
    <mergeCell ref="BE421:BE422"/>
    <mergeCell ref="BF421:BF422"/>
    <mergeCell ref="AW420:AY420"/>
    <mergeCell ref="AP421:AP422"/>
    <mergeCell ref="AS421:AS422"/>
    <mergeCell ref="AG435:AG436"/>
    <mergeCell ref="AH435:AH436"/>
    <mergeCell ref="AK435:AK436"/>
    <mergeCell ref="AL435:AL436"/>
    <mergeCell ref="AO435:AO436"/>
    <mergeCell ref="BA420:BC420"/>
    <mergeCell ref="AG420:AI420"/>
    <mergeCell ref="AO421:AO422"/>
    <mergeCell ref="AK421:AK422"/>
    <mergeCell ref="AL421:AL422"/>
    <mergeCell ref="AW434:AY434"/>
    <mergeCell ref="BE420:BG420"/>
    <mergeCell ref="AD435:AD436"/>
    <mergeCell ref="AW435:AW436"/>
    <mergeCell ref="AX435:AX436"/>
    <mergeCell ref="BA435:BA436"/>
    <mergeCell ref="BB435:BB436"/>
    <mergeCell ref="AC449:AC450"/>
    <mergeCell ref="AD449:AD450"/>
    <mergeCell ref="AG449:AG450"/>
    <mergeCell ref="AH449:AH450"/>
    <mergeCell ref="AK449:AK450"/>
    <mergeCell ref="AL449:AL450"/>
    <mergeCell ref="AO449:AO450"/>
    <mergeCell ref="AP435:AP436"/>
    <mergeCell ref="AS435:AS436"/>
    <mergeCell ref="AS448:AU448"/>
    <mergeCell ref="AT435:AT436"/>
    <mergeCell ref="M435:M436"/>
    <mergeCell ref="N435:N436"/>
    <mergeCell ref="AL463:AL464"/>
    <mergeCell ref="AO463:AO464"/>
    <mergeCell ref="AC463:AC464"/>
    <mergeCell ref="AD463:AD464"/>
    <mergeCell ref="AG463:AG464"/>
    <mergeCell ref="AH463:AH464"/>
    <mergeCell ref="AK463:AK464"/>
    <mergeCell ref="AC435:AC436"/>
    <mergeCell ref="U449:U450"/>
    <mergeCell ref="C691:D691"/>
    <mergeCell ref="C619:D619"/>
    <mergeCell ref="C620:D620"/>
    <mergeCell ref="C621:D621"/>
    <mergeCell ref="C622:D622"/>
    <mergeCell ref="C623:D623"/>
    <mergeCell ref="C624:D624"/>
    <mergeCell ref="C626:D626"/>
    <mergeCell ref="B890:D890"/>
    <mergeCell ref="C757:D757"/>
    <mergeCell ref="C758:D758"/>
    <mergeCell ref="B760:J760"/>
    <mergeCell ref="C611:D611"/>
    <mergeCell ref="C612:D612"/>
    <mergeCell ref="V449:V450"/>
    <mergeCell ref="Y449:Y450"/>
    <mergeCell ref="Z449:Z450"/>
    <mergeCell ref="C550:D550"/>
    <mergeCell ref="C551:D551"/>
    <mergeCell ref="C552:D552"/>
    <mergeCell ref="C553:D553"/>
    <mergeCell ref="C554:D554"/>
    <mergeCell ref="C555:D555"/>
    <mergeCell ref="C556:D556"/>
    <mergeCell ref="B558:J558"/>
    <mergeCell ref="C576:D576"/>
    <mergeCell ref="C543:D543"/>
    <mergeCell ref="C544:D544"/>
    <mergeCell ref="C546:D546"/>
    <mergeCell ref="C547:D547"/>
    <mergeCell ref="C571:D571"/>
    <mergeCell ref="C572:D572"/>
    <mergeCell ref="B900:D900"/>
    <mergeCell ref="B902:D902"/>
    <mergeCell ref="B903:D903"/>
    <mergeCell ref="B906:D906"/>
    <mergeCell ref="B907:D907"/>
    <mergeCell ref="B908:D908"/>
    <mergeCell ref="B911:D911"/>
    <mergeCell ref="B914:D914"/>
    <mergeCell ref="B912:D912"/>
    <mergeCell ref="C692:D692"/>
    <mergeCell ref="C693:D693"/>
    <mergeCell ref="C688:D688"/>
    <mergeCell ref="C689:D689"/>
    <mergeCell ref="C694:D694"/>
    <mergeCell ref="C695:D695"/>
    <mergeCell ref="B896:D896"/>
    <mergeCell ref="B899:D899"/>
    <mergeCell ref="C743:D743"/>
    <mergeCell ref="C744:D744"/>
    <mergeCell ref="C745:D745"/>
    <mergeCell ref="C746:D746"/>
    <mergeCell ref="C748:D748"/>
    <mergeCell ref="C749:D749"/>
    <mergeCell ref="C750:D750"/>
    <mergeCell ref="C751:D751"/>
    <mergeCell ref="C752:D752"/>
    <mergeCell ref="C753:D753"/>
    <mergeCell ref="C754:D754"/>
    <mergeCell ref="B892:D892"/>
    <mergeCell ref="B895:D895"/>
    <mergeCell ref="B880:J880"/>
    <mergeCell ref="C690:D690"/>
    <mergeCell ref="B986:J986"/>
    <mergeCell ref="B951:D951"/>
    <mergeCell ref="B952:D952"/>
    <mergeCell ref="B953:D953"/>
    <mergeCell ref="B954:D954"/>
    <mergeCell ref="B955:D955"/>
    <mergeCell ref="B956:D956"/>
    <mergeCell ref="B958:E958"/>
    <mergeCell ref="B959:E959"/>
    <mergeCell ref="B971:D971"/>
    <mergeCell ref="B972:D972"/>
    <mergeCell ref="B973:D973"/>
    <mergeCell ref="B974:D974"/>
    <mergeCell ref="B975:D975"/>
    <mergeCell ref="B976:D976"/>
    <mergeCell ref="B978:E978"/>
    <mergeCell ref="B979:E979"/>
    <mergeCell ref="B961:D961"/>
    <mergeCell ref="B963:D963"/>
    <mergeCell ref="B964:D964"/>
    <mergeCell ref="B965:D965"/>
    <mergeCell ref="B966:D966"/>
    <mergeCell ref="B967:D967"/>
    <mergeCell ref="B981:D981"/>
    <mergeCell ref="B982:D982"/>
    <mergeCell ref="B983:D983"/>
    <mergeCell ref="B984:D984"/>
    <mergeCell ref="B969:J969"/>
    <mergeCell ref="G938:K938"/>
    <mergeCell ref="F213:G213"/>
    <mergeCell ref="F214:G214"/>
    <mergeCell ref="F215:G215"/>
    <mergeCell ref="F216:G216"/>
    <mergeCell ref="F217:G217"/>
    <mergeCell ref="D462:D464"/>
    <mergeCell ref="B474:J474"/>
    <mergeCell ref="D376:D378"/>
    <mergeCell ref="D420:D422"/>
    <mergeCell ref="D434:D436"/>
    <mergeCell ref="E434:E436"/>
    <mergeCell ref="F434:F436"/>
    <mergeCell ref="G434:G436"/>
    <mergeCell ref="B392:B394"/>
    <mergeCell ref="B598:J598"/>
    <mergeCell ref="B434:B436"/>
    <mergeCell ref="C629:D629"/>
    <mergeCell ref="B448:B450"/>
    <mergeCell ref="D406:D408"/>
    <mergeCell ref="B432:J432"/>
    <mergeCell ref="B446:J446"/>
    <mergeCell ref="B444:G444"/>
    <mergeCell ref="E448:E450"/>
    <mergeCell ref="I435:I436"/>
    <mergeCell ref="J435:J436"/>
    <mergeCell ref="I420:K420"/>
    <mergeCell ref="I449:I450"/>
    <mergeCell ref="J449:J450"/>
    <mergeCell ref="C627:D627"/>
    <mergeCell ref="C628:D628"/>
    <mergeCell ref="F383:G383"/>
    <mergeCell ref="B600:C600"/>
    <mergeCell ref="B962:D962"/>
    <mergeCell ref="C630:D630"/>
    <mergeCell ref="C631:D631"/>
    <mergeCell ref="C652:D652"/>
    <mergeCell ref="C653:D653"/>
    <mergeCell ref="C654:D654"/>
    <mergeCell ref="C655:D655"/>
    <mergeCell ref="C656:D656"/>
    <mergeCell ref="C646:D646"/>
    <mergeCell ref="C647:D647"/>
    <mergeCell ref="C648:D648"/>
    <mergeCell ref="C649:D649"/>
    <mergeCell ref="C650:D650"/>
    <mergeCell ref="C651:D651"/>
    <mergeCell ref="B913:D913"/>
    <mergeCell ref="B915:D915"/>
    <mergeCell ref="C602:D602"/>
    <mergeCell ref="C603:D603"/>
    <mergeCell ref="C604:D604"/>
    <mergeCell ref="C605:D605"/>
    <mergeCell ref="C606:D606"/>
    <mergeCell ref="C607:D607"/>
    <mergeCell ref="C608:D608"/>
    <mergeCell ref="C609:D609"/>
    <mergeCell ref="C610:D610"/>
    <mergeCell ref="B945:D945"/>
    <mergeCell ref="B678:J678"/>
    <mergeCell ref="B680:C680"/>
    <mergeCell ref="C682:D682"/>
    <mergeCell ref="C683:D683"/>
    <mergeCell ref="C684:D684"/>
    <mergeCell ref="G934:Q934"/>
    <mergeCell ref="B947:J947"/>
    <mergeCell ref="B949:J949"/>
    <mergeCell ref="C434:C436"/>
    <mergeCell ref="G406:G408"/>
    <mergeCell ref="E420:E422"/>
    <mergeCell ref="F420:F422"/>
    <mergeCell ref="C482:D482"/>
    <mergeCell ref="C499:D499"/>
    <mergeCell ref="B480:C480"/>
    <mergeCell ref="B520:C520"/>
    <mergeCell ref="C522:D522"/>
    <mergeCell ref="C523:D523"/>
    <mergeCell ref="C524:D524"/>
    <mergeCell ref="C525:D525"/>
    <mergeCell ref="C526:D526"/>
    <mergeCell ref="C527:D527"/>
    <mergeCell ref="C528:D528"/>
    <mergeCell ref="C530:D530"/>
    <mergeCell ref="B406:B408"/>
    <mergeCell ref="C406:C408"/>
    <mergeCell ref="B460:J460"/>
    <mergeCell ref="D448:D450"/>
    <mergeCell ref="I434:K434"/>
    <mergeCell ref="B430:G430"/>
    <mergeCell ref="B462:B464"/>
    <mergeCell ref="C462:C464"/>
    <mergeCell ref="B472:G472"/>
    <mergeCell ref="C516:D516"/>
    <mergeCell ref="C507:D507"/>
    <mergeCell ref="B518:J518"/>
    <mergeCell ref="C529:D529"/>
    <mergeCell ref="G908:K908"/>
    <mergeCell ref="C715:D715"/>
    <mergeCell ref="C716:D716"/>
    <mergeCell ref="B476:J476"/>
    <mergeCell ref="B718:J718"/>
    <mergeCell ref="C696:D696"/>
    <mergeCell ref="C697:D697"/>
    <mergeCell ref="C699:D699"/>
    <mergeCell ref="C700:D700"/>
    <mergeCell ref="C701:D701"/>
    <mergeCell ref="C702:D702"/>
    <mergeCell ref="C703:D703"/>
    <mergeCell ref="C704:D704"/>
    <mergeCell ref="C706:D706"/>
    <mergeCell ref="C707:D707"/>
    <mergeCell ref="C708:D708"/>
    <mergeCell ref="C709:D709"/>
    <mergeCell ref="C710:D710"/>
    <mergeCell ref="C711:D711"/>
    <mergeCell ref="C712:D712"/>
    <mergeCell ref="C713:D713"/>
    <mergeCell ref="C714:D714"/>
    <mergeCell ref="C632:D632"/>
    <mergeCell ref="C633:D633"/>
    <mergeCell ref="C634:D634"/>
    <mergeCell ref="C635:D635"/>
    <mergeCell ref="C613:D613"/>
    <mergeCell ref="C614:D614"/>
    <mergeCell ref="C615:D615"/>
    <mergeCell ref="C616:D616"/>
    <mergeCell ref="C617:D617"/>
    <mergeCell ref="C676:D676"/>
    <mergeCell ref="C685:D685"/>
    <mergeCell ref="C686:D686"/>
    <mergeCell ref="C687:D687"/>
    <mergeCell ref="C667:D667"/>
    <mergeCell ref="C668:D668"/>
    <mergeCell ref="C669:D669"/>
    <mergeCell ref="C670:D670"/>
    <mergeCell ref="C671:D671"/>
    <mergeCell ref="C672:D672"/>
    <mergeCell ref="C673:D673"/>
    <mergeCell ref="C674:D674"/>
    <mergeCell ref="C675:D675"/>
    <mergeCell ref="C636:D636"/>
    <mergeCell ref="B638:J638"/>
    <mergeCell ref="B640:C640"/>
    <mergeCell ref="C642:D642"/>
    <mergeCell ref="C643:D643"/>
    <mergeCell ref="C644:D644"/>
    <mergeCell ref="C645:D645"/>
  </mergeCells>
  <conditionalFormatting sqref="J23:J30 N23:N30 R23:R30 V23:V30 Z23:Z30 AD23:AD30 AH23:AH30 AL23:AL30 AP23:AP30 AT23:AT30 AX23:AX30 BB23:BB30">
    <cfRule type="cellIs" dxfId="407" priority="528" operator="between">
      <formula>0.000001</formula>
      <formula>0.04999999</formula>
    </cfRule>
    <cfRule type="cellIs" dxfId="406" priority="531" operator="greaterThan">
      <formula>0.05</formula>
    </cfRule>
  </conditionalFormatting>
  <conditionalFormatting sqref="J37:J44 N37:N44 R37:R44 V37:V44 Z37:Z44 AD37:AD44 AH37:AH44 AL37:AL44 AP37:AP44 AT37:AT44 AX37:AX44 BB37:BB44">
    <cfRule type="cellIs" dxfId="405" priority="526" operator="between">
      <formula>0.000001</formula>
      <formula>0.18999999</formula>
    </cfRule>
    <cfRule type="cellIs" dxfId="404" priority="527" operator="greaterThan">
      <formula>0.19</formula>
    </cfRule>
  </conditionalFormatting>
  <conditionalFormatting sqref="G915:I915 E915">
    <cfRule type="containsText" dxfId="403" priority="411" operator="containsText" text="Digite">
      <formula>NOT(ISERROR(SEARCH("Digite",E915)))</formula>
    </cfRule>
  </conditionalFormatting>
  <conditionalFormatting sqref="G958">
    <cfRule type="containsText" dxfId="402" priority="408" operator="containsText" text="Ok">
      <formula>NOT(ISERROR(SEARCH("Ok",G958)))</formula>
    </cfRule>
    <cfRule type="containsText" dxfId="401" priority="410" operator="containsText" text="Revise">
      <formula>NOT(ISERROR(SEARCH("Revise",G958)))</formula>
    </cfRule>
  </conditionalFormatting>
  <conditionalFormatting sqref="G959">
    <cfRule type="containsText" dxfId="400" priority="407" operator="containsText" text="Ok">
      <formula>NOT(ISERROR(SEARCH("Ok",G959)))</formula>
    </cfRule>
    <cfRule type="containsText" dxfId="399" priority="409" operator="containsText" text="Revise">
      <formula>NOT(ISERROR(SEARCH("Revise",G959)))</formula>
    </cfRule>
  </conditionalFormatting>
  <conditionalFormatting sqref="I958">
    <cfRule type="containsText" dxfId="398" priority="404" operator="containsText" text="Ok">
      <formula>NOT(ISERROR(SEARCH("Ok",I958)))</formula>
    </cfRule>
    <cfRule type="containsText" dxfId="397" priority="406" operator="containsText" text="Revise">
      <formula>NOT(ISERROR(SEARCH("Revise",I958)))</formula>
    </cfRule>
  </conditionalFormatting>
  <conditionalFormatting sqref="I959">
    <cfRule type="containsText" dxfId="396" priority="403" operator="containsText" text="Ok">
      <formula>NOT(ISERROR(SEARCH("Ok",I959)))</formula>
    </cfRule>
    <cfRule type="containsText" dxfId="395" priority="405" operator="containsText" text="Revise">
      <formula>NOT(ISERROR(SEARCH("Revise",I959)))</formula>
    </cfRule>
  </conditionalFormatting>
  <conditionalFormatting sqref="K958">
    <cfRule type="containsText" dxfId="394" priority="400" operator="containsText" text="Ok">
      <formula>NOT(ISERROR(SEARCH("Ok",K958)))</formula>
    </cfRule>
    <cfRule type="containsText" dxfId="393" priority="402" operator="containsText" text="Revise">
      <formula>NOT(ISERROR(SEARCH("Revise",K958)))</formula>
    </cfRule>
  </conditionalFormatting>
  <conditionalFormatting sqref="K959">
    <cfRule type="containsText" dxfId="392" priority="399" operator="containsText" text="Ok">
      <formula>NOT(ISERROR(SEARCH("Ok",K959)))</formula>
    </cfRule>
    <cfRule type="containsText" dxfId="391" priority="401" operator="containsText" text="Revise">
      <formula>NOT(ISERROR(SEARCH("Revise",K959)))</formula>
    </cfRule>
  </conditionalFormatting>
  <conditionalFormatting sqref="M958">
    <cfRule type="containsText" dxfId="390" priority="396" operator="containsText" text="Ok">
      <formula>NOT(ISERROR(SEARCH("Ok",M958)))</formula>
    </cfRule>
    <cfRule type="containsText" dxfId="389" priority="398" operator="containsText" text="Revise">
      <formula>NOT(ISERROR(SEARCH("Revise",M958)))</formula>
    </cfRule>
  </conditionalFormatting>
  <conditionalFormatting sqref="M959">
    <cfRule type="containsText" dxfId="388" priority="395" operator="containsText" text="Ok">
      <formula>NOT(ISERROR(SEARCH("Ok",M959)))</formula>
    </cfRule>
    <cfRule type="containsText" dxfId="387" priority="397" operator="containsText" text="Revise">
      <formula>NOT(ISERROR(SEARCH("Revise",M959)))</formula>
    </cfRule>
  </conditionalFormatting>
  <conditionalFormatting sqref="O958">
    <cfRule type="containsText" dxfId="386" priority="392" operator="containsText" text="Ok">
      <formula>NOT(ISERROR(SEARCH("Ok",O958)))</formula>
    </cfRule>
    <cfRule type="containsText" dxfId="385" priority="394" operator="containsText" text="Revise">
      <formula>NOT(ISERROR(SEARCH("Revise",O958)))</formula>
    </cfRule>
  </conditionalFormatting>
  <conditionalFormatting sqref="O959">
    <cfRule type="containsText" dxfId="384" priority="391" operator="containsText" text="Ok">
      <formula>NOT(ISERROR(SEARCH("Ok",O959)))</formula>
    </cfRule>
    <cfRule type="containsText" dxfId="383" priority="393" operator="containsText" text="Revise">
      <formula>NOT(ISERROR(SEARCH("Revise",O959)))</formula>
    </cfRule>
  </conditionalFormatting>
  <conditionalFormatting sqref="Q958">
    <cfRule type="containsText" dxfId="382" priority="388" operator="containsText" text="Ok">
      <formula>NOT(ISERROR(SEARCH("Ok",Q958)))</formula>
    </cfRule>
    <cfRule type="containsText" dxfId="381" priority="390" operator="containsText" text="Revise">
      <formula>NOT(ISERROR(SEARCH("Revise",Q958)))</formula>
    </cfRule>
  </conditionalFormatting>
  <conditionalFormatting sqref="Q959">
    <cfRule type="containsText" dxfId="380" priority="387" operator="containsText" text="Ok">
      <formula>NOT(ISERROR(SEARCH("Ok",Q959)))</formula>
    </cfRule>
    <cfRule type="containsText" dxfId="379" priority="389" operator="containsText" text="Revise">
      <formula>NOT(ISERROR(SEARCH("Revise",Q959)))</formula>
    </cfRule>
  </conditionalFormatting>
  <conditionalFormatting sqref="G978">
    <cfRule type="containsText" dxfId="378" priority="384" operator="containsText" text="Ok">
      <formula>NOT(ISERROR(SEARCH("Ok",G978)))</formula>
    </cfRule>
    <cfRule type="containsText" dxfId="377" priority="386" operator="containsText" text="Revise">
      <formula>NOT(ISERROR(SEARCH("Revise",G978)))</formula>
    </cfRule>
  </conditionalFormatting>
  <conditionalFormatting sqref="G979 G981:G984">
    <cfRule type="containsText" dxfId="376" priority="383" operator="containsText" text="Ok">
      <formula>NOT(ISERROR(SEARCH("Ok",G979)))</formula>
    </cfRule>
    <cfRule type="containsText" dxfId="375" priority="385" operator="containsText" text="Revise">
      <formula>NOT(ISERROR(SEARCH("Revise",G979)))</formula>
    </cfRule>
  </conditionalFormatting>
  <conditionalFormatting sqref="I978">
    <cfRule type="containsText" dxfId="374" priority="380" operator="containsText" text="Ok">
      <formula>NOT(ISERROR(SEARCH("Ok",I978)))</formula>
    </cfRule>
    <cfRule type="containsText" dxfId="373" priority="382" operator="containsText" text="Revise">
      <formula>NOT(ISERROR(SEARCH("Revise",I978)))</formula>
    </cfRule>
  </conditionalFormatting>
  <conditionalFormatting sqref="I979 I981:I984">
    <cfRule type="containsText" dxfId="372" priority="379" operator="containsText" text="Ok">
      <formula>NOT(ISERROR(SEARCH("Ok",I979)))</formula>
    </cfRule>
    <cfRule type="containsText" dxfId="371" priority="381" operator="containsText" text="Revise">
      <formula>NOT(ISERROR(SEARCH("Revise",I979)))</formula>
    </cfRule>
  </conditionalFormatting>
  <conditionalFormatting sqref="K978">
    <cfRule type="containsText" dxfId="370" priority="376" operator="containsText" text="Ok">
      <formula>NOT(ISERROR(SEARCH("Ok",K978)))</formula>
    </cfRule>
    <cfRule type="containsText" dxfId="369" priority="378" operator="containsText" text="Revise">
      <formula>NOT(ISERROR(SEARCH("Revise",K978)))</formula>
    </cfRule>
  </conditionalFormatting>
  <conditionalFormatting sqref="K979 K981:K984">
    <cfRule type="containsText" dxfId="368" priority="375" operator="containsText" text="Ok">
      <formula>NOT(ISERROR(SEARCH("Ok",K979)))</formula>
    </cfRule>
    <cfRule type="containsText" dxfId="367" priority="377" operator="containsText" text="Revise">
      <formula>NOT(ISERROR(SEARCH("Revise",K979)))</formula>
    </cfRule>
  </conditionalFormatting>
  <conditionalFormatting sqref="M981:M984">
    <cfRule type="containsText" dxfId="366" priority="371" operator="containsText" text="Ok">
      <formula>NOT(ISERROR(SEARCH("Ok",M981)))</formula>
    </cfRule>
    <cfRule type="containsText" dxfId="365" priority="373" operator="containsText" text="Revise">
      <formula>NOT(ISERROR(SEARCH("Revise",M981)))</formula>
    </cfRule>
  </conditionalFormatting>
  <conditionalFormatting sqref="G995">
    <cfRule type="containsText" dxfId="364" priority="360" operator="containsText" text="Ok">
      <formula>NOT(ISERROR(SEARCH("Ok",G995)))</formula>
    </cfRule>
    <cfRule type="containsText" dxfId="363" priority="362" operator="containsText" text="Revise">
      <formula>NOT(ISERROR(SEARCH("Revise",G995)))</formula>
    </cfRule>
  </conditionalFormatting>
  <conditionalFormatting sqref="G996">
    <cfRule type="containsText" dxfId="362" priority="359" operator="containsText" text="Ok">
      <formula>NOT(ISERROR(SEARCH("Ok",G996)))</formula>
    </cfRule>
    <cfRule type="containsText" dxfId="361" priority="361" operator="containsText" text="Revise">
      <formula>NOT(ISERROR(SEARCH("Revise",G996)))</formula>
    </cfRule>
  </conditionalFormatting>
  <conditionalFormatting sqref="M995">
    <cfRule type="containsText" dxfId="360" priority="356" operator="containsText" text="Ok">
      <formula>NOT(ISERROR(SEARCH("Ok",M995)))</formula>
    </cfRule>
    <cfRule type="containsText" dxfId="359" priority="358" operator="containsText" text="Revise">
      <formula>NOT(ISERROR(SEARCH("Revise",M995)))</formula>
    </cfRule>
  </conditionalFormatting>
  <conditionalFormatting sqref="M996">
    <cfRule type="containsText" dxfId="358" priority="355" operator="containsText" text="Ok">
      <formula>NOT(ISERROR(SEARCH("Ok",M996)))</formula>
    </cfRule>
    <cfRule type="containsText" dxfId="357" priority="357" operator="containsText" text="Revise">
      <formula>NOT(ISERROR(SEARCH("Revise",M996)))</formula>
    </cfRule>
  </conditionalFormatting>
  <conditionalFormatting sqref="O995">
    <cfRule type="containsText" dxfId="356" priority="352" operator="containsText" text="Ok">
      <formula>NOT(ISERROR(SEARCH("Ok",O995)))</formula>
    </cfRule>
    <cfRule type="containsText" dxfId="355" priority="354" operator="containsText" text="Revise">
      <formula>NOT(ISERROR(SEARCH("Revise",O995)))</formula>
    </cfRule>
  </conditionalFormatting>
  <conditionalFormatting sqref="O996">
    <cfRule type="containsText" dxfId="354" priority="351" operator="containsText" text="Ok">
      <formula>NOT(ISERROR(SEARCH("Ok",O996)))</formula>
    </cfRule>
    <cfRule type="containsText" dxfId="353" priority="353" operator="containsText" text="Revise">
      <formula>NOT(ISERROR(SEARCH("Revise",O996)))</formula>
    </cfRule>
  </conditionalFormatting>
  <conditionalFormatting sqref="Q995">
    <cfRule type="containsText" dxfId="352" priority="348" operator="containsText" text="Ok">
      <formula>NOT(ISERROR(SEARCH("Ok",Q995)))</formula>
    </cfRule>
    <cfRule type="containsText" dxfId="351" priority="350" operator="containsText" text="Revise">
      <formula>NOT(ISERROR(SEARCH("Revise",Q995)))</formula>
    </cfRule>
  </conditionalFormatting>
  <conditionalFormatting sqref="Q996">
    <cfRule type="containsText" dxfId="350" priority="347" operator="containsText" text="Ok">
      <formula>NOT(ISERROR(SEARCH("Ok",Q996)))</formula>
    </cfRule>
    <cfRule type="containsText" dxfId="349" priority="349" operator="containsText" text="Revise">
      <formula>NOT(ISERROR(SEARCH("Revise",Q996)))</formula>
    </cfRule>
  </conditionalFormatting>
  <conditionalFormatting sqref="E1:I1 B1:C1">
    <cfRule type="expression" dxfId="348" priority="540">
      <formula>$B$1=MSG_MACRO</formula>
    </cfRule>
  </conditionalFormatting>
  <conditionalFormatting sqref="F212:G218">
    <cfRule type="containsText" dxfId="347" priority="346" operator="containsText" text="Seleccione">
      <formula>NOT(ISERROR(SEARCH("Seleccione",F212)))</formula>
    </cfRule>
  </conditionalFormatting>
  <conditionalFormatting sqref="F379:G384">
    <cfRule type="containsText" dxfId="346" priority="345" operator="containsText" text="Seleccione">
      <formula>NOT(ISERROR(SEARCH("Seleccione",F379)))</formula>
    </cfRule>
  </conditionalFormatting>
  <conditionalFormatting sqref="G998:G999">
    <cfRule type="containsText" dxfId="345" priority="343" operator="containsText" text="Ok">
      <formula>NOT(ISERROR(SEARCH("Ok",G998)))</formula>
    </cfRule>
    <cfRule type="containsText" dxfId="344" priority="344" operator="containsText" text="Revise">
      <formula>NOT(ISERROR(SEARCH("Revise",G998)))</formula>
    </cfRule>
  </conditionalFormatting>
  <conditionalFormatting sqref="I998:I999">
    <cfRule type="containsText" dxfId="343" priority="341" operator="containsText" text="Ok">
      <formula>NOT(ISERROR(SEARCH("Ok",I998)))</formula>
    </cfRule>
    <cfRule type="containsText" dxfId="342" priority="342" operator="containsText" text="Revise">
      <formula>NOT(ISERROR(SEARCH("Revise",I998)))</formula>
    </cfRule>
  </conditionalFormatting>
  <conditionalFormatting sqref="K998:K999">
    <cfRule type="containsText" dxfId="341" priority="339" operator="containsText" text="Ok">
      <formula>NOT(ISERROR(SEARCH("Ok",K998)))</formula>
    </cfRule>
    <cfRule type="containsText" dxfId="340" priority="340" operator="containsText" text="Revise">
      <formula>NOT(ISERROR(SEARCH("Revise",K998)))</formula>
    </cfRule>
  </conditionalFormatting>
  <conditionalFormatting sqref="M998:M999">
    <cfRule type="containsText" dxfId="339" priority="337" operator="containsText" text="Ok">
      <formula>NOT(ISERROR(SEARCH("Ok",M998)))</formula>
    </cfRule>
    <cfRule type="containsText" dxfId="338" priority="338" operator="containsText" text="Revise">
      <formula>NOT(ISERROR(SEARCH("Revise",M998)))</formula>
    </cfRule>
  </conditionalFormatting>
  <conditionalFormatting sqref="J228:J234">
    <cfRule type="cellIs" dxfId="337" priority="335" operator="between">
      <formula>0.000001</formula>
      <formula>0.04999999</formula>
    </cfRule>
    <cfRule type="cellIs" dxfId="336" priority="336" operator="greaterThan">
      <formula>0.05</formula>
    </cfRule>
  </conditionalFormatting>
  <conditionalFormatting sqref="J242:J248">
    <cfRule type="cellIs" dxfId="335" priority="333" operator="between">
      <formula>0.000001</formula>
      <formula>0.18999999</formula>
    </cfRule>
    <cfRule type="cellIs" dxfId="334" priority="334" operator="greaterThan">
      <formula>0.19</formula>
    </cfRule>
  </conditionalFormatting>
  <conditionalFormatting sqref="J51:J57">
    <cfRule type="cellIs" dxfId="333" priority="331" operator="between">
      <formula>0.000001</formula>
      <formula>0.18999999</formula>
    </cfRule>
    <cfRule type="cellIs" dxfId="332" priority="332" operator="greaterThan">
      <formula>0.19</formula>
    </cfRule>
  </conditionalFormatting>
  <conditionalFormatting sqref="N51:N57">
    <cfRule type="cellIs" dxfId="331" priority="329" operator="between">
      <formula>0.000001</formula>
      <formula>0.18999999</formula>
    </cfRule>
    <cfRule type="cellIs" dxfId="330" priority="330" operator="greaterThan">
      <formula>0.19</formula>
    </cfRule>
  </conditionalFormatting>
  <conditionalFormatting sqref="R51:R57">
    <cfRule type="cellIs" dxfId="329" priority="327" operator="between">
      <formula>0.000001</formula>
      <formula>0.18999999</formula>
    </cfRule>
    <cfRule type="cellIs" dxfId="328" priority="328" operator="greaterThan">
      <formula>0.19</formula>
    </cfRule>
  </conditionalFormatting>
  <conditionalFormatting sqref="V51:V57">
    <cfRule type="cellIs" dxfId="327" priority="325" operator="between">
      <formula>0.000001</formula>
      <formula>0.18999999</formula>
    </cfRule>
    <cfRule type="cellIs" dxfId="326" priority="326" operator="greaterThan">
      <formula>0.19</formula>
    </cfRule>
  </conditionalFormatting>
  <conditionalFormatting sqref="Z51:Z57">
    <cfRule type="cellIs" dxfId="325" priority="323" operator="between">
      <formula>0.000001</formula>
      <formula>0.18999999</formula>
    </cfRule>
    <cfRule type="cellIs" dxfId="324" priority="324" operator="greaterThan">
      <formula>0.19</formula>
    </cfRule>
  </conditionalFormatting>
  <conditionalFormatting sqref="AD51:AD57">
    <cfRule type="cellIs" dxfId="323" priority="321" operator="between">
      <formula>0.000001</formula>
      <formula>0.18999999</formula>
    </cfRule>
    <cfRule type="cellIs" dxfId="322" priority="322" operator="greaterThan">
      <formula>0.19</formula>
    </cfRule>
  </conditionalFormatting>
  <conditionalFormatting sqref="AH51:AH57">
    <cfRule type="cellIs" dxfId="321" priority="319" operator="between">
      <formula>0.000001</formula>
      <formula>0.18999999</formula>
    </cfRule>
    <cfRule type="cellIs" dxfId="320" priority="320" operator="greaterThan">
      <formula>0.19</formula>
    </cfRule>
  </conditionalFormatting>
  <conditionalFormatting sqref="AL51:AL57">
    <cfRule type="cellIs" dxfId="319" priority="317" operator="between">
      <formula>0.000001</formula>
      <formula>0.18999999</formula>
    </cfRule>
    <cfRule type="cellIs" dxfId="318" priority="318" operator="greaterThan">
      <formula>0.19</formula>
    </cfRule>
  </conditionalFormatting>
  <conditionalFormatting sqref="AP51:AP57">
    <cfRule type="cellIs" dxfId="317" priority="315" operator="between">
      <formula>0.000001</formula>
      <formula>0.18999999</formula>
    </cfRule>
    <cfRule type="cellIs" dxfId="316" priority="316" operator="greaterThan">
      <formula>0.19</formula>
    </cfRule>
  </conditionalFormatting>
  <conditionalFormatting sqref="AT51:AT57">
    <cfRule type="cellIs" dxfId="315" priority="313" operator="between">
      <formula>0.000001</formula>
      <formula>0.18999999</formula>
    </cfRule>
    <cfRule type="cellIs" dxfId="314" priority="314" operator="greaterThan">
      <formula>0.19</formula>
    </cfRule>
  </conditionalFormatting>
  <conditionalFormatting sqref="AX51:AX57">
    <cfRule type="cellIs" dxfId="313" priority="311" operator="between">
      <formula>0.000001</formula>
      <formula>0.18999999</formula>
    </cfRule>
    <cfRule type="cellIs" dxfId="312" priority="312" operator="greaterThan">
      <formula>0.19</formula>
    </cfRule>
  </conditionalFormatting>
  <conditionalFormatting sqref="BB51:BB57">
    <cfRule type="cellIs" dxfId="311" priority="309" operator="between">
      <formula>0.000001</formula>
      <formula>0.18999999</formula>
    </cfRule>
    <cfRule type="cellIs" dxfId="310" priority="310" operator="greaterThan">
      <formula>0.19</formula>
    </cfRule>
  </conditionalFormatting>
  <conditionalFormatting sqref="J117:J123">
    <cfRule type="cellIs" dxfId="309" priority="307" operator="between">
      <formula>0.000001</formula>
      <formula>0.18999999</formula>
    </cfRule>
    <cfRule type="cellIs" dxfId="308" priority="308" operator="greaterThan">
      <formula>0.19</formula>
    </cfRule>
  </conditionalFormatting>
  <conditionalFormatting sqref="N117:N123">
    <cfRule type="cellIs" dxfId="307" priority="305" operator="between">
      <formula>0.000001</formula>
      <formula>0.18999999</formula>
    </cfRule>
    <cfRule type="cellIs" dxfId="306" priority="306" operator="greaterThan">
      <formula>0.19</formula>
    </cfRule>
  </conditionalFormatting>
  <conditionalFormatting sqref="R117:R123">
    <cfRule type="cellIs" dxfId="305" priority="303" operator="between">
      <formula>0.000001</formula>
      <formula>0.18999999</formula>
    </cfRule>
    <cfRule type="cellIs" dxfId="304" priority="304" operator="greaterThan">
      <formula>0.19</formula>
    </cfRule>
  </conditionalFormatting>
  <conditionalFormatting sqref="V117:V123">
    <cfRule type="cellIs" dxfId="303" priority="301" operator="between">
      <formula>0.000001</formula>
      <formula>0.18999999</formula>
    </cfRule>
    <cfRule type="cellIs" dxfId="302" priority="302" operator="greaterThan">
      <formula>0.19</formula>
    </cfRule>
  </conditionalFormatting>
  <conditionalFormatting sqref="Z117:Z123">
    <cfRule type="cellIs" dxfId="301" priority="299" operator="between">
      <formula>0.000001</formula>
      <formula>0.18999999</formula>
    </cfRule>
    <cfRule type="cellIs" dxfId="300" priority="300" operator="greaterThan">
      <formula>0.19</formula>
    </cfRule>
  </conditionalFormatting>
  <conditionalFormatting sqref="AD117:AD123">
    <cfRule type="cellIs" dxfId="299" priority="297" operator="between">
      <formula>0.000001</formula>
      <formula>0.18999999</formula>
    </cfRule>
    <cfRule type="cellIs" dxfId="298" priority="298" operator="greaterThan">
      <formula>0.19</formula>
    </cfRule>
  </conditionalFormatting>
  <conditionalFormatting sqref="AH117:AH123">
    <cfRule type="cellIs" dxfId="297" priority="295" operator="between">
      <formula>0.000001</formula>
      <formula>0.18999999</formula>
    </cfRule>
    <cfRule type="cellIs" dxfId="296" priority="296" operator="greaterThan">
      <formula>0.19</formula>
    </cfRule>
  </conditionalFormatting>
  <conditionalFormatting sqref="AL117:AL123">
    <cfRule type="cellIs" dxfId="295" priority="293" operator="between">
      <formula>0.000001</formula>
      <formula>0.18999999</formula>
    </cfRule>
    <cfRule type="cellIs" dxfId="294" priority="294" operator="greaterThan">
      <formula>0.19</formula>
    </cfRule>
  </conditionalFormatting>
  <conditionalFormatting sqref="AP117:AP123">
    <cfRule type="cellIs" dxfId="293" priority="291" operator="between">
      <formula>0.000001</formula>
      <formula>0.18999999</formula>
    </cfRule>
    <cfRule type="cellIs" dxfId="292" priority="292" operator="greaterThan">
      <formula>0.19</formula>
    </cfRule>
  </conditionalFormatting>
  <conditionalFormatting sqref="AT117:AT123">
    <cfRule type="cellIs" dxfId="291" priority="289" operator="between">
      <formula>0.000001</formula>
      <formula>0.18999999</formula>
    </cfRule>
    <cfRule type="cellIs" dxfId="290" priority="290" operator="greaterThan">
      <formula>0.19</formula>
    </cfRule>
  </conditionalFormatting>
  <conditionalFormatting sqref="AX117:AX123">
    <cfRule type="cellIs" dxfId="289" priority="287" operator="between">
      <formula>0.000001</formula>
      <formula>0.18999999</formula>
    </cfRule>
    <cfRule type="cellIs" dxfId="288" priority="288" operator="greaterThan">
      <formula>0.19</formula>
    </cfRule>
  </conditionalFormatting>
  <conditionalFormatting sqref="BB117:BB123">
    <cfRule type="cellIs" dxfId="287" priority="285" operator="between">
      <formula>0.000001</formula>
      <formula>0.18999999</formula>
    </cfRule>
    <cfRule type="cellIs" dxfId="286" priority="286" operator="greaterThan">
      <formula>0.19</formula>
    </cfRule>
  </conditionalFormatting>
  <conditionalFormatting sqref="J144:J150">
    <cfRule type="cellIs" dxfId="285" priority="283" operator="between">
      <formula>0.000001</formula>
      <formula>0.18999999</formula>
    </cfRule>
    <cfRule type="cellIs" dxfId="284" priority="284" operator="greaterThan">
      <formula>0.19</formula>
    </cfRule>
  </conditionalFormatting>
  <conditionalFormatting sqref="N144:N150">
    <cfRule type="cellIs" dxfId="283" priority="281" operator="between">
      <formula>0.000001</formula>
      <formula>0.18999999</formula>
    </cfRule>
    <cfRule type="cellIs" dxfId="282" priority="282" operator="greaterThan">
      <formula>0.19</formula>
    </cfRule>
  </conditionalFormatting>
  <conditionalFormatting sqref="R144:R150">
    <cfRule type="cellIs" dxfId="281" priority="279" operator="between">
      <formula>0.000001</formula>
      <formula>0.18999999</formula>
    </cfRule>
    <cfRule type="cellIs" dxfId="280" priority="280" operator="greaterThan">
      <formula>0.19</formula>
    </cfRule>
  </conditionalFormatting>
  <conditionalFormatting sqref="V144:V150">
    <cfRule type="cellIs" dxfId="279" priority="277" operator="between">
      <formula>0.000001</formula>
      <formula>0.18999999</formula>
    </cfRule>
    <cfRule type="cellIs" dxfId="278" priority="278" operator="greaterThan">
      <formula>0.19</formula>
    </cfRule>
  </conditionalFormatting>
  <conditionalFormatting sqref="Z144:Z150">
    <cfRule type="cellIs" dxfId="277" priority="275" operator="between">
      <formula>0.000001</formula>
      <formula>0.18999999</formula>
    </cfRule>
    <cfRule type="cellIs" dxfId="276" priority="276" operator="greaterThan">
      <formula>0.19</formula>
    </cfRule>
  </conditionalFormatting>
  <conditionalFormatting sqref="AD144:AD150">
    <cfRule type="cellIs" dxfId="275" priority="273" operator="between">
      <formula>0.000001</formula>
      <formula>0.18999999</formula>
    </cfRule>
    <cfRule type="cellIs" dxfId="274" priority="274" operator="greaterThan">
      <formula>0.19</formula>
    </cfRule>
  </conditionalFormatting>
  <conditionalFormatting sqref="AH144:AH150">
    <cfRule type="cellIs" dxfId="273" priority="271" operator="between">
      <formula>0.000001</formula>
      <formula>0.18999999</formula>
    </cfRule>
    <cfRule type="cellIs" dxfId="272" priority="272" operator="greaterThan">
      <formula>0.19</formula>
    </cfRule>
  </conditionalFormatting>
  <conditionalFormatting sqref="AL144:AL150">
    <cfRule type="cellIs" dxfId="271" priority="269" operator="between">
      <formula>0.000001</formula>
      <formula>0.18999999</formula>
    </cfRule>
    <cfRule type="cellIs" dxfId="270" priority="270" operator="greaterThan">
      <formula>0.19</formula>
    </cfRule>
  </conditionalFormatting>
  <conditionalFormatting sqref="AP144:AP150">
    <cfRule type="cellIs" dxfId="269" priority="267" operator="between">
      <formula>0.000001</formula>
      <formula>0.18999999</formula>
    </cfRule>
    <cfRule type="cellIs" dxfId="268" priority="268" operator="greaterThan">
      <formula>0.19</formula>
    </cfRule>
  </conditionalFormatting>
  <conditionalFormatting sqref="AT144:AT150">
    <cfRule type="cellIs" dxfId="267" priority="265" operator="between">
      <formula>0.000001</formula>
      <formula>0.18999999</formula>
    </cfRule>
    <cfRule type="cellIs" dxfId="266" priority="266" operator="greaterThan">
      <formula>0.19</formula>
    </cfRule>
  </conditionalFormatting>
  <conditionalFormatting sqref="AX144:AX150">
    <cfRule type="cellIs" dxfId="265" priority="263" operator="between">
      <formula>0.000001</formula>
      <formula>0.18999999</formula>
    </cfRule>
    <cfRule type="cellIs" dxfId="264" priority="264" operator="greaterThan">
      <formula>0.19</formula>
    </cfRule>
  </conditionalFormatting>
  <conditionalFormatting sqref="BB144:BB150">
    <cfRule type="cellIs" dxfId="263" priority="261" operator="between">
      <formula>0.000001</formula>
      <formula>0.18999999</formula>
    </cfRule>
    <cfRule type="cellIs" dxfId="262" priority="262" operator="greaterThan">
      <formula>0.19</formula>
    </cfRule>
  </conditionalFormatting>
  <conditionalFormatting sqref="J158:J164">
    <cfRule type="cellIs" dxfId="261" priority="259" operator="between">
      <formula>0.000001</formula>
      <formula>0.18999999</formula>
    </cfRule>
    <cfRule type="cellIs" dxfId="260" priority="260" operator="greaterThan">
      <formula>0.19</formula>
    </cfRule>
  </conditionalFormatting>
  <conditionalFormatting sqref="N158:N164">
    <cfRule type="cellIs" dxfId="259" priority="257" operator="between">
      <formula>0.000001</formula>
      <formula>0.18999999</formula>
    </cfRule>
    <cfRule type="cellIs" dxfId="258" priority="258" operator="greaterThan">
      <formula>0.19</formula>
    </cfRule>
  </conditionalFormatting>
  <conditionalFormatting sqref="R158:R164">
    <cfRule type="cellIs" dxfId="257" priority="255" operator="between">
      <formula>0.000001</formula>
      <formula>0.18999999</formula>
    </cfRule>
    <cfRule type="cellIs" dxfId="256" priority="256" operator="greaterThan">
      <formula>0.19</formula>
    </cfRule>
  </conditionalFormatting>
  <conditionalFormatting sqref="V158:V164">
    <cfRule type="cellIs" dxfId="255" priority="253" operator="between">
      <formula>0.000001</formula>
      <formula>0.18999999</formula>
    </cfRule>
    <cfRule type="cellIs" dxfId="254" priority="254" operator="greaterThan">
      <formula>0.19</formula>
    </cfRule>
  </conditionalFormatting>
  <conditionalFormatting sqref="Z158:Z164">
    <cfRule type="cellIs" dxfId="253" priority="251" operator="between">
      <formula>0.000001</formula>
      <formula>0.18999999</formula>
    </cfRule>
    <cfRule type="cellIs" dxfId="252" priority="252" operator="greaterThan">
      <formula>0.19</formula>
    </cfRule>
  </conditionalFormatting>
  <conditionalFormatting sqref="AD158:AD164">
    <cfRule type="cellIs" dxfId="251" priority="249" operator="between">
      <formula>0.000001</formula>
      <formula>0.18999999</formula>
    </cfRule>
    <cfRule type="cellIs" dxfId="250" priority="250" operator="greaterThan">
      <formula>0.19</formula>
    </cfRule>
  </conditionalFormatting>
  <conditionalFormatting sqref="AH158:AH164">
    <cfRule type="cellIs" dxfId="249" priority="247" operator="between">
      <formula>0.000001</formula>
      <formula>0.18999999</formula>
    </cfRule>
    <cfRule type="cellIs" dxfId="248" priority="248" operator="greaterThan">
      <formula>0.19</formula>
    </cfRule>
  </conditionalFormatting>
  <conditionalFormatting sqref="AL158:AL164">
    <cfRule type="cellIs" dxfId="247" priority="245" operator="between">
      <formula>0.000001</formula>
      <formula>0.18999999</formula>
    </cfRule>
    <cfRule type="cellIs" dxfId="246" priority="246" operator="greaterThan">
      <formula>0.19</formula>
    </cfRule>
  </conditionalFormatting>
  <conditionalFormatting sqref="AP158:AP164">
    <cfRule type="cellIs" dxfId="245" priority="243" operator="between">
      <formula>0.000001</formula>
      <formula>0.18999999</formula>
    </cfRule>
    <cfRule type="cellIs" dxfId="244" priority="244" operator="greaterThan">
      <formula>0.19</formula>
    </cfRule>
  </conditionalFormatting>
  <conditionalFormatting sqref="AT158:AT164">
    <cfRule type="cellIs" dxfId="243" priority="241" operator="between">
      <formula>0.000001</formula>
      <formula>0.18999999</formula>
    </cfRule>
    <cfRule type="cellIs" dxfId="242" priority="242" operator="greaterThan">
      <formula>0.19</formula>
    </cfRule>
  </conditionalFormatting>
  <conditionalFormatting sqref="AX158:AX164">
    <cfRule type="cellIs" dxfId="241" priority="239" operator="between">
      <formula>0.000001</formula>
      <formula>0.18999999</formula>
    </cfRule>
    <cfRule type="cellIs" dxfId="240" priority="240" operator="greaterThan">
      <formula>0.19</formula>
    </cfRule>
  </conditionalFormatting>
  <conditionalFormatting sqref="BB158:BB164">
    <cfRule type="cellIs" dxfId="239" priority="237" operator="between">
      <formula>0.000001</formula>
      <formula>0.18999999</formula>
    </cfRule>
    <cfRule type="cellIs" dxfId="238" priority="238" operator="greaterThan">
      <formula>0.19</formula>
    </cfRule>
  </conditionalFormatting>
  <conditionalFormatting sqref="J172:J178">
    <cfRule type="cellIs" dxfId="237" priority="235" operator="between">
      <formula>0.000001</formula>
      <formula>0.04999999</formula>
    </cfRule>
    <cfRule type="cellIs" dxfId="236" priority="236" operator="greaterThan">
      <formula>0.05</formula>
    </cfRule>
  </conditionalFormatting>
  <conditionalFormatting sqref="N172:N178">
    <cfRule type="cellIs" dxfId="235" priority="233" operator="between">
      <formula>0.000001</formula>
      <formula>0.04999999</formula>
    </cfRule>
    <cfRule type="cellIs" dxfId="234" priority="234" operator="greaterThan">
      <formula>0.05</formula>
    </cfRule>
  </conditionalFormatting>
  <conditionalFormatting sqref="R172:R178">
    <cfRule type="cellIs" dxfId="233" priority="231" operator="between">
      <formula>0.000001</formula>
      <formula>0.04999999</formula>
    </cfRule>
    <cfRule type="cellIs" dxfId="232" priority="232" operator="greaterThan">
      <formula>0.05</formula>
    </cfRule>
  </conditionalFormatting>
  <conditionalFormatting sqref="V172:V178">
    <cfRule type="cellIs" dxfId="231" priority="229" operator="between">
      <formula>0.000001</formula>
      <formula>0.04999999</formula>
    </cfRule>
    <cfRule type="cellIs" dxfId="230" priority="230" operator="greaterThan">
      <formula>0.05</formula>
    </cfRule>
  </conditionalFormatting>
  <conditionalFormatting sqref="Z172:Z178">
    <cfRule type="cellIs" dxfId="229" priority="227" operator="between">
      <formula>0.000001</formula>
      <formula>0.04999999</formula>
    </cfRule>
    <cfRule type="cellIs" dxfId="228" priority="228" operator="greaterThan">
      <formula>0.05</formula>
    </cfRule>
  </conditionalFormatting>
  <conditionalFormatting sqref="AD172:AD178">
    <cfRule type="cellIs" dxfId="227" priority="225" operator="between">
      <formula>0.000001</formula>
      <formula>0.04999999</formula>
    </cfRule>
    <cfRule type="cellIs" dxfId="226" priority="226" operator="greaterThan">
      <formula>0.05</formula>
    </cfRule>
  </conditionalFormatting>
  <conditionalFormatting sqref="AH172:AH178">
    <cfRule type="cellIs" dxfId="225" priority="223" operator="between">
      <formula>0.000001</formula>
      <formula>0.04999999</formula>
    </cfRule>
    <cfRule type="cellIs" dxfId="224" priority="224" operator="greaterThan">
      <formula>0.05</formula>
    </cfRule>
  </conditionalFormatting>
  <conditionalFormatting sqref="AL172:AL178">
    <cfRule type="cellIs" dxfId="223" priority="221" operator="between">
      <formula>0.000001</formula>
      <formula>0.04999999</formula>
    </cfRule>
    <cfRule type="cellIs" dxfId="222" priority="222" operator="greaterThan">
      <formula>0.05</formula>
    </cfRule>
  </conditionalFormatting>
  <conditionalFormatting sqref="AP172:AP178">
    <cfRule type="cellIs" dxfId="221" priority="219" operator="between">
      <formula>0.000001</formula>
      <formula>0.04999999</formula>
    </cfRule>
    <cfRule type="cellIs" dxfId="220" priority="220" operator="greaterThan">
      <formula>0.05</formula>
    </cfRule>
  </conditionalFormatting>
  <conditionalFormatting sqref="AT172:AT178">
    <cfRule type="cellIs" dxfId="219" priority="217" operator="between">
      <formula>0.000001</formula>
      <formula>0.04999999</formula>
    </cfRule>
    <cfRule type="cellIs" dxfId="218" priority="218" operator="greaterThan">
      <formula>0.05</formula>
    </cfRule>
  </conditionalFormatting>
  <conditionalFormatting sqref="AX172:AX178">
    <cfRule type="cellIs" dxfId="217" priority="215" operator="between">
      <formula>0.000001</formula>
      <formula>0.04999999</formula>
    </cfRule>
    <cfRule type="cellIs" dxfId="216" priority="216" operator="greaterThan">
      <formula>0.05</formula>
    </cfRule>
  </conditionalFormatting>
  <conditionalFormatting sqref="BB172:BB178">
    <cfRule type="cellIs" dxfId="215" priority="213" operator="between">
      <formula>0.000001</formula>
      <formula>0.04999999</formula>
    </cfRule>
    <cfRule type="cellIs" dxfId="214" priority="214" operator="greaterThan">
      <formula>0.05</formula>
    </cfRule>
  </conditionalFormatting>
  <conditionalFormatting sqref="N228:N234">
    <cfRule type="cellIs" dxfId="213" priority="211" operator="between">
      <formula>0.000001</formula>
      <formula>0.04999999</formula>
    </cfRule>
    <cfRule type="cellIs" dxfId="212" priority="212" operator="greaterThan">
      <formula>0.05</formula>
    </cfRule>
  </conditionalFormatting>
  <conditionalFormatting sqref="R228:R234">
    <cfRule type="cellIs" dxfId="211" priority="209" operator="between">
      <formula>0.000001</formula>
      <formula>0.04999999</formula>
    </cfRule>
    <cfRule type="cellIs" dxfId="210" priority="210" operator="greaterThan">
      <formula>0.05</formula>
    </cfRule>
  </conditionalFormatting>
  <conditionalFormatting sqref="V228:V234">
    <cfRule type="cellIs" dxfId="209" priority="207" operator="between">
      <formula>0.000001</formula>
      <formula>0.04999999</formula>
    </cfRule>
    <cfRule type="cellIs" dxfId="208" priority="208" operator="greaterThan">
      <formula>0.05</formula>
    </cfRule>
  </conditionalFormatting>
  <conditionalFormatting sqref="Z228:Z234">
    <cfRule type="cellIs" dxfId="207" priority="205" operator="between">
      <formula>0.000001</formula>
      <formula>0.04999999</formula>
    </cfRule>
    <cfRule type="cellIs" dxfId="206" priority="206" operator="greaterThan">
      <formula>0.05</formula>
    </cfRule>
  </conditionalFormatting>
  <conditionalFormatting sqref="AD228:AD234">
    <cfRule type="cellIs" dxfId="205" priority="203" operator="between">
      <formula>0.000001</formula>
      <formula>0.04999999</formula>
    </cfRule>
    <cfRule type="cellIs" dxfId="204" priority="204" operator="greaterThan">
      <formula>0.05</formula>
    </cfRule>
  </conditionalFormatting>
  <conditionalFormatting sqref="AH228:AH234">
    <cfRule type="cellIs" dxfId="203" priority="201" operator="between">
      <formula>0.000001</formula>
      <formula>0.04999999</formula>
    </cfRule>
    <cfRule type="cellIs" dxfId="202" priority="202" operator="greaterThan">
      <formula>0.05</formula>
    </cfRule>
  </conditionalFormatting>
  <conditionalFormatting sqref="AL228:AL234">
    <cfRule type="cellIs" dxfId="201" priority="199" operator="between">
      <formula>0.000001</formula>
      <formula>0.04999999</formula>
    </cfRule>
    <cfRule type="cellIs" dxfId="200" priority="200" operator="greaterThan">
      <formula>0.05</formula>
    </cfRule>
  </conditionalFormatting>
  <conditionalFormatting sqref="AP228:AP234">
    <cfRule type="cellIs" dxfId="199" priority="197" operator="between">
      <formula>0.000001</formula>
      <formula>0.04999999</formula>
    </cfRule>
    <cfRule type="cellIs" dxfId="198" priority="198" operator="greaterThan">
      <formula>0.05</formula>
    </cfRule>
  </conditionalFormatting>
  <conditionalFormatting sqref="AT228:AT234">
    <cfRule type="cellIs" dxfId="197" priority="195" operator="between">
      <formula>0.000001</formula>
      <formula>0.04999999</formula>
    </cfRule>
    <cfRule type="cellIs" dxfId="196" priority="196" operator="greaterThan">
      <formula>0.05</formula>
    </cfRule>
  </conditionalFormatting>
  <conditionalFormatting sqref="AX228:AX234">
    <cfRule type="cellIs" dxfId="195" priority="193" operator="between">
      <formula>0.000001</formula>
      <formula>0.04999999</formula>
    </cfRule>
    <cfRule type="cellIs" dxfId="194" priority="194" operator="greaterThan">
      <formula>0.05</formula>
    </cfRule>
  </conditionalFormatting>
  <conditionalFormatting sqref="BB228:BB234">
    <cfRule type="cellIs" dxfId="193" priority="191" operator="between">
      <formula>0.000001</formula>
      <formula>0.04999999</formula>
    </cfRule>
    <cfRule type="cellIs" dxfId="192" priority="192" operator="greaterThan">
      <formula>0.05</formula>
    </cfRule>
  </conditionalFormatting>
  <conditionalFormatting sqref="N242:N248">
    <cfRule type="cellIs" dxfId="191" priority="189" operator="between">
      <formula>0.000001</formula>
      <formula>0.18999999</formula>
    </cfRule>
    <cfRule type="cellIs" dxfId="190" priority="190" operator="greaterThan">
      <formula>0.19</formula>
    </cfRule>
  </conditionalFormatting>
  <conditionalFormatting sqref="R242:R248">
    <cfRule type="cellIs" dxfId="189" priority="187" operator="between">
      <formula>0.000001</formula>
      <formula>0.18999999</formula>
    </cfRule>
    <cfRule type="cellIs" dxfId="188" priority="188" operator="greaterThan">
      <formula>0.19</formula>
    </cfRule>
  </conditionalFormatting>
  <conditionalFormatting sqref="V242:V248">
    <cfRule type="cellIs" dxfId="187" priority="185" operator="between">
      <formula>0.000001</formula>
      <formula>0.18999999</formula>
    </cfRule>
    <cfRule type="cellIs" dxfId="186" priority="186" operator="greaterThan">
      <formula>0.19</formula>
    </cfRule>
  </conditionalFormatting>
  <conditionalFormatting sqref="Z242:Z248">
    <cfRule type="cellIs" dxfId="185" priority="183" operator="between">
      <formula>0.000001</formula>
      <formula>0.18999999</formula>
    </cfRule>
    <cfRule type="cellIs" dxfId="184" priority="184" operator="greaterThan">
      <formula>0.19</formula>
    </cfRule>
  </conditionalFormatting>
  <conditionalFormatting sqref="AD242:AD248">
    <cfRule type="cellIs" dxfId="183" priority="181" operator="between">
      <formula>0.000001</formula>
      <formula>0.18999999</formula>
    </cfRule>
    <cfRule type="cellIs" dxfId="182" priority="182" operator="greaterThan">
      <formula>0.19</formula>
    </cfRule>
  </conditionalFormatting>
  <conditionalFormatting sqref="AH242:AH248">
    <cfRule type="cellIs" dxfId="181" priority="179" operator="between">
      <formula>0.000001</formula>
      <formula>0.18999999</formula>
    </cfRule>
    <cfRule type="cellIs" dxfId="180" priority="180" operator="greaterThan">
      <formula>0.19</formula>
    </cfRule>
  </conditionalFormatting>
  <conditionalFormatting sqref="AL242:AL248">
    <cfRule type="cellIs" dxfId="179" priority="177" operator="between">
      <formula>0.000001</formula>
      <formula>0.18999999</formula>
    </cfRule>
    <cfRule type="cellIs" dxfId="178" priority="178" operator="greaterThan">
      <formula>0.19</formula>
    </cfRule>
  </conditionalFormatting>
  <conditionalFormatting sqref="AP242:AP248">
    <cfRule type="cellIs" dxfId="177" priority="175" operator="between">
      <formula>0.000001</formula>
      <formula>0.18999999</formula>
    </cfRule>
    <cfRule type="cellIs" dxfId="176" priority="176" operator="greaterThan">
      <formula>0.19</formula>
    </cfRule>
  </conditionalFormatting>
  <conditionalFormatting sqref="AT242:AT248">
    <cfRule type="cellIs" dxfId="175" priority="173" operator="between">
      <formula>0.000001</formula>
      <formula>0.18999999</formula>
    </cfRule>
    <cfRule type="cellIs" dxfId="174" priority="174" operator="greaterThan">
      <formula>0.19</formula>
    </cfRule>
  </conditionalFormatting>
  <conditionalFormatting sqref="AX242:AX248">
    <cfRule type="cellIs" dxfId="173" priority="171" operator="between">
      <formula>0.000001</formula>
      <formula>0.18999999</formula>
    </cfRule>
    <cfRule type="cellIs" dxfId="172" priority="172" operator="greaterThan">
      <formula>0.19</formula>
    </cfRule>
  </conditionalFormatting>
  <conditionalFormatting sqref="BB242:BB248">
    <cfRule type="cellIs" dxfId="171" priority="169" operator="between">
      <formula>0.000001</formula>
      <formula>0.18999999</formula>
    </cfRule>
    <cfRule type="cellIs" dxfId="170" priority="170" operator="greaterThan">
      <formula>0.19</formula>
    </cfRule>
  </conditionalFormatting>
  <conditionalFormatting sqref="J256:J262">
    <cfRule type="cellIs" dxfId="169" priority="167" operator="between">
      <formula>0.000001</formula>
      <formula>0.18999999</formula>
    </cfRule>
    <cfRule type="cellIs" dxfId="168" priority="168" operator="greaterThan">
      <formula>0.19</formula>
    </cfRule>
  </conditionalFormatting>
  <conditionalFormatting sqref="N256:N262">
    <cfRule type="cellIs" dxfId="167" priority="165" operator="between">
      <formula>0.000001</formula>
      <formula>0.18999999</formula>
    </cfRule>
    <cfRule type="cellIs" dxfId="166" priority="166" operator="greaterThan">
      <formula>0.19</formula>
    </cfRule>
  </conditionalFormatting>
  <conditionalFormatting sqref="R256:R262">
    <cfRule type="cellIs" dxfId="165" priority="163" operator="between">
      <formula>0.000001</formula>
      <formula>0.18999999</formula>
    </cfRule>
    <cfRule type="cellIs" dxfId="164" priority="164" operator="greaterThan">
      <formula>0.19</formula>
    </cfRule>
  </conditionalFormatting>
  <conditionalFormatting sqref="V256:V262">
    <cfRule type="cellIs" dxfId="163" priority="161" operator="between">
      <formula>0.000001</formula>
      <formula>0.18999999</formula>
    </cfRule>
    <cfRule type="cellIs" dxfId="162" priority="162" operator="greaterThan">
      <formula>0.19</formula>
    </cfRule>
  </conditionalFormatting>
  <conditionalFormatting sqref="Z256:Z262">
    <cfRule type="cellIs" dxfId="161" priority="159" operator="between">
      <formula>0.000001</formula>
      <formula>0.18999999</formula>
    </cfRule>
    <cfRule type="cellIs" dxfId="160" priority="160" operator="greaterThan">
      <formula>0.19</formula>
    </cfRule>
  </conditionalFormatting>
  <conditionalFormatting sqref="AD256:AD262">
    <cfRule type="cellIs" dxfId="159" priority="157" operator="between">
      <formula>0.000001</formula>
      <formula>0.18999999</formula>
    </cfRule>
    <cfRule type="cellIs" dxfId="158" priority="158" operator="greaterThan">
      <formula>0.19</formula>
    </cfRule>
  </conditionalFormatting>
  <conditionalFormatting sqref="AH256:AH262">
    <cfRule type="cellIs" dxfId="157" priority="155" operator="between">
      <formula>0.000001</formula>
      <formula>0.18999999</formula>
    </cfRule>
    <cfRule type="cellIs" dxfId="156" priority="156" operator="greaterThan">
      <formula>0.19</formula>
    </cfRule>
  </conditionalFormatting>
  <conditionalFormatting sqref="AL256:AL262">
    <cfRule type="cellIs" dxfId="155" priority="153" operator="between">
      <formula>0.000001</formula>
      <formula>0.18999999</formula>
    </cfRule>
    <cfRule type="cellIs" dxfId="154" priority="154" operator="greaterThan">
      <formula>0.19</formula>
    </cfRule>
  </conditionalFormatting>
  <conditionalFormatting sqref="AP256:AP262">
    <cfRule type="cellIs" dxfId="153" priority="151" operator="between">
      <formula>0.000001</formula>
      <formula>0.18999999</formula>
    </cfRule>
    <cfRule type="cellIs" dxfId="152" priority="152" operator="greaterThan">
      <formula>0.19</formula>
    </cfRule>
  </conditionalFormatting>
  <conditionalFormatting sqref="AT256:AT262">
    <cfRule type="cellIs" dxfId="151" priority="149" operator="between">
      <formula>0.000001</formula>
      <formula>0.18999999</formula>
    </cfRule>
    <cfRule type="cellIs" dxfId="150" priority="150" operator="greaterThan">
      <formula>0.19</formula>
    </cfRule>
  </conditionalFormatting>
  <conditionalFormatting sqref="AX256:AX262">
    <cfRule type="cellIs" dxfId="149" priority="147" operator="between">
      <formula>0.000001</formula>
      <formula>0.18999999</formula>
    </cfRule>
    <cfRule type="cellIs" dxfId="148" priority="148" operator="greaterThan">
      <formula>0.19</formula>
    </cfRule>
  </conditionalFormatting>
  <conditionalFormatting sqref="BB256:BB262">
    <cfRule type="cellIs" dxfId="147" priority="145" operator="between">
      <formula>0.000001</formula>
      <formula>0.18999999</formula>
    </cfRule>
    <cfRule type="cellIs" dxfId="146" priority="146" operator="greaterThan">
      <formula>0.19</formula>
    </cfRule>
  </conditionalFormatting>
  <conditionalFormatting sqref="J310:J316">
    <cfRule type="cellIs" dxfId="145" priority="143" operator="between">
      <formula>0.000001</formula>
      <formula>0.04999999</formula>
    </cfRule>
    <cfRule type="cellIs" dxfId="144" priority="144" operator="greaterThan">
      <formula>0.05</formula>
    </cfRule>
  </conditionalFormatting>
  <conditionalFormatting sqref="N310:N316">
    <cfRule type="cellIs" dxfId="143" priority="141" operator="between">
      <formula>0.000001</formula>
      <formula>0.04999999</formula>
    </cfRule>
    <cfRule type="cellIs" dxfId="142" priority="142" operator="greaterThan">
      <formula>0.05</formula>
    </cfRule>
  </conditionalFormatting>
  <conditionalFormatting sqref="R310:R316">
    <cfRule type="cellIs" dxfId="141" priority="139" operator="between">
      <formula>0.000001</formula>
      <formula>0.04999999</formula>
    </cfRule>
    <cfRule type="cellIs" dxfId="140" priority="140" operator="greaterThan">
      <formula>0.05</formula>
    </cfRule>
  </conditionalFormatting>
  <conditionalFormatting sqref="V310:V316">
    <cfRule type="cellIs" dxfId="139" priority="137" operator="between">
      <formula>0.000001</formula>
      <formula>0.04999999</formula>
    </cfRule>
    <cfRule type="cellIs" dxfId="138" priority="138" operator="greaterThan">
      <formula>0.05</formula>
    </cfRule>
  </conditionalFormatting>
  <conditionalFormatting sqref="Z310:Z316">
    <cfRule type="cellIs" dxfId="137" priority="135" operator="between">
      <formula>0.000001</formula>
      <formula>0.04999999</formula>
    </cfRule>
    <cfRule type="cellIs" dxfId="136" priority="136" operator="greaterThan">
      <formula>0.05</formula>
    </cfRule>
  </conditionalFormatting>
  <conditionalFormatting sqref="AD310:AD316">
    <cfRule type="cellIs" dxfId="135" priority="133" operator="between">
      <formula>0.000001</formula>
      <formula>0.04999999</formula>
    </cfRule>
    <cfRule type="cellIs" dxfId="134" priority="134" operator="greaterThan">
      <formula>0.05</formula>
    </cfRule>
  </conditionalFormatting>
  <conditionalFormatting sqref="AH310:AH316">
    <cfRule type="cellIs" dxfId="133" priority="131" operator="between">
      <formula>0.000001</formula>
      <formula>0.04999999</formula>
    </cfRule>
    <cfRule type="cellIs" dxfId="132" priority="132" operator="greaterThan">
      <formula>0.05</formula>
    </cfRule>
  </conditionalFormatting>
  <conditionalFormatting sqref="AL310:AL316">
    <cfRule type="cellIs" dxfId="131" priority="129" operator="between">
      <formula>0.000001</formula>
      <formula>0.04999999</formula>
    </cfRule>
    <cfRule type="cellIs" dxfId="130" priority="130" operator="greaterThan">
      <formula>0.05</formula>
    </cfRule>
  </conditionalFormatting>
  <conditionalFormatting sqref="AP310:AP316">
    <cfRule type="cellIs" dxfId="129" priority="127" operator="between">
      <formula>0.000001</formula>
      <formula>0.04999999</formula>
    </cfRule>
    <cfRule type="cellIs" dxfId="128" priority="128" operator="greaterThan">
      <formula>0.05</formula>
    </cfRule>
  </conditionalFormatting>
  <conditionalFormatting sqref="AT310:AT316">
    <cfRule type="cellIs" dxfId="127" priority="125" operator="between">
      <formula>0.000001</formula>
      <formula>0.04999999</formula>
    </cfRule>
    <cfRule type="cellIs" dxfId="126" priority="126" operator="greaterThan">
      <formula>0.05</formula>
    </cfRule>
  </conditionalFormatting>
  <conditionalFormatting sqref="AX310:AX316">
    <cfRule type="cellIs" dxfId="125" priority="123" operator="between">
      <formula>0.000001</formula>
      <formula>0.04999999</formula>
    </cfRule>
    <cfRule type="cellIs" dxfId="124" priority="124" operator="greaterThan">
      <formula>0.05</formula>
    </cfRule>
  </conditionalFormatting>
  <conditionalFormatting sqref="BB310:BB316">
    <cfRule type="cellIs" dxfId="123" priority="121" operator="between">
      <formula>0.000001</formula>
      <formula>0.04999999</formula>
    </cfRule>
    <cfRule type="cellIs" dxfId="122" priority="122" operator="greaterThan">
      <formula>0.05</formula>
    </cfRule>
  </conditionalFormatting>
  <conditionalFormatting sqref="J324:J330">
    <cfRule type="cellIs" dxfId="121" priority="119" operator="between">
      <formula>0.000001</formula>
      <formula>0.18999999</formula>
    </cfRule>
    <cfRule type="cellIs" dxfId="120" priority="120" operator="greaterThan">
      <formula>0.19</formula>
    </cfRule>
  </conditionalFormatting>
  <conditionalFormatting sqref="N324:N330">
    <cfRule type="cellIs" dxfId="119" priority="117" operator="between">
      <formula>0.000001</formula>
      <formula>0.18999999</formula>
    </cfRule>
    <cfRule type="cellIs" dxfId="118" priority="118" operator="greaterThan">
      <formula>0.19</formula>
    </cfRule>
  </conditionalFormatting>
  <conditionalFormatting sqref="R324:R330">
    <cfRule type="cellIs" dxfId="117" priority="115" operator="between">
      <formula>0.000001</formula>
      <formula>0.18999999</formula>
    </cfRule>
    <cfRule type="cellIs" dxfId="116" priority="116" operator="greaterThan">
      <formula>0.19</formula>
    </cfRule>
  </conditionalFormatting>
  <conditionalFormatting sqref="V324:V330">
    <cfRule type="cellIs" dxfId="115" priority="113" operator="between">
      <formula>0.000001</formula>
      <formula>0.18999999</formula>
    </cfRule>
    <cfRule type="cellIs" dxfId="114" priority="114" operator="greaterThan">
      <formula>0.19</formula>
    </cfRule>
  </conditionalFormatting>
  <conditionalFormatting sqref="Z324:Z330">
    <cfRule type="cellIs" dxfId="113" priority="111" operator="between">
      <formula>0.000001</formula>
      <formula>0.18999999</formula>
    </cfRule>
    <cfRule type="cellIs" dxfId="112" priority="112" operator="greaterThan">
      <formula>0.19</formula>
    </cfRule>
  </conditionalFormatting>
  <conditionalFormatting sqref="AD324:AD330">
    <cfRule type="cellIs" dxfId="111" priority="109" operator="between">
      <formula>0.000001</formula>
      <formula>0.18999999</formula>
    </cfRule>
    <cfRule type="cellIs" dxfId="110" priority="110" operator="greaterThan">
      <formula>0.19</formula>
    </cfRule>
  </conditionalFormatting>
  <conditionalFormatting sqref="AH324:AH330">
    <cfRule type="cellIs" dxfId="109" priority="107" operator="between">
      <formula>0.000001</formula>
      <formula>0.18999999</formula>
    </cfRule>
    <cfRule type="cellIs" dxfId="108" priority="108" operator="greaterThan">
      <formula>0.19</formula>
    </cfRule>
  </conditionalFormatting>
  <conditionalFormatting sqref="AL324:AL330">
    <cfRule type="cellIs" dxfId="107" priority="105" operator="between">
      <formula>0.000001</formula>
      <formula>0.18999999</formula>
    </cfRule>
    <cfRule type="cellIs" dxfId="106" priority="106" operator="greaterThan">
      <formula>0.19</formula>
    </cfRule>
  </conditionalFormatting>
  <conditionalFormatting sqref="AP324:AP330">
    <cfRule type="cellIs" dxfId="105" priority="103" operator="between">
      <formula>0.000001</formula>
      <formula>0.18999999</formula>
    </cfRule>
    <cfRule type="cellIs" dxfId="104" priority="104" operator="greaterThan">
      <formula>0.19</formula>
    </cfRule>
  </conditionalFormatting>
  <conditionalFormatting sqref="AT324:AT330">
    <cfRule type="cellIs" dxfId="103" priority="101" operator="between">
      <formula>0.000001</formula>
      <formula>0.18999999</formula>
    </cfRule>
    <cfRule type="cellIs" dxfId="102" priority="102" operator="greaterThan">
      <formula>0.19</formula>
    </cfRule>
  </conditionalFormatting>
  <conditionalFormatting sqref="AX324:AX330">
    <cfRule type="cellIs" dxfId="101" priority="99" operator="between">
      <formula>0.000001</formula>
      <formula>0.18999999</formula>
    </cfRule>
    <cfRule type="cellIs" dxfId="100" priority="100" operator="greaterThan">
      <formula>0.19</formula>
    </cfRule>
  </conditionalFormatting>
  <conditionalFormatting sqref="BB324:BB330">
    <cfRule type="cellIs" dxfId="99" priority="97" operator="between">
      <formula>0.000001</formula>
      <formula>0.18999999</formula>
    </cfRule>
    <cfRule type="cellIs" dxfId="98" priority="98" operator="greaterThan">
      <formula>0.19</formula>
    </cfRule>
  </conditionalFormatting>
  <conditionalFormatting sqref="J338:J344">
    <cfRule type="cellIs" dxfId="97" priority="95" operator="between">
      <formula>0.000001</formula>
      <formula>0.04999999</formula>
    </cfRule>
    <cfRule type="cellIs" dxfId="96" priority="96" operator="greaterThan">
      <formula>0.05</formula>
    </cfRule>
  </conditionalFormatting>
  <conditionalFormatting sqref="N338:N344">
    <cfRule type="cellIs" dxfId="95" priority="93" operator="between">
      <formula>0.000001</formula>
      <formula>0.04999999</formula>
    </cfRule>
    <cfRule type="cellIs" dxfId="94" priority="94" operator="greaterThan">
      <formula>0.05</formula>
    </cfRule>
  </conditionalFormatting>
  <conditionalFormatting sqref="R338:R344">
    <cfRule type="cellIs" dxfId="93" priority="91" operator="between">
      <formula>0.000001</formula>
      <formula>0.04999999</formula>
    </cfRule>
    <cfRule type="cellIs" dxfId="92" priority="92" operator="greaterThan">
      <formula>0.05</formula>
    </cfRule>
  </conditionalFormatting>
  <conditionalFormatting sqref="V338:V344">
    <cfRule type="cellIs" dxfId="91" priority="89" operator="between">
      <formula>0.000001</formula>
      <formula>0.04999999</formula>
    </cfRule>
    <cfRule type="cellIs" dxfId="90" priority="90" operator="greaterThan">
      <formula>0.05</formula>
    </cfRule>
  </conditionalFormatting>
  <conditionalFormatting sqref="Z338:Z344">
    <cfRule type="cellIs" dxfId="89" priority="87" operator="between">
      <formula>0.000001</formula>
      <formula>0.04999999</formula>
    </cfRule>
    <cfRule type="cellIs" dxfId="88" priority="88" operator="greaterThan">
      <formula>0.05</formula>
    </cfRule>
  </conditionalFormatting>
  <conditionalFormatting sqref="AD338:AD344">
    <cfRule type="cellIs" dxfId="87" priority="85" operator="between">
      <formula>0.000001</formula>
      <formula>0.04999999</formula>
    </cfRule>
    <cfRule type="cellIs" dxfId="86" priority="86" operator="greaterThan">
      <formula>0.05</formula>
    </cfRule>
  </conditionalFormatting>
  <conditionalFormatting sqref="AH338:AH344">
    <cfRule type="cellIs" dxfId="85" priority="83" operator="between">
      <formula>0.000001</formula>
      <formula>0.04999999</formula>
    </cfRule>
    <cfRule type="cellIs" dxfId="84" priority="84" operator="greaterThan">
      <formula>0.05</formula>
    </cfRule>
  </conditionalFormatting>
  <conditionalFormatting sqref="AL338:AL344">
    <cfRule type="cellIs" dxfId="83" priority="81" operator="between">
      <formula>0.000001</formula>
      <formula>0.04999999</formula>
    </cfRule>
    <cfRule type="cellIs" dxfId="82" priority="82" operator="greaterThan">
      <formula>0.05</formula>
    </cfRule>
  </conditionalFormatting>
  <conditionalFormatting sqref="AP338:AP344">
    <cfRule type="cellIs" dxfId="81" priority="79" operator="between">
      <formula>0.000001</formula>
      <formula>0.04999999</formula>
    </cfRule>
    <cfRule type="cellIs" dxfId="80" priority="80" operator="greaterThan">
      <formula>0.05</formula>
    </cfRule>
  </conditionalFormatting>
  <conditionalFormatting sqref="AT338:AT344">
    <cfRule type="cellIs" dxfId="79" priority="77" operator="between">
      <formula>0.000001</formula>
      <formula>0.04999999</formula>
    </cfRule>
    <cfRule type="cellIs" dxfId="78" priority="78" operator="greaterThan">
      <formula>0.05</formula>
    </cfRule>
  </conditionalFormatting>
  <conditionalFormatting sqref="AX338:AX344">
    <cfRule type="cellIs" dxfId="77" priority="75" operator="between">
      <formula>0.000001</formula>
      <formula>0.04999999</formula>
    </cfRule>
    <cfRule type="cellIs" dxfId="76" priority="76" operator="greaterThan">
      <formula>0.05</formula>
    </cfRule>
  </conditionalFormatting>
  <conditionalFormatting sqref="BB338:BB344">
    <cfRule type="cellIs" dxfId="75" priority="73" operator="between">
      <formula>0.000001</formula>
      <formula>0.04999999</formula>
    </cfRule>
    <cfRule type="cellIs" dxfId="74" priority="74" operator="greaterThan">
      <formula>0.05</formula>
    </cfRule>
  </conditionalFormatting>
  <conditionalFormatting sqref="J352:J358">
    <cfRule type="cellIs" dxfId="73" priority="71" operator="between">
      <formula>0.000001</formula>
      <formula>0.18999999</formula>
    </cfRule>
    <cfRule type="cellIs" dxfId="72" priority="72" operator="greaterThan">
      <formula>0.19</formula>
    </cfRule>
  </conditionalFormatting>
  <conditionalFormatting sqref="N352:N358">
    <cfRule type="cellIs" dxfId="71" priority="69" operator="between">
      <formula>0.000001</formula>
      <formula>0.18999999</formula>
    </cfRule>
    <cfRule type="cellIs" dxfId="70" priority="70" operator="greaterThan">
      <formula>0.19</formula>
    </cfRule>
  </conditionalFormatting>
  <conditionalFormatting sqref="R352:R358">
    <cfRule type="cellIs" dxfId="69" priority="67" operator="between">
      <formula>0.000001</formula>
      <formula>0.18999999</formula>
    </cfRule>
    <cfRule type="cellIs" dxfId="68" priority="68" operator="greaterThan">
      <formula>0.19</formula>
    </cfRule>
  </conditionalFormatting>
  <conditionalFormatting sqref="V352:V358">
    <cfRule type="cellIs" dxfId="67" priority="65" operator="between">
      <formula>0.000001</formula>
      <formula>0.18999999</formula>
    </cfRule>
    <cfRule type="cellIs" dxfId="66" priority="66" operator="greaterThan">
      <formula>0.19</formula>
    </cfRule>
  </conditionalFormatting>
  <conditionalFormatting sqref="Z352:Z358">
    <cfRule type="cellIs" dxfId="65" priority="63" operator="between">
      <formula>0.000001</formula>
      <formula>0.18999999</formula>
    </cfRule>
    <cfRule type="cellIs" dxfId="64" priority="64" operator="greaterThan">
      <formula>0.19</formula>
    </cfRule>
  </conditionalFormatting>
  <conditionalFormatting sqref="AD352:AD358">
    <cfRule type="cellIs" dxfId="63" priority="61" operator="between">
      <formula>0.000001</formula>
      <formula>0.18999999</formula>
    </cfRule>
    <cfRule type="cellIs" dxfId="62" priority="62" operator="greaterThan">
      <formula>0.19</formula>
    </cfRule>
  </conditionalFormatting>
  <conditionalFormatting sqref="AH352:AH358">
    <cfRule type="cellIs" dxfId="61" priority="59" operator="between">
      <formula>0.000001</formula>
      <formula>0.18999999</formula>
    </cfRule>
    <cfRule type="cellIs" dxfId="60" priority="60" operator="greaterThan">
      <formula>0.19</formula>
    </cfRule>
  </conditionalFormatting>
  <conditionalFormatting sqref="AL352:AL358">
    <cfRule type="cellIs" dxfId="59" priority="57" operator="between">
      <formula>0.000001</formula>
      <formula>0.18999999</formula>
    </cfRule>
    <cfRule type="cellIs" dxfId="58" priority="58" operator="greaterThan">
      <formula>0.19</formula>
    </cfRule>
  </conditionalFormatting>
  <conditionalFormatting sqref="AP352:AP358">
    <cfRule type="cellIs" dxfId="57" priority="55" operator="between">
      <formula>0.000001</formula>
      <formula>0.18999999</formula>
    </cfRule>
    <cfRule type="cellIs" dxfId="56" priority="56" operator="greaterThan">
      <formula>0.19</formula>
    </cfRule>
  </conditionalFormatting>
  <conditionalFormatting sqref="AT352:AT358">
    <cfRule type="cellIs" dxfId="55" priority="53" operator="between">
      <formula>0.000001</formula>
      <formula>0.18999999</formula>
    </cfRule>
    <cfRule type="cellIs" dxfId="54" priority="54" operator="greaterThan">
      <formula>0.19</formula>
    </cfRule>
  </conditionalFormatting>
  <conditionalFormatting sqref="AX352:AX358">
    <cfRule type="cellIs" dxfId="53" priority="51" operator="between">
      <formula>0.000001</formula>
      <formula>0.18999999</formula>
    </cfRule>
    <cfRule type="cellIs" dxfId="52" priority="52" operator="greaterThan">
      <formula>0.19</formula>
    </cfRule>
  </conditionalFormatting>
  <conditionalFormatting sqref="BB352:BB358">
    <cfRule type="cellIs" dxfId="51" priority="49" operator="between">
      <formula>0.000001</formula>
      <formula>0.18999999</formula>
    </cfRule>
    <cfRule type="cellIs" dxfId="50" priority="50" operator="greaterThan">
      <formula>0.19</formula>
    </cfRule>
  </conditionalFormatting>
  <conditionalFormatting sqref="J409:J415">
    <cfRule type="cellIs" dxfId="49" priority="47" operator="between">
      <formula>0.000001</formula>
      <formula>0.18999999</formula>
    </cfRule>
    <cfRule type="cellIs" dxfId="48" priority="48" operator="greaterThan">
      <formula>0.19</formula>
    </cfRule>
  </conditionalFormatting>
  <conditionalFormatting sqref="N409:N415">
    <cfRule type="cellIs" dxfId="47" priority="45" operator="between">
      <formula>0.000001</formula>
      <formula>0.18999999</formula>
    </cfRule>
    <cfRule type="cellIs" dxfId="46" priority="46" operator="greaterThan">
      <formula>0.19</formula>
    </cfRule>
  </conditionalFormatting>
  <conditionalFormatting sqref="R409:R415">
    <cfRule type="cellIs" dxfId="45" priority="43" operator="between">
      <formula>0.000001</formula>
      <formula>0.18999999</formula>
    </cfRule>
    <cfRule type="cellIs" dxfId="44" priority="44" operator="greaterThan">
      <formula>0.19</formula>
    </cfRule>
  </conditionalFormatting>
  <conditionalFormatting sqref="V409:V415">
    <cfRule type="cellIs" dxfId="43" priority="41" operator="between">
      <formula>0.000001</formula>
      <formula>0.18999999</formula>
    </cfRule>
    <cfRule type="cellIs" dxfId="42" priority="42" operator="greaterThan">
      <formula>0.19</formula>
    </cfRule>
  </conditionalFormatting>
  <conditionalFormatting sqref="Z409:Z415">
    <cfRule type="cellIs" dxfId="41" priority="39" operator="between">
      <formula>0.000001</formula>
      <formula>0.18999999</formula>
    </cfRule>
    <cfRule type="cellIs" dxfId="40" priority="40" operator="greaterThan">
      <formula>0.19</formula>
    </cfRule>
  </conditionalFormatting>
  <conditionalFormatting sqref="AD409:AD415">
    <cfRule type="cellIs" dxfId="39" priority="37" operator="between">
      <formula>0.000001</formula>
      <formula>0.18999999</formula>
    </cfRule>
    <cfRule type="cellIs" dxfId="38" priority="38" operator="greaterThan">
      <formula>0.19</formula>
    </cfRule>
  </conditionalFormatting>
  <conditionalFormatting sqref="AH409:AH415">
    <cfRule type="cellIs" dxfId="37" priority="35" operator="between">
      <formula>0.000001</formula>
      <formula>0.18999999</formula>
    </cfRule>
    <cfRule type="cellIs" dxfId="36" priority="36" operator="greaterThan">
      <formula>0.19</formula>
    </cfRule>
  </conditionalFormatting>
  <conditionalFormatting sqref="AL409:AL415">
    <cfRule type="cellIs" dxfId="35" priority="33" operator="between">
      <formula>0.000001</formula>
      <formula>0.18999999</formula>
    </cfRule>
    <cfRule type="cellIs" dxfId="34" priority="34" operator="greaterThan">
      <formula>0.19</formula>
    </cfRule>
  </conditionalFormatting>
  <conditionalFormatting sqref="AP409:AP415">
    <cfRule type="cellIs" dxfId="33" priority="31" operator="between">
      <formula>0.000001</formula>
      <formula>0.18999999</formula>
    </cfRule>
    <cfRule type="cellIs" dxfId="32" priority="32" operator="greaterThan">
      <formula>0.19</formula>
    </cfRule>
  </conditionalFormatting>
  <conditionalFormatting sqref="AT409:AT415">
    <cfRule type="cellIs" dxfId="31" priority="29" operator="between">
      <formula>0.000001</formula>
      <formula>0.18999999</formula>
    </cfRule>
    <cfRule type="cellIs" dxfId="30" priority="30" operator="greaterThan">
      <formula>0.19</formula>
    </cfRule>
  </conditionalFormatting>
  <conditionalFormatting sqref="AX409:AX415">
    <cfRule type="cellIs" dxfId="29" priority="27" operator="between">
      <formula>0.000001</formula>
      <formula>0.18999999</formula>
    </cfRule>
    <cfRule type="cellIs" dxfId="28" priority="28" operator="greaterThan">
      <formula>0.19</formula>
    </cfRule>
  </conditionalFormatting>
  <conditionalFormatting sqref="BB409:BB415">
    <cfRule type="cellIs" dxfId="27" priority="25" operator="between">
      <formula>0.000001</formula>
      <formula>0.18999999</formula>
    </cfRule>
    <cfRule type="cellIs" dxfId="26" priority="26" operator="greaterThan">
      <formula>0.19</formula>
    </cfRule>
  </conditionalFormatting>
  <conditionalFormatting sqref="J423:J429">
    <cfRule type="cellIs" dxfId="25" priority="23" operator="between">
      <formula>0.000001</formula>
      <formula>0.18999999</formula>
    </cfRule>
    <cfRule type="cellIs" dxfId="24" priority="24" operator="greaterThan">
      <formula>0.19</formula>
    </cfRule>
  </conditionalFormatting>
  <conditionalFormatting sqref="N423:N429">
    <cfRule type="cellIs" dxfId="23" priority="21" operator="between">
      <formula>0.000001</formula>
      <formula>0.18999999</formula>
    </cfRule>
    <cfRule type="cellIs" dxfId="22" priority="22" operator="greaterThan">
      <formula>0.19</formula>
    </cfRule>
  </conditionalFormatting>
  <conditionalFormatting sqref="R423:R429">
    <cfRule type="cellIs" dxfId="21" priority="19" operator="between">
      <formula>0.000001</formula>
      <formula>0.18999999</formula>
    </cfRule>
    <cfRule type="cellIs" dxfId="20" priority="20" operator="greaterThan">
      <formula>0.19</formula>
    </cfRule>
  </conditionalFormatting>
  <conditionalFormatting sqref="V423:V429">
    <cfRule type="cellIs" dxfId="19" priority="17" operator="between">
      <formula>0.000001</formula>
      <formula>0.18999999</formula>
    </cfRule>
    <cfRule type="cellIs" dxfId="18" priority="18" operator="greaterThan">
      <formula>0.19</formula>
    </cfRule>
  </conditionalFormatting>
  <conditionalFormatting sqref="Z423:Z429">
    <cfRule type="cellIs" dxfId="17" priority="15" operator="between">
      <formula>0.000001</formula>
      <formula>0.18999999</formula>
    </cfRule>
    <cfRule type="cellIs" dxfId="16" priority="16" operator="greaterThan">
      <formula>0.19</formula>
    </cfRule>
  </conditionalFormatting>
  <conditionalFormatting sqref="AD423:AD429">
    <cfRule type="cellIs" dxfId="15" priority="13" operator="between">
      <formula>0.000001</formula>
      <formula>0.18999999</formula>
    </cfRule>
    <cfRule type="cellIs" dxfId="14" priority="14" operator="greaterThan">
      <formula>0.19</formula>
    </cfRule>
  </conditionalFormatting>
  <conditionalFormatting sqref="AH423:AH429">
    <cfRule type="cellIs" dxfId="13" priority="11" operator="between">
      <formula>0.000001</formula>
      <formula>0.18999999</formula>
    </cfRule>
    <cfRule type="cellIs" dxfId="12" priority="12" operator="greaterThan">
      <formula>0.19</formula>
    </cfRule>
  </conditionalFormatting>
  <conditionalFormatting sqref="AL423:AL429">
    <cfRule type="cellIs" dxfId="11" priority="9" operator="between">
      <formula>0.000001</formula>
      <formula>0.18999999</formula>
    </cfRule>
    <cfRule type="cellIs" dxfId="10" priority="10" operator="greaterThan">
      <formula>0.19</formula>
    </cfRule>
  </conditionalFormatting>
  <conditionalFormatting sqref="AP423:AP429">
    <cfRule type="cellIs" dxfId="9" priority="7" operator="between">
      <formula>0.000001</formula>
      <formula>0.18999999</formula>
    </cfRule>
    <cfRule type="cellIs" dxfId="8" priority="8" operator="greaterThan">
      <formula>0.19</formula>
    </cfRule>
  </conditionalFormatting>
  <conditionalFormatting sqref="AT423:AT429">
    <cfRule type="cellIs" dxfId="7" priority="5" operator="between">
      <formula>0.000001</formula>
      <formula>0.18999999</formula>
    </cfRule>
    <cfRule type="cellIs" dxfId="6" priority="6" operator="greaterThan">
      <formula>0.19</formula>
    </cfRule>
  </conditionalFormatting>
  <conditionalFormatting sqref="AX423:AX429">
    <cfRule type="cellIs" dxfId="5" priority="3" operator="between">
      <formula>0.000001</formula>
      <formula>0.18999999</formula>
    </cfRule>
    <cfRule type="cellIs" dxfId="4" priority="4" operator="greaterThan">
      <formula>0.19</formula>
    </cfRule>
  </conditionalFormatting>
  <conditionalFormatting sqref="BB423:BB429">
    <cfRule type="cellIs" dxfId="3" priority="1" operator="between">
      <formula>0.000001</formula>
      <formula>0.18999999</formula>
    </cfRule>
    <cfRule type="cellIs" dxfId="2" priority="2" operator="greaterThan">
      <formula>0.19</formula>
    </cfRule>
  </conditionalFormatting>
  <dataValidations disablePrompts="1" count="4">
    <dataValidation allowBlank="1" showInputMessage="1" showErrorMessage="1" errorTitle="Error en soporte de fecha" error="La presente herramienta aplica para presentaciones entre el 01/01/2021 y el 31/12/2021" sqref="E885" xr:uid="{6F0D015C-D726-45D8-865F-827CA3FD1B79}"/>
    <dataValidation type="date" operator="lessThan" allowBlank="1" showInputMessage="1" showErrorMessage="1" errorTitle="Error en la fecha" error="Recuerde que la fecha debe ser anterior a la fecha de vencimiento de la declaración inicial (Punto A)" sqref="E888" xr:uid="{E62BCE20-5AE0-4763-A1BC-2DDD22703478}">
      <formula1>E884</formula1>
    </dataValidation>
    <dataValidation allowBlank="1" showInputMessage="1" showErrorMessage="1" errorTitle="Error en soporte de fecha" error="La presente herramienta aplica para presentación de corección entre el 01/01/2021 y 31/12/2021" sqref="E921" xr:uid="{4B938E08-0D04-4FE5-B14A-46BFD8D09DE4}"/>
    <dataValidation type="date" operator="lessThan" allowBlank="1" showInputMessage="1" showErrorMessage="1" errorTitle="Error en la fecha" error="Recuerde que la fecha debe ser anterior a la fecha de vencimiento de la declaración inicial (Punto A)." sqref="E924" xr:uid="{F83969AC-A46F-4B21-AD7A-D47B1A064231}">
      <formula1>E919</formula1>
    </dataValidation>
  </dataValidation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0">
        <x14:dataValidation type="list" allowBlank="1" showInputMessage="1" showErrorMessage="1" xr:uid="{1FF9EAC2-0CA1-4F10-9732-33B80C7A8F97}">
          <x14:formula1>
            <xm:f>Datos!$N$3:$N$5</xm:f>
          </x14:formula1>
          <xm:sqref>G6</xm:sqref>
        </x14:dataValidation>
        <x14:dataValidation type="list" allowBlank="1" showInputMessage="1" showErrorMessage="1" xr:uid="{B4B58845-07D0-439D-9482-7ED33508F5CE}">
          <x14:formula1>
            <xm:f>Datos!$P$2:$P$84</xm:f>
          </x14:formula1>
          <xm:sqref>F29</xm:sqref>
        </x14:dataValidation>
        <x14:dataValidation type="list" allowBlank="1" showInputMessage="1" showErrorMessage="1" xr:uid="{DA0F9EBC-8726-4925-BE4E-4CFEF198AD73}">
          <x14:formula1>
            <xm:f>Datos!$P$2:$P$85</xm:f>
          </x14:formula1>
          <xm:sqref>F310:F316 F228:F234 F248 F262 F275 F288 F302 F23:F28</xm:sqref>
        </x14:dataValidation>
        <x14:dataValidation type="list" allowBlank="1" showInputMessage="1" showErrorMessage="1" xr:uid="{FE4C8F40-C114-4BFE-A79F-4D13FD92C750}">
          <x14:formula1>
            <xm:f>Datos!$S$2:$S$61</xm:f>
          </x14:formula1>
          <xm:sqref>F130:F135</xm:sqref>
        </x14:dataValidation>
        <x14:dataValidation type="list" allowBlank="1" showInputMessage="1" showErrorMessage="1" xr:uid="{93C34A08-A1B7-4B39-9970-24CD2D3519B3}">
          <x14:formula1>
            <xm:f>Datos!$V$2:$V$57</xm:f>
          </x14:formula1>
          <xm:sqref>F185:F190</xm:sqref>
        </x14:dataValidation>
        <x14:dataValidation type="list" allowBlank="1" showInputMessage="1" showErrorMessage="1" xr:uid="{7D176AF0-C3C8-4081-B8A1-0BBB84E765E2}">
          <x14:formula1>
            <xm:f>Datos!$Y$2:$Y$161</xm:f>
          </x14:formula1>
          <xm:sqref>F269:F274 F198:F203</xm:sqref>
        </x14:dataValidation>
        <x14:dataValidation type="list" allowBlank="1" showInputMessage="1" showErrorMessage="1" xr:uid="{ECA06880-9372-447B-9702-0EE4ACDD9774}">
          <x14:formula1>
            <xm:f>Datos!$AB$2:$AB$6</xm:f>
          </x14:formula1>
          <xm:sqref>F338</xm:sqref>
        </x14:dataValidation>
        <x14:dataValidation type="list" allowBlank="1" showInputMessage="1" showErrorMessage="1" xr:uid="{98CF348E-BDB6-48FB-BBD9-ABFB87CA47DE}">
          <x14:formula1>
            <xm:f>Datos!$AE$2:$AE$3</xm:f>
          </x14:formula1>
          <xm:sqref>E886:E887 E922:E923 D480 D520 D560 D600 D640 D680 D722 D762 D802 D842 E962:E967 E982:E984 E999</xm:sqref>
        </x14:dataValidation>
        <x14:dataValidation type="list" allowBlank="1" showInputMessage="1" showErrorMessage="1" xr:uid="{8B3442A8-F0AA-41CA-9CCC-29EF44BF9C5E}">
          <x14:formula1>
            <xm:f>Datos!$AI$2:$AI$13</xm:f>
          </x14:formula1>
          <xm:sqref>F379:G384</xm:sqref>
        </x14:dataValidation>
        <x14:dataValidation type="list" allowBlank="1" showInputMessage="1" showErrorMessage="1" xr:uid="{B87CAA1A-9A2E-43D3-A65A-38F63CCD579E}">
          <x14:formula1>
            <xm:f>Datos!$AG$2:$AG$16</xm:f>
          </x14:formula1>
          <xm:sqref>F212:F218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96197-080D-47AE-81D9-8BB680F67408}">
  <sheetPr codeName="Hoja1">
    <tabColor rgb="FF396492"/>
    <pageSetUpPr fitToPage="1"/>
  </sheetPr>
  <dimension ref="A1:AC447"/>
  <sheetViews>
    <sheetView showGridLines="0" zoomScale="90" zoomScaleNormal="90" workbookViewId="0"/>
  </sheetViews>
  <sheetFormatPr baseColWidth="10" defaultColWidth="11.5703125" defaultRowHeight="15.75" x14ac:dyDescent="0.25"/>
  <cols>
    <col min="1" max="1" width="1.5703125" style="81" customWidth="1"/>
    <col min="2" max="3" width="6" style="81" customWidth="1"/>
    <col min="4" max="4" width="11.5703125" style="81"/>
    <col min="5" max="5" width="45" style="81" customWidth="1"/>
    <col min="6" max="6" width="5.28515625" style="82" customWidth="1"/>
    <col min="7" max="7" width="22.7109375" style="81" customWidth="1"/>
    <col min="8" max="11" width="6" style="81" customWidth="1"/>
    <col min="12" max="12" width="38.85546875" style="81" customWidth="1"/>
    <col min="13" max="13" width="5.28515625" style="81" customWidth="1"/>
    <col min="14" max="14" width="5.28515625" style="82" customWidth="1"/>
    <col min="15" max="15" width="4.85546875" style="81" customWidth="1"/>
    <col min="16" max="16" width="18" style="81" customWidth="1"/>
    <col min="17" max="26" width="11.5703125" style="233"/>
    <col min="27" max="16384" width="11.5703125" style="81"/>
  </cols>
  <sheetData>
    <row r="1" spans="1:29" s="90" customFormat="1" ht="32.450000000000003" customHeight="1" x14ac:dyDescent="0.25">
      <c r="A1" s="83"/>
      <c r="B1" s="95" t="str">
        <f ca="1">IFERROR(GET_CREDITS(),MSG_MACRO)</f>
        <v>Liquidadores DR210.com</v>
      </c>
      <c r="C1" s="84"/>
      <c r="D1" s="84"/>
      <c r="E1" s="85"/>
      <c r="F1" s="84"/>
      <c r="G1" s="85"/>
      <c r="H1" s="85"/>
      <c r="I1" s="84"/>
      <c r="J1" s="85"/>
      <c r="K1" s="85"/>
      <c r="L1" s="85"/>
      <c r="M1" s="85"/>
      <c r="N1" s="85"/>
      <c r="O1" s="85"/>
      <c r="P1" s="85"/>
      <c r="Q1" s="84"/>
      <c r="R1" s="84"/>
      <c r="S1" s="84"/>
      <c r="T1" s="85"/>
      <c r="U1" s="86"/>
      <c r="V1" s="86"/>
      <c r="W1" s="86"/>
      <c r="X1" s="86"/>
      <c r="Y1" s="86"/>
      <c r="Z1" s="87"/>
      <c r="AA1" s="87"/>
      <c r="AB1" s="88"/>
      <c r="AC1" s="89"/>
    </row>
    <row r="2" spans="1:29" s="90" customFormat="1" ht="49.15" customHeight="1" x14ac:dyDescent="0.35">
      <c r="A2" s="91"/>
      <c r="B2" s="92" t="s">
        <v>976</v>
      </c>
      <c r="C2" s="93"/>
      <c r="D2" s="93"/>
      <c r="E2" s="94"/>
      <c r="F2" s="93"/>
      <c r="G2" s="94"/>
      <c r="H2" s="94"/>
      <c r="I2" s="93"/>
      <c r="J2" s="94"/>
      <c r="K2" s="94"/>
      <c r="L2" s="231" t="s">
        <v>0</v>
      </c>
      <c r="M2" s="232" t="str">
        <f>+Inicio!$J$3</f>
        <v>2025.3</v>
      </c>
      <c r="N2" s="94"/>
      <c r="O2" s="94"/>
      <c r="P2" s="94"/>
      <c r="Q2" s="93"/>
      <c r="R2" s="93"/>
      <c r="S2" s="93"/>
      <c r="T2" s="94"/>
      <c r="U2" s="86"/>
      <c r="V2" s="86"/>
      <c r="W2" s="86"/>
      <c r="X2" s="86"/>
      <c r="Y2" s="86"/>
      <c r="Z2" s="87"/>
      <c r="AA2" s="87"/>
      <c r="AB2" s="88"/>
      <c r="AC2" s="89"/>
    </row>
    <row r="4" spans="1:29" s="10" customFormat="1" ht="36" customHeight="1" x14ac:dyDescent="0.3">
      <c r="B4" s="337" t="s">
        <v>819</v>
      </c>
      <c r="C4" s="337"/>
      <c r="D4" s="337"/>
      <c r="E4" s="337"/>
      <c r="F4" s="337"/>
      <c r="G4" s="337"/>
      <c r="H4" s="337"/>
      <c r="I4" s="337"/>
      <c r="J4" s="337"/>
      <c r="K4" s="337"/>
      <c r="L4" s="337"/>
      <c r="M4" s="337"/>
      <c r="N4" s="337"/>
      <c r="O4" s="337"/>
      <c r="P4" s="337"/>
    </row>
    <row r="6" spans="1:29" s="10" customFormat="1" ht="36" hidden="1" customHeight="1" x14ac:dyDescent="0.3">
      <c r="B6" s="338" t="s">
        <v>820</v>
      </c>
      <c r="C6" s="338"/>
      <c r="D6" s="338"/>
      <c r="E6" s="338"/>
      <c r="F6" s="338"/>
      <c r="G6" s="338"/>
      <c r="H6" s="338"/>
      <c r="I6" s="338"/>
      <c r="J6" s="338"/>
      <c r="K6" s="338"/>
      <c r="L6" s="338"/>
      <c r="M6" s="338"/>
      <c r="N6" s="338"/>
      <c r="O6" s="338"/>
      <c r="P6" s="338"/>
    </row>
    <row r="7" spans="1:29" hidden="1" x14ac:dyDescent="0.25"/>
    <row r="8" spans="1:29" s="75" customFormat="1" ht="60" hidden="1" customHeight="1" x14ac:dyDescent="0.25">
      <c r="A8" s="74"/>
      <c r="B8" s="368"/>
      <c r="C8" s="368"/>
      <c r="D8" s="368"/>
      <c r="E8" s="378" t="s">
        <v>817</v>
      </c>
      <c r="F8" s="378"/>
      <c r="G8" s="378"/>
      <c r="H8" s="378"/>
      <c r="I8" s="378"/>
      <c r="J8" s="378"/>
      <c r="K8" s="378"/>
      <c r="L8" s="369" t="s">
        <v>31</v>
      </c>
      <c r="M8" s="369"/>
      <c r="N8" s="369"/>
      <c r="O8" s="379">
        <v>300</v>
      </c>
      <c r="P8" s="379"/>
      <c r="Q8" s="234"/>
      <c r="R8" s="235"/>
      <c r="S8" s="235"/>
      <c r="T8" s="236"/>
      <c r="U8" s="236"/>
      <c r="V8" s="236"/>
      <c r="W8" s="236"/>
      <c r="X8" s="236"/>
      <c r="Y8" s="236"/>
      <c r="Z8" s="236"/>
    </row>
    <row r="9" spans="1:29" s="77" customFormat="1" ht="27.6" hidden="1" customHeight="1" x14ac:dyDescent="0.25">
      <c r="A9" s="76"/>
      <c r="B9" s="370" t="s">
        <v>32</v>
      </c>
      <c r="C9" s="370"/>
      <c r="D9" s="121">
        <f>+'Datos contribuyente'!$I$6</f>
        <v>2025</v>
      </c>
      <c r="E9" s="100">
        <v>6</v>
      </c>
      <c r="F9" s="416" t="s">
        <v>33</v>
      </c>
      <c r="G9" s="417"/>
      <c r="H9" s="376">
        <v>1</v>
      </c>
      <c r="I9" s="377"/>
      <c r="J9" s="364" t="s">
        <v>34</v>
      </c>
      <c r="K9" s="364"/>
      <c r="L9" s="364"/>
      <c r="M9" s="364"/>
      <c r="N9" s="364"/>
      <c r="O9" s="364"/>
      <c r="P9" s="364"/>
      <c r="Q9" s="237"/>
      <c r="R9" s="238"/>
      <c r="S9" s="238"/>
      <c r="T9" s="239"/>
      <c r="U9" s="239"/>
      <c r="V9" s="239"/>
      <c r="W9" s="239"/>
      <c r="X9" s="239"/>
      <c r="Y9" s="239"/>
      <c r="Z9" s="239"/>
    </row>
    <row r="10" spans="1:29" s="77" customFormat="1" ht="27.6" hidden="1" customHeight="1" x14ac:dyDescent="0.25">
      <c r="A10" s="76"/>
      <c r="B10" s="363" t="s">
        <v>770</v>
      </c>
      <c r="C10" s="363"/>
      <c r="D10" s="364" t="s">
        <v>35</v>
      </c>
      <c r="E10" s="364"/>
      <c r="F10" s="410" t="s">
        <v>36</v>
      </c>
      <c r="G10" s="411"/>
      <c r="H10" s="411"/>
      <c r="I10" s="411"/>
      <c r="J10" s="411"/>
      <c r="K10" s="411"/>
      <c r="L10" s="411"/>
      <c r="M10" s="412"/>
      <c r="N10" s="364" t="s">
        <v>37</v>
      </c>
      <c r="O10" s="364"/>
      <c r="P10" s="364"/>
      <c r="Q10" s="237"/>
      <c r="R10" s="238"/>
      <c r="S10" s="238"/>
      <c r="T10" s="239"/>
      <c r="U10" s="239"/>
      <c r="V10" s="239"/>
      <c r="W10" s="239"/>
      <c r="X10" s="239"/>
      <c r="Y10" s="239"/>
      <c r="Z10" s="239"/>
    </row>
    <row r="11" spans="1:29" s="77" customFormat="1" ht="27.6" hidden="1" customHeight="1" x14ac:dyDescent="0.25">
      <c r="A11" s="99"/>
      <c r="B11" s="363"/>
      <c r="C11" s="363"/>
      <c r="D11" s="365">
        <f>+'Datos contribuyente'!$E$6</f>
        <v>0</v>
      </c>
      <c r="E11" s="366"/>
      <c r="F11" s="413" t="s">
        <v>38</v>
      </c>
      <c r="G11" s="414"/>
      <c r="H11" s="414"/>
      <c r="I11" s="414"/>
      <c r="J11" s="414"/>
      <c r="K11" s="414"/>
      <c r="L11" s="414"/>
      <c r="M11" s="415"/>
      <c r="N11" s="367"/>
      <c r="O11" s="367"/>
      <c r="P11" s="367"/>
      <c r="Q11" s="238"/>
      <c r="R11" s="238"/>
      <c r="S11" s="238"/>
      <c r="T11" s="239"/>
      <c r="U11" s="239"/>
      <c r="V11" s="239"/>
      <c r="W11" s="239"/>
      <c r="X11" s="239"/>
      <c r="Y11" s="239"/>
      <c r="Z11" s="239"/>
    </row>
    <row r="12" spans="1:29" s="77" customFormat="1" ht="27.6" hidden="1" customHeight="1" x14ac:dyDescent="0.25">
      <c r="A12" s="99"/>
      <c r="B12" s="363"/>
      <c r="C12" s="363"/>
      <c r="D12" s="371" t="s">
        <v>818</v>
      </c>
      <c r="E12" s="372"/>
      <c r="F12" s="373">
        <f>+'Datos contribuyente'!$B$6</f>
        <v>0</v>
      </c>
      <c r="G12" s="374"/>
      <c r="H12" s="374"/>
      <c r="I12" s="374"/>
      <c r="J12" s="374"/>
      <c r="K12" s="374"/>
      <c r="L12" s="374"/>
      <c r="M12" s="374"/>
      <c r="N12" s="374"/>
      <c r="O12" s="374"/>
      <c r="P12" s="375"/>
      <c r="Q12" s="238"/>
      <c r="R12" s="238"/>
      <c r="S12" s="238"/>
      <c r="T12" s="239"/>
      <c r="U12" s="239"/>
      <c r="V12" s="239"/>
      <c r="W12" s="239"/>
      <c r="X12" s="239"/>
      <c r="Y12" s="239"/>
      <c r="Z12" s="239"/>
    </row>
    <row r="13" spans="1:29" s="78" customFormat="1" ht="27" hidden="1" customHeight="1" x14ac:dyDescent="0.25">
      <c r="A13" s="80"/>
      <c r="B13" s="384" t="s">
        <v>771</v>
      </c>
      <c r="C13" s="385" t="s">
        <v>761</v>
      </c>
      <c r="D13" s="385"/>
      <c r="E13" s="385"/>
      <c r="F13" s="103">
        <v>27</v>
      </c>
      <c r="G13" s="124">
        <f>ROUND(+'Datos contribuyente'!I30+'Datos contribuyente'!M30,-3)</f>
        <v>0</v>
      </c>
      <c r="H13" s="390" t="s">
        <v>39</v>
      </c>
      <c r="I13" s="390" t="s">
        <v>40</v>
      </c>
      <c r="J13" s="380" t="s">
        <v>41</v>
      </c>
      <c r="K13" s="380"/>
      <c r="L13" s="380"/>
      <c r="M13" s="380"/>
      <c r="N13" s="116">
        <v>62</v>
      </c>
      <c r="O13" s="389">
        <f>ROUND(+'Datos contribuyente'!K151+'Datos contribuyente'!O151,-3)</f>
        <v>0</v>
      </c>
      <c r="P13" s="389"/>
      <c r="Q13" s="240"/>
      <c r="R13" s="240"/>
      <c r="S13" s="240"/>
      <c r="T13" s="241"/>
      <c r="U13" s="241"/>
      <c r="V13" s="241"/>
      <c r="W13" s="241"/>
      <c r="X13" s="241"/>
      <c r="Y13" s="241"/>
      <c r="Z13" s="241"/>
    </row>
    <row r="14" spans="1:29" s="78" customFormat="1" ht="27" hidden="1" customHeight="1" x14ac:dyDescent="0.25">
      <c r="A14" s="80"/>
      <c r="B14" s="384"/>
      <c r="C14" s="362" t="s">
        <v>762</v>
      </c>
      <c r="D14" s="362"/>
      <c r="E14" s="362"/>
      <c r="F14" s="105">
        <v>28</v>
      </c>
      <c r="G14" s="125">
        <f>ROUND(+'Datos contribuyente'!I44+'Datos contribuyente'!M44,-3)</f>
        <v>0</v>
      </c>
      <c r="H14" s="384"/>
      <c r="I14" s="384"/>
      <c r="J14" s="381" t="s">
        <v>42</v>
      </c>
      <c r="K14" s="381"/>
      <c r="L14" s="381"/>
      <c r="M14" s="381"/>
      <c r="N14" s="105">
        <v>63</v>
      </c>
      <c r="O14" s="386">
        <f>ROUND(+'Datos contribuyente'!K165+'Datos contribuyente'!O165,-3)</f>
        <v>0</v>
      </c>
      <c r="P14" s="386"/>
      <c r="Q14" s="240"/>
      <c r="R14" s="240"/>
      <c r="S14" s="240"/>
      <c r="T14" s="241"/>
      <c r="U14" s="241"/>
      <c r="V14" s="241"/>
      <c r="W14" s="241"/>
      <c r="X14" s="241"/>
      <c r="Y14" s="241"/>
      <c r="Z14" s="241"/>
    </row>
    <row r="15" spans="1:29" s="78" customFormat="1" ht="27" hidden="1" customHeight="1" x14ac:dyDescent="0.25">
      <c r="A15" s="80"/>
      <c r="B15" s="384"/>
      <c r="C15" s="385" t="s">
        <v>763</v>
      </c>
      <c r="D15" s="385"/>
      <c r="E15" s="385"/>
      <c r="F15" s="103">
        <v>29</v>
      </c>
      <c r="G15" s="124">
        <f>ROUND(+'Datos contribuyente'!I58+'Datos contribuyente'!M58,-3)</f>
        <v>0</v>
      </c>
      <c r="H15" s="384"/>
      <c r="I15" s="384"/>
      <c r="J15" s="382" t="s">
        <v>43</v>
      </c>
      <c r="K15" s="382"/>
      <c r="L15" s="382"/>
      <c r="M15" s="382"/>
      <c r="N15" s="103">
        <v>64</v>
      </c>
      <c r="O15" s="387">
        <f>ROUND(+'Datos contribuyente'!K179+'Datos contribuyente'!O179,-3)</f>
        <v>0</v>
      </c>
      <c r="P15" s="387"/>
      <c r="Q15" s="240"/>
      <c r="R15" s="240"/>
      <c r="S15" s="240"/>
      <c r="T15" s="241"/>
      <c r="U15" s="241"/>
      <c r="V15" s="241"/>
      <c r="W15" s="241"/>
      <c r="X15" s="241"/>
      <c r="Y15" s="241"/>
      <c r="Z15" s="241"/>
    </row>
    <row r="16" spans="1:29" s="78" customFormat="1" ht="27" hidden="1" customHeight="1" x14ac:dyDescent="0.25">
      <c r="A16" s="80"/>
      <c r="B16" s="384"/>
      <c r="C16" s="362" t="s">
        <v>766</v>
      </c>
      <c r="D16" s="362"/>
      <c r="E16" s="362"/>
      <c r="F16" s="105">
        <v>30</v>
      </c>
      <c r="G16" s="125">
        <f>ROUND(+'Datos contribuyente'!I71+'Datos contribuyente'!M71,-3)</f>
        <v>0</v>
      </c>
      <c r="H16" s="384"/>
      <c r="I16" s="384"/>
      <c r="J16" s="381" t="s">
        <v>798</v>
      </c>
      <c r="K16" s="381"/>
      <c r="L16" s="381"/>
      <c r="M16" s="381"/>
      <c r="N16" s="105">
        <v>65</v>
      </c>
      <c r="O16" s="386">
        <f>ROUND(+'Datos contribuyente'!K402+'Datos contribuyente'!O402,-3)</f>
        <v>0</v>
      </c>
      <c r="P16" s="386">
        <v>0</v>
      </c>
      <c r="Q16" s="240"/>
      <c r="R16" s="240"/>
      <c r="S16" s="240"/>
      <c r="T16" s="241"/>
      <c r="U16" s="241"/>
      <c r="V16" s="241"/>
      <c r="W16" s="241"/>
      <c r="X16" s="241"/>
      <c r="Y16" s="241"/>
      <c r="Z16" s="241"/>
    </row>
    <row r="17" spans="1:26" s="78" customFormat="1" ht="27" hidden="1" customHeight="1" x14ac:dyDescent="0.25">
      <c r="A17" s="80"/>
      <c r="B17" s="384"/>
      <c r="C17" s="385" t="s">
        <v>767</v>
      </c>
      <c r="D17" s="385"/>
      <c r="E17" s="385"/>
      <c r="F17" s="103">
        <v>31</v>
      </c>
      <c r="G17" s="124">
        <f>ROUND(+'Datos contribuyente'!I84+'Datos contribuyente'!M84,-3)</f>
        <v>0</v>
      </c>
      <c r="H17" s="384"/>
      <c r="I17" s="384"/>
      <c r="J17" s="382" t="s">
        <v>764</v>
      </c>
      <c r="K17" s="382"/>
      <c r="L17" s="382"/>
      <c r="M17" s="382"/>
      <c r="N17" s="103">
        <v>66</v>
      </c>
      <c r="O17" s="387">
        <f>ROUND(IF('Datos contribuyente'!D480="No",+'Datos contribuyente'!K386+'Datos contribuyente'!O386,+'Datos contribuyente'!K386+'Datos contribuyente'!O386-'Datos contribuyente'!G507),-3)</f>
        <v>0</v>
      </c>
      <c r="P17" s="387"/>
      <c r="Q17" s="242"/>
      <c r="R17" s="240"/>
      <c r="S17" s="240"/>
      <c r="T17" s="241"/>
      <c r="U17" s="241"/>
      <c r="V17" s="241"/>
      <c r="W17" s="241"/>
      <c r="X17" s="241"/>
      <c r="Y17" s="241"/>
      <c r="Z17" s="241"/>
    </row>
    <row r="18" spans="1:26" s="78" customFormat="1" ht="27" hidden="1" customHeight="1" x14ac:dyDescent="0.25">
      <c r="A18" s="80"/>
      <c r="B18" s="384"/>
      <c r="C18" s="362" t="s">
        <v>768</v>
      </c>
      <c r="D18" s="362"/>
      <c r="E18" s="362"/>
      <c r="F18" s="105">
        <v>32</v>
      </c>
      <c r="G18" s="125">
        <f>ROUND(+'Datos contribuyente'!I97+'Datos contribuyente'!M97,-3)</f>
        <v>0</v>
      </c>
      <c r="H18" s="384"/>
      <c r="I18" s="391"/>
      <c r="J18" s="383" t="s">
        <v>799</v>
      </c>
      <c r="K18" s="383"/>
      <c r="L18" s="383"/>
      <c r="M18" s="383"/>
      <c r="N18" s="117">
        <v>67</v>
      </c>
      <c r="O18" s="388">
        <f>ROUND(+SUM(G44:G47,O13:P17),-3)</f>
        <v>0</v>
      </c>
      <c r="P18" s="388"/>
      <c r="Q18" s="240"/>
      <c r="R18" s="240"/>
      <c r="S18" s="240"/>
      <c r="T18" s="241"/>
      <c r="U18" s="241"/>
      <c r="V18" s="241"/>
      <c r="W18" s="241"/>
      <c r="X18" s="241"/>
      <c r="Y18" s="241"/>
      <c r="Z18" s="241"/>
    </row>
    <row r="19" spans="1:26" s="78" customFormat="1" ht="27" hidden="1" customHeight="1" x14ac:dyDescent="0.25">
      <c r="A19" s="80"/>
      <c r="B19" s="384"/>
      <c r="C19" s="385" t="s">
        <v>769</v>
      </c>
      <c r="D19" s="385"/>
      <c r="E19" s="385"/>
      <c r="F19" s="103">
        <v>33</v>
      </c>
      <c r="G19" s="124">
        <f>ROUND(+'Datos contribuyente'!I110+'Datos contribuyente'!M110,-3)</f>
        <v>0</v>
      </c>
      <c r="H19" s="384"/>
      <c r="I19" s="390" t="s">
        <v>44</v>
      </c>
      <c r="J19" s="380" t="s">
        <v>800</v>
      </c>
      <c r="K19" s="380"/>
      <c r="L19" s="380"/>
      <c r="M19" s="380"/>
      <c r="N19" s="116">
        <v>68</v>
      </c>
      <c r="O19" s="389">
        <f>ROUND(IF('Datos contribuyente'!D480="No",+'Datos contribuyente'!K235+'Datos contribuyente'!O235,+'Datos contribuyente'!K235+'Datos contribuyente'!O235-'Datos contribuyente'!G508),-3)</f>
        <v>0</v>
      </c>
      <c r="P19" s="389">
        <f>+IF(P16-P17-P18&gt;0,P16-P17-P18,0)</f>
        <v>0</v>
      </c>
      <c r="Q19" s="242"/>
      <c r="R19" s="240"/>
      <c r="S19" s="240"/>
      <c r="T19" s="241"/>
      <c r="U19" s="241"/>
      <c r="V19" s="241"/>
      <c r="W19" s="241"/>
      <c r="X19" s="241"/>
      <c r="Y19" s="241"/>
      <c r="Z19" s="241"/>
    </row>
    <row r="20" spans="1:26" s="78" customFormat="1" ht="27" hidden="1" customHeight="1" x14ac:dyDescent="0.25">
      <c r="A20" s="80"/>
      <c r="B20" s="384"/>
      <c r="C20" s="362" t="s">
        <v>772</v>
      </c>
      <c r="D20" s="362"/>
      <c r="E20" s="362"/>
      <c r="F20" s="105">
        <v>34</v>
      </c>
      <c r="G20" s="125">
        <f>ROUND(+'Datos contribuyente'!I124+'Datos contribuyente'!M124,-3)</f>
        <v>0</v>
      </c>
      <c r="H20" s="384"/>
      <c r="I20" s="384"/>
      <c r="J20" s="381" t="s">
        <v>801</v>
      </c>
      <c r="K20" s="381"/>
      <c r="L20" s="381"/>
      <c r="M20" s="381"/>
      <c r="N20" s="105">
        <v>69</v>
      </c>
      <c r="O20" s="386">
        <f>ROUND(IF('Datos contribuyente'!D480="No",'Datos contribuyente'!K249+'Datos contribuyente'!O249,'Datos contribuyente'!K249+'Datos contribuyente'!O249-'Datos contribuyente'!G509),-3)</f>
        <v>0</v>
      </c>
      <c r="P20" s="386"/>
      <c r="Q20" s="242"/>
      <c r="R20" s="240"/>
      <c r="S20" s="240"/>
      <c r="T20" s="241"/>
      <c r="U20" s="241"/>
      <c r="V20" s="241"/>
      <c r="W20" s="241"/>
      <c r="X20" s="241"/>
      <c r="Y20" s="241"/>
      <c r="Z20" s="241"/>
    </row>
    <row r="21" spans="1:26" s="78" customFormat="1" ht="27" hidden="1" customHeight="1" x14ac:dyDescent="0.25">
      <c r="A21" s="80"/>
      <c r="B21" s="384"/>
      <c r="C21" s="385" t="s">
        <v>773</v>
      </c>
      <c r="D21" s="385"/>
      <c r="E21" s="385"/>
      <c r="F21" s="103">
        <v>35</v>
      </c>
      <c r="G21" s="124">
        <f>ROUND(+'Datos contribuyente'!I137+'Datos contribuyente'!M137,-3)</f>
        <v>0</v>
      </c>
      <c r="H21" s="384"/>
      <c r="I21" s="384"/>
      <c r="J21" s="382" t="s">
        <v>783</v>
      </c>
      <c r="K21" s="382"/>
      <c r="L21" s="382"/>
      <c r="M21" s="382"/>
      <c r="N21" s="103">
        <v>70</v>
      </c>
      <c r="O21" s="387">
        <f>ROUND(IF('Datos contribuyente'!D480="No",'Datos contribuyente'!K263+'Datos contribuyente'!O263,'Datos contribuyente'!K263+'Datos contribuyente'!O263-'Datos contribuyente'!G510),-3)</f>
        <v>0</v>
      </c>
      <c r="P21" s="387"/>
      <c r="Q21" s="242"/>
      <c r="R21" s="240"/>
      <c r="S21" s="240"/>
      <c r="T21" s="241"/>
      <c r="U21" s="241"/>
      <c r="V21" s="241"/>
      <c r="W21" s="241"/>
      <c r="X21" s="241"/>
      <c r="Y21" s="241"/>
      <c r="Z21" s="241"/>
    </row>
    <row r="22" spans="1:26" s="78" customFormat="1" ht="27" hidden="1" customHeight="1" x14ac:dyDescent="0.25">
      <c r="A22" s="80"/>
      <c r="B22" s="384"/>
      <c r="C22" s="362" t="s">
        <v>821</v>
      </c>
      <c r="D22" s="362"/>
      <c r="E22" s="362"/>
      <c r="F22" s="105">
        <v>36</v>
      </c>
      <c r="G22" s="125">
        <f>ROUND(+'Datos contribuyente'!I151+'Datos contribuyente'!M151,-3)</f>
        <v>0</v>
      </c>
      <c r="H22" s="384"/>
      <c r="I22" s="384"/>
      <c r="J22" s="381" t="s">
        <v>802</v>
      </c>
      <c r="K22" s="381"/>
      <c r="L22" s="381"/>
      <c r="M22" s="381"/>
      <c r="N22" s="105">
        <v>71</v>
      </c>
      <c r="O22" s="386">
        <f>ROUND(IF('Datos contribuyente'!D480="No",'Datos contribuyente'!K317+'Datos contribuyente'!O317,'Datos contribuyente'!K317+'Datos contribuyente'!O317-'Datos contribuyente'!G511),-3)</f>
        <v>0</v>
      </c>
      <c r="P22" s="386"/>
      <c r="Q22" s="242"/>
      <c r="R22" s="240"/>
      <c r="S22" s="240"/>
      <c r="T22" s="241"/>
      <c r="U22" s="241"/>
      <c r="V22" s="241"/>
      <c r="W22" s="241"/>
      <c r="X22" s="241"/>
      <c r="Y22" s="241"/>
      <c r="Z22" s="241"/>
    </row>
    <row r="23" spans="1:26" s="78" customFormat="1" ht="27" hidden="1" customHeight="1" x14ac:dyDescent="0.25">
      <c r="A23" s="80"/>
      <c r="B23" s="384"/>
      <c r="C23" s="385" t="s">
        <v>774</v>
      </c>
      <c r="D23" s="385"/>
      <c r="E23" s="385"/>
      <c r="F23" s="103">
        <v>37</v>
      </c>
      <c r="G23" s="124">
        <f>ROUND(+'Datos contribuyente'!I165+'Datos contribuyente'!M165,-3)</f>
        <v>0</v>
      </c>
      <c r="H23" s="384"/>
      <c r="I23" s="384"/>
      <c r="J23" s="382" t="s">
        <v>803</v>
      </c>
      <c r="K23" s="382"/>
      <c r="L23" s="382"/>
      <c r="M23" s="382"/>
      <c r="N23" s="103">
        <v>72</v>
      </c>
      <c r="O23" s="387">
        <f>ROUND(IF('Datos contribuyente'!D480="No",'Datos contribuyente'!K331+'Datos contribuyente'!O331,'Datos contribuyente'!K331+'Datos contribuyente'!O331-'Datos contribuyente'!G512),-3)</f>
        <v>0</v>
      </c>
      <c r="P23" s="387"/>
      <c r="Q23" s="242"/>
      <c r="R23" s="240"/>
      <c r="S23" s="240"/>
      <c r="T23" s="241"/>
      <c r="U23" s="241"/>
      <c r="V23" s="241"/>
      <c r="W23" s="241"/>
      <c r="X23" s="241"/>
      <c r="Y23" s="241"/>
      <c r="Z23" s="241"/>
    </row>
    <row r="24" spans="1:26" s="78" customFormat="1" ht="27" hidden="1" customHeight="1" x14ac:dyDescent="0.25">
      <c r="A24" s="80"/>
      <c r="B24" s="384"/>
      <c r="C24" s="362" t="s">
        <v>775</v>
      </c>
      <c r="D24" s="362"/>
      <c r="E24" s="362"/>
      <c r="F24" s="105">
        <v>38</v>
      </c>
      <c r="G24" s="125">
        <f>ROUND(+'Datos contribuyente'!I179+'Datos contribuyente'!M179,-3)</f>
        <v>0</v>
      </c>
      <c r="H24" s="384"/>
      <c r="I24" s="384"/>
      <c r="J24" s="381" t="s">
        <v>45</v>
      </c>
      <c r="K24" s="381"/>
      <c r="L24" s="381"/>
      <c r="M24" s="381"/>
      <c r="N24" s="105">
        <v>73</v>
      </c>
      <c r="O24" s="386">
        <f>ROUND(IF('Datos contribuyente'!D480="No",'Datos contribuyente'!K416+'Datos contribuyente'!O416,'Datos contribuyente'!K416+'Datos contribuyente'!O416-'Datos contribuyente'!G513),-3)</f>
        <v>0</v>
      </c>
      <c r="P24" s="386"/>
      <c r="Q24" s="242"/>
      <c r="R24" s="240"/>
      <c r="S24" s="240"/>
      <c r="T24" s="241"/>
      <c r="U24" s="241"/>
      <c r="V24" s="241"/>
      <c r="W24" s="241"/>
      <c r="X24" s="241"/>
      <c r="Y24" s="241"/>
      <c r="Z24" s="241"/>
    </row>
    <row r="25" spans="1:26" s="78" customFormat="1" ht="27" hidden="1" customHeight="1" x14ac:dyDescent="0.25">
      <c r="A25" s="80"/>
      <c r="B25" s="384"/>
      <c r="C25" s="385" t="s">
        <v>776</v>
      </c>
      <c r="D25" s="385"/>
      <c r="E25" s="385"/>
      <c r="F25" s="103">
        <v>39</v>
      </c>
      <c r="G25" s="124">
        <f>ROUND(+'Datos contribuyente'!I192+'Datos contribuyente'!M192,-3)</f>
        <v>0</v>
      </c>
      <c r="H25" s="384"/>
      <c r="I25" s="384"/>
      <c r="J25" s="382" t="s">
        <v>804</v>
      </c>
      <c r="K25" s="382"/>
      <c r="L25" s="382"/>
      <c r="M25" s="382"/>
      <c r="N25" s="103">
        <v>74</v>
      </c>
      <c r="O25" s="387">
        <f ca="1">ROUND(IF('Datos contribuyente'!D480="No",SUMIF('Datos contribuyente'!J296:K302,5%,'Datos contribuyente'!K296:K302)+SUMIF('Datos contribuyente'!N296:O302,5%,'Datos contribuyente'!O296:O302)+'Datos contribuyente'!K345+'Datos contribuyente'!O345,SUMIF('Datos contribuyente'!J296:K302,5%,'Datos contribuyente'!K296:K302)+SUMIF('Datos contribuyente'!N296:O302,5%,'Datos contribuyente'!O296:O302)+'Datos contribuyente'!K345+'Datos contribuyente'!O345-'Datos contribuyente'!G514),-3)</f>
        <v>0</v>
      </c>
      <c r="P25" s="387"/>
      <c r="Q25" s="242"/>
      <c r="R25" s="240"/>
      <c r="S25" s="240"/>
      <c r="T25" s="241"/>
      <c r="U25" s="241"/>
      <c r="V25" s="241"/>
      <c r="W25" s="241"/>
      <c r="X25" s="241"/>
      <c r="Y25" s="241"/>
      <c r="Z25" s="241"/>
    </row>
    <row r="26" spans="1:26" s="78" customFormat="1" ht="27" hidden="1" customHeight="1" x14ac:dyDescent="0.25">
      <c r="A26" s="80"/>
      <c r="B26" s="384"/>
      <c r="C26" s="362" t="s">
        <v>777</v>
      </c>
      <c r="D26" s="362"/>
      <c r="E26" s="362"/>
      <c r="F26" s="105">
        <v>40</v>
      </c>
      <c r="G26" s="125">
        <f>ROUND(+'Datos contribuyente'!I205+'Datos contribuyente'!M205,-3)</f>
        <v>0</v>
      </c>
      <c r="H26" s="384"/>
      <c r="I26" s="384"/>
      <c r="J26" s="381" t="s">
        <v>805</v>
      </c>
      <c r="K26" s="381"/>
      <c r="L26" s="381"/>
      <c r="M26" s="381"/>
      <c r="N26" s="105">
        <v>75</v>
      </c>
      <c r="O26" s="386">
        <f ca="1">ROUND(IF('Datos contribuyente'!D480="No",SUMIF('Datos contribuyente'!J296:K302,19%,'Datos contribuyente'!K296:K302)+SUMIF('Datos contribuyente'!N296:O302,19%,'Datos contribuyente'!O296:O302)+'Datos contribuyente'!K359+'Datos contribuyente'!O359,SUMIF('Datos contribuyente'!J296:K302,19%,'Datos contribuyente'!K296:K302)+SUMIF('Datos contribuyente'!N296:O302,19%,'Datos contribuyente'!O296:O302)+'Datos contribuyente'!K359+'Datos contribuyente'!O359-'Datos contribuyente'!G515),-3)</f>
        <v>0</v>
      </c>
      <c r="P26" s="386"/>
      <c r="Q26" s="242"/>
      <c r="R26" s="240"/>
      <c r="S26" s="240"/>
      <c r="T26" s="241"/>
      <c r="U26" s="241"/>
      <c r="V26" s="241"/>
      <c r="W26" s="241"/>
      <c r="X26" s="241"/>
      <c r="Y26" s="241"/>
      <c r="Z26" s="241"/>
    </row>
    <row r="27" spans="1:26" s="78" customFormat="1" ht="27" hidden="1" customHeight="1" x14ac:dyDescent="0.25">
      <c r="A27" s="80"/>
      <c r="B27" s="384"/>
      <c r="C27" s="395" t="s">
        <v>779</v>
      </c>
      <c r="D27" s="395"/>
      <c r="E27" s="395"/>
      <c r="F27" s="107">
        <v>41</v>
      </c>
      <c r="G27" s="126">
        <f>ROUND(+SUM(G13:G26),-3)</f>
        <v>0</v>
      </c>
      <c r="H27" s="384"/>
      <c r="I27" s="384"/>
      <c r="J27" s="382" t="s">
        <v>806</v>
      </c>
      <c r="K27" s="382"/>
      <c r="L27" s="382"/>
      <c r="M27" s="382"/>
      <c r="N27" s="103">
        <v>76</v>
      </c>
      <c r="O27" s="387">
        <f>ROUND(+'Datos contribuyente'!K430+'Datos contribuyente'!O430,-3)</f>
        <v>0</v>
      </c>
      <c r="P27" s="387"/>
      <c r="Q27" s="240"/>
      <c r="R27" s="240"/>
      <c r="S27" s="240"/>
      <c r="T27" s="241"/>
      <c r="U27" s="241"/>
      <c r="V27" s="241"/>
      <c r="W27" s="241"/>
      <c r="X27" s="241"/>
      <c r="Y27" s="241"/>
      <c r="Z27" s="241"/>
    </row>
    <row r="28" spans="1:26" s="78" customFormat="1" ht="27" hidden="1" customHeight="1" x14ac:dyDescent="0.25">
      <c r="A28" s="80"/>
      <c r="B28" s="384"/>
      <c r="C28" s="362" t="s">
        <v>778</v>
      </c>
      <c r="D28" s="362"/>
      <c r="E28" s="362"/>
      <c r="F28" s="105">
        <v>42</v>
      </c>
      <c r="G28" s="125">
        <f>ROUND(+'Datos contribuyente'!I219+'Datos contribuyente'!M219,-3)</f>
        <v>0</v>
      </c>
      <c r="H28" s="384"/>
      <c r="I28" s="384"/>
      <c r="J28" s="383" t="s">
        <v>807</v>
      </c>
      <c r="K28" s="383"/>
      <c r="L28" s="383"/>
      <c r="M28" s="383"/>
      <c r="N28" s="117">
        <v>77</v>
      </c>
      <c r="O28" s="388">
        <f ca="1">ROUND(+SUM(O19:P27),-3)</f>
        <v>0</v>
      </c>
      <c r="P28" s="388"/>
      <c r="Q28" s="240"/>
      <c r="R28" s="240"/>
      <c r="S28" s="240"/>
      <c r="T28" s="241"/>
      <c r="U28" s="241"/>
      <c r="V28" s="241"/>
      <c r="W28" s="241"/>
      <c r="X28" s="241"/>
      <c r="Y28" s="241"/>
      <c r="Z28" s="241"/>
    </row>
    <row r="29" spans="1:26" s="78" customFormat="1" ht="27" hidden="1" customHeight="1" x14ac:dyDescent="0.25">
      <c r="A29" s="80"/>
      <c r="B29" s="384"/>
      <c r="C29" s="418" t="s">
        <v>780</v>
      </c>
      <c r="D29" s="418"/>
      <c r="E29" s="418"/>
      <c r="F29" s="110">
        <v>43</v>
      </c>
      <c r="G29" s="127">
        <f>ROUND(+G27-G28,-3)</f>
        <v>0</v>
      </c>
      <c r="H29" s="384"/>
      <c r="I29" s="384"/>
      <c r="J29" s="382" t="s">
        <v>46</v>
      </c>
      <c r="K29" s="382"/>
      <c r="L29" s="382"/>
      <c r="M29" s="382"/>
      <c r="N29" s="103">
        <v>78</v>
      </c>
      <c r="O29" s="387">
        <f>ROUND(+'Datos contribuyente'!K444+'Datos contribuyente'!O444,-3)</f>
        <v>0</v>
      </c>
      <c r="P29" s="387"/>
      <c r="Q29" s="240"/>
      <c r="R29" s="240"/>
      <c r="S29" s="240"/>
      <c r="T29" s="241"/>
      <c r="U29" s="241"/>
      <c r="V29" s="241"/>
      <c r="W29" s="241"/>
      <c r="X29" s="241"/>
      <c r="Y29" s="241"/>
      <c r="Z29" s="241"/>
    </row>
    <row r="30" spans="1:26" s="78" customFormat="1" ht="27" hidden="1" customHeight="1" x14ac:dyDescent="0.25">
      <c r="A30" s="80"/>
      <c r="B30" s="384" t="s">
        <v>793</v>
      </c>
      <c r="C30" s="390" t="s">
        <v>47</v>
      </c>
      <c r="D30" s="362" t="s">
        <v>781</v>
      </c>
      <c r="E30" s="362"/>
      <c r="F30" s="105">
        <v>44</v>
      </c>
      <c r="G30" s="125">
        <f>ROUND(+'Datos contribuyente'!I235+'Datos contribuyente'!M235,-3)</f>
        <v>0</v>
      </c>
      <c r="H30" s="384"/>
      <c r="I30" s="384"/>
      <c r="J30" s="381" t="s">
        <v>808</v>
      </c>
      <c r="K30" s="381"/>
      <c r="L30" s="381"/>
      <c r="M30" s="381"/>
      <c r="N30" s="105">
        <v>79</v>
      </c>
      <c r="O30" s="386">
        <f>ROUND(+'Datos contribuyente'!K219+'Datos contribuyente'!O219,-3)</f>
        <v>0</v>
      </c>
      <c r="P30" s="386"/>
      <c r="Q30" s="240"/>
      <c r="R30" s="240"/>
      <c r="S30" s="240"/>
      <c r="T30" s="241"/>
      <c r="U30" s="241"/>
      <c r="V30" s="241"/>
      <c r="W30" s="241"/>
      <c r="X30" s="241"/>
      <c r="Y30" s="241"/>
      <c r="Z30" s="241"/>
    </row>
    <row r="31" spans="1:26" s="78" customFormat="1" ht="27" hidden="1" customHeight="1" x14ac:dyDescent="0.25">
      <c r="A31" s="80"/>
      <c r="B31" s="384"/>
      <c r="C31" s="384"/>
      <c r="D31" s="385" t="s">
        <v>782</v>
      </c>
      <c r="E31" s="385"/>
      <c r="F31" s="103">
        <v>45</v>
      </c>
      <c r="G31" s="124">
        <f>ROUND(+'Datos contribuyente'!I249+'Datos contribuyente'!M249,-3)</f>
        <v>0</v>
      </c>
      <c r="H31" s="384"/>
      <c r="I31" s="384"/>
      <c r="J31" s="382" t="s">
        <v>48</v>
      </c>
      <c r="K31" s="382"/>
      <c r="L31" s="382"/>
      <c r="M31" s="382"/>
      <c r="N31" s="103">
        <v>80</v>
      </c>
      <c r="O31" s="387">
        <f>ROUND(+'Datos contribuyente'!K458+'Datos contribuyente'!O458,-3)</f>
        <v>0</v>
      </c>
      <c r="P31" s="387"/>
      <c r="Q31" s="240"/>
      <c r="R31" s="240"/>
      <c r="S31" s="240"/>
      <c r="T31" s="241"/>
      <c r="U31" s="241"/>
      <c r="V31" s="241"/>
      <c r="W31" s="241"/>
      <c r="X31" s="241"/>
      <c r="Y31" s="241"/>
      <c r="Z31" s="241"/>
    </row>
    <row r="32" spans="1:26" s="78" customFormat="1" ht="27" hidden="1" customHeight="1" x14ac:dyDescent="0.25">
      <c r="A32" s="80"/>
      <c r="B32" s="384"/>
      <c r="C32" s="384"/>
      <c r="D32" s="362" t="s">
        <v>783</v>
      </c>
      <c r="E32" s="362"/>
      <c r="F32" s="105">
        <v>46</v>
      </c>
      <c r="G32" s="125">
        <f>ROUND(+'Datos contribuyente'!I263+'Datos contribuyente'!M263,-3)</f>
        <v>0</v>
      </c>
      <c r="H32" s="384"/>
      <c r="I32" s="391"/>
      <c r="J32" s="383" t="s">
        <v>809</v>
      </c>
      <c r="K32" s="383"/>
      <c r="L32" s="383"/>
      <c r="M32" s="383"/>
      <c r="N32" s="117">
        <v>81</v>
      </c>
      <c r="O32" s="388">
        <f ca="1">ROUND(+O28+O29+O30-O31,-3)</f>
        <v>0</v>
      </c>
      <c r="P32" s="388"/>
      <c r="Q32" s="240"/>
      <c r="R32" s="240"/>
      <c r="S32" s="240"/>
      <c r="T32" s="241"/>
      <c r="U32" s="241"/>
      <c r="V32" s="241"/>
      <c r="W32" s="241"/>
      <c r="X32" s="241"/>
      <c r="Y32" s="241"/>
      <c r="Z32" s="241"/>
    </row>
    <row r="33" spans="1:26" s="78" customFormat="1" ht="27" hidden="1" customHeight="1" x14ac:dyDescent="0.25">
      <c r="A33" s="80"/>
      <c r="B33" s="384"/>
      <c r="C33" s="384"/>
      <c r="D33" s="385" t="s">
        <v>784</v>
      </c>
      <c r="E33" s="385"/>
      <c r="F33" s="103">
        <v>47</v>
      </c>
      <c r="G33" s="124">
        <f>ROUND(+'Datos contribuyente'!I276+'Datos contribuyente'!M276,-3)</f>
        <v>0</v>
      </c>
      <c r="H33" s="384"/>
      <c r="I33" s="393" t="s">
        <v>810</v>
      </c>
      <c r="J33" s="393"/>
      <c r="K33" s="393"/>
      <c r="L33" s="393"/>
      <c r="M33" s="393"/>
      <c r="N33" s="107">
        <v>82</v>
      </c>
      <c r="O33" s="392">
        <f ca="1">+IF(O18-O32&gt;0,O18-O32,0)</f>
        <v>0</v>
      </c>
      <c r="P33" s="392"/>
      <c r="Q33" s="240"/>
      <c r="R33" s="240"/>
      <c r="S33" s="240"/>
      <c r="T33" s="241"/>
      <c r="U33" s="241"/>
      <c r="V33" s="241"/>
      <c r="W33" s="241"/>
      <c r="X33" s="241"/>
      <c r="Y33" s="241"/>
      <c r="Z33" s="241"/>
    </row>
    <row r="34" spans="1:26" s="78" customFormat="1" ht="27" hidden="1" customHeight="1" x14ac:dyDescent="0.25">
      <c r="A34" s="80"/>
      <c r="B34" s="384"/>
      <c r="C34" s="384"/>
      <c r="D34" s="362" t="s">
        <v>785</v>
      </c>
      <c r="E34" s="362"/>
      <c r="F34" s="105">
        <v>48</v>
      </c>
      <c r="G34" s="125">
        <f>ROUND(+'Datos contribuyente'!I289+'Datos contribuyente'!M289,-3)</f>
        <v>0</v>
      </c>
      <c r="H34" s="384"/>
      <c r="I34" s="394" t="s">
        <v>811</v>
      </c>
      <c r="J34" s="394"/>
      <c r="K34" s="394"/>
      <c r="L34" s="394"/>
      <c r="M34" s="394"/>
      <c r="N34" s="102">
        <v>83</v>
      </c>
      <c r="O34" s="419">
        <f ca="1">+IF(O32-O18&gt;0,O32-O18,0)</f>
        <v>0</v>
      </c>
      <c r="P34" s="419"/>
      <c r="Q34" s="240"/>
      <c r="R34" s="240"/>
      <c r="S34" s="240"/>
      <c r="T34" s="241"/>
      <c r="U34" s="241"/>
      <c r="V34" s="241"/>
      <c r="W34" s="241"/>
      <c r="X34" s="241"/>
      <c r="Y34" s="241"/>
      <c r="Z34" s="241"/>
    </row>
    <row r="35" spans="1:26" s="78" customFormat="1" ht="27" hidden="1" customHeight="1" x14ac:dyDescent="0.25">
      <c r="A35" s="80"/>
      <c r="B35" s="384"/>
      <c r="C35" s="391"/>
      <c r="D35" s="418" t="s">
        <v>786</v>
      </c>
      <c r="E35" s="418"/>
      <c r="F35" s="112">
        <v>49</v>
      </c>
      <c r="G35" s="128">
        <f>ROUND(+'Datos contribuyente'!I303+'Datos contribuyente'!M303,-3)</f>
        <v>0</v>
      </c>
      <c r="H35" s="384"/>
      <c r="I35" s="382" t="s">
        <v>49</v>
      </c>
      <c r="J35" s="382"/>
      <c r="K35" s="382"/>
      <c r="L35" s="382"/>
      <c r="M35" s="382"/>
      <c r="N35" s="103">
        <v>84</v>
      </c>
      <c r="O35" s="387">
        <f>+IF('Datos contribuyente'!E962="No",'Datos contribuyente'!E961,0)</f>
        <v>0</v>
      </c>
      <c r="P35" s="387"/>
      <c r="Q35" s="240"/>
      <c r="R35" s="240"/>
      <c r="S35" s="240"/>
      <c r="T35" s="241"/>
      <c r="U35" s="241"/>
      <c r="V35" s="241"/>
      <c r="W35" s="241"/>
      <c r="X35" s="241"/>
      <c r="Y35" s="241"/>
      <c r="Z35" s="241"/>
    </row>
    <row r="36" spans="1:26" s="78" customFormat="1" ht="27" hidden="1" customHeight="1" x14ac:dyDescent="0.25">
      <c r="A36" s="79"/>
      <c r="B36" s="384"/>
      <c r="C36" s="390" t="s">
        <v>50</v>
      </c>
      <c r="D36" s="362" t="s">
        <v>781</v>
      </c>
      <c r="E36" s="362"/>
      <c r="F36" s="105">
        <v>50</v>
      </c>
      <c r="G36" s="125">
        <f>ROUND(+'Datos contribuyente'!I317+'Datos contribuyente'!M317,-3)</f>
        <v>0</v>
      </c>
      <c r="H36" s="384"/>
      <c r="I36" s="381" t="s">
        <v>51</v>
      </c>
      <c r="J36" s="381"/>
      <c r="K36" s="381"/>
      <c r="L36" s="381"/>
      <c r="M36" s="381"/>
      <c r="N36" s="105">
        <v>85</v>
      </c>
      <c r="O36" s="386">
        <f>ROUND(+'Datos contribuyente'!K472+'Datos contribuyente'!O472,-3)</f>
        <v>0</v>
      </c>
      <c r="P36" s="386"/>
      <c r="Q36" s="243"/>
      <c r="R36" s="240"/>
      <c r="S36" s="240"/>
      <c r="T36" s="241"/>
      <c r="U36" s="241"/>
      <c r="V36" s="241"/>
      <c r="W36" s="241"/>
      <c r="X36" s="241"/>
      <c r="Y36" s="241"/>
      <c r="Z36" s="241"/>
    </row>
    <row r="37" spans="1:26" s="78" customFormat="1" ht="27" hidden="1" customHeight="1" x14ac:dyDescent="0.25">
      <c r="A37" s="79"/>
      <c r="B37" s="384"/>
      <c r="C37" s="384"/>
      <c r="D37" s="385" t="s">
        <v>782</v>
      </c>
      <c r="E37" s="385"/>
      <c r="F37" s="103">
        <v>51</v>
      </c>
      <c r="G37" s="124">
        <f>ROUND(+'Datos contribuyente'!I331+'Datos contribuyente'!M331,-3)</f>
        <v>0</v>
      </c>
      <c r="H37" s="384"/>
      <c r="I37" s="393" t="s">
        <v>812</v>
      </c>
      <c r="J37" s="393"/>
      <c r="K37" s="393"/>
      <c r="L37" s="393"/>
      <c r="M37" s="393"/>
      <c r="N37" s="107">
        <v>86</v>
      </c>
      <c r="O37" s="392">
        <f ca="1">+IF(O33-O35-O36&gt;0,O33-O35-O36,0)</f>
        <v>0</v>
      </c>
      <c r="P37" s="392"/>
      <c r="Q37" s="243"/>
      <c r="R37" s="240"/>
      <c r="S37" s="240"/>
      <c r="T37" s="241"/>
      <c r="U37" s="241"/>
      <c r="V37" s="241"/>
      <c r="W37" s="241"/>
      <c r="X37" s="241"/>
      <c r="Y37" s="241"/>
      <c r="Z37" s="241"/>
    </row>
    <row r="38" spans="1:26" s="78" customFormat="1" ht="27" hidden="1" customHeight="1" x14ac:dyDescent="0.25">
      <c r="A38" s="79"/>
      <c r="B38" s="384"/>
      <c r="C38" s="384"/>
      <c r="D38" s="362" t="s">
        <v>787</v>
      </c>
      <c r="E38" s="362"/>
      <c r="F38" s="105">
        <v>52</v>
      </c>
      <c r="G38" s="125">
        <f>ROUND(+'Datos contribuyente'!I345+'Datos contribuyente'!M345,-3)</f>
        <v>0</v>
      </c>
      <c r="H38" s="384"/>
      <c r="I38" s="381" t="s">
        <v>52</v>
      </c>
      <c r="J38" s="381"/>
      <c r="K38" s="381"/>
      <c r="L38" s="381"/>
      <c r="M38" s="381"/>
      <c r="N38" s="105">
        <v>87</v>
      </c>
      <c r="O38" s="386">
        <f>ROUND(+'Datos contribuyente'!G906+'Datos contribuyente'!G936,-3)</f>
        <v>0</v>
      </c>
      <c r="P38" s="386"/>
      <c r="Q38" s="243"/>
      <c r="R38" s="240"/>
      <c r="S38" s="240"/>
      <c r="T38" s="241"/>
      <c r="U38" s="241"/>
      <c r="V38" s="241"/>
      <c r="W38" s="241"/>
      <c r="X38" s="241"/>
      <c r="Y38" s="241"/>
      <c r="Z38" s="241"/>
    </row>
    <row r="39" spans="1:26" s="78" customFormat="1" ht="27" hidden="1" customHeight="1" x14ac:dyDescent="0.25">
      <c r="A39" s="80"/>
      <c r="B39" s="384"/>
      <c r="C39" s="384"/>
      <c r="D39" s="385" t="s">
        <v>788</v>
      </c>
      <c r="E39" s="385"/>
      <c r="F39" s="103">
        <v>53</v>
      </c>
      <c r="G39" s="124">
        <f>ROUND(+'Datos contribuyente'!I359+'Datos contribuyente'!M359,-3)</f>
        <v>0</v>
      </c>
      <c r="H39" s="384"/>
      <c r="I39" s="393" t="s">
        <v>813</v>
      </c>
      <c r="J39" s="393"/>
      <c r="K39" s="393"/>
      <c r="L39" s="393"/>
      <c r="M39" s="393"/>
      <c r="N39" s="107">
        <v>88</v>
      </c>
      <c r="O39" s="392">
        <f ca="1">+IF(O33-O35-O36+O38&gt;0,O33-O35-O36+O38,0)</f>
        <v>0</v>
      </c>
      <c r="P39" s="392"/>
      <c r="Q39" s="243"/>
      <c r="R39" s="240"/>
      <c r="S39" s="240"/>
      <c r="T39" s="241"/>
      <c r="U39" s="241"/>
      <c r="V39" s="241"/>
      <c r="W39" s="241"/>
      <c r="X39" s="241"/>
      <c r="Y39" s="241"/>
      <c r="Z39" s="241"/>
    </row>
    <row r="40" spans="1:26" s="78" customFormat="1" ht="27" hidden="1" customHeight="1" x14ac:dyDescent="0.25">
      <c r="A40" s="80"/>
      <c r="B40" s="384"/>
      <c r="C40" s="391"/>
      <c r="D40" s="420" t="s">
        <v>789</v>
      </c>
      <c r="E40" s="420"/>
      <c r="F40" s="114">
        <v>54</v>
      </c>
      <c r="G40" s="129">
        <f>ROUND(+'Datos contribuyente'!I372+'Datos contribuyente'!M372,-3)</f>
        <v>0</v>
      </c>
      <c r="H40" s="391"/>
      <c r="I40" s="383" t="s">
        <v>1034</v>
      </c>
      <c r="J40" s="383"/>
      <c r="K40" s="383"/>
      <c r="L40" s="383"/>
      <c r="M40" s="383"/>
      <c r="N40" s="117">
        <v>89</v>
      </c>
      <c r="O40" s="388">
        <f ca="1">+IF(O34+O35+O36-O38-O37-O33&gt;0,O34+O35+O36-O38-O37-O33,0)</f>
        <v>0</v>
      </c>
      <c r="P40" s="388"/>
      <c r="Q40" s="240"/>
      <c r="R40" s="240"/>
      <c r="S40" s="240"/>
      <c r="T40" s="241"/>
      <c r="U40" s="241"/>
      <c r="V40" s="241"/>
      <c r="W40" s="241"/>
      <c r="X40" s="241"/>
      <c r="Y40" s="241"/>
      <c r="Z40" s="241"/>
    </row>
    <row r="41" spans="1:26" s="78" customFormat="1" ht="27" hidden="1" customHeight="1" x14ac:dyDescent="0.25">
      <c r="A41" s="80"/>
      <c r="B41" s="384"/>
      <c r="C41" s="395" t="s">
        <v>790</v>
      </c>
      <c r="D41" s="395"/>
      <c r="E41" s="395"/>
      <c r="F41" s="107">
        <v>55</v>
      </c>
      <c r="G41" s="126">
        <f>ROUND(+SUM(G30:G40),-3)</f>
        <v>0</v>
      </c>
      <c r="H41" s="390" t="s">
        <v>53</v>
      </c>
      <c r="I41" s="380" t="s">
        <v>54</v>
      </c>
      <c r="J41" s="380"/>
      <c r="K41" s="380"/>
      <c r="L41" s="380"/>
      <c r="M41" s="380"/>
      <c r="N41" s="116">
        <v>90</v>
      </c>
      <c r="O41" s="389">
        <f>ROUND(+'Datos contribuyente'!G953,-3)</f>
        <v>0</v>
      </c>
      <c r="P41" s="389"/>
      <c r="Q41" s="240"/>
      <c r="R41" s="240"/>
      <c r="S41" s="240"/>
      <c r="T41" s="241"/>
      <c r="U41" s="241"/>
      <c r="V41" s="241"/>
      <c r="W41" s="241"/>
      <c r="X41" s="241"/>
      <c r="Y41" s="241"/>
      <c r="Z41" s="241"/>
    </row>
    <row r="42" spans="1:26" s="78" customFormat="1" ht="27" hidden="1" customHeight="1" x14ac:dyDescent="0.25">
      <c r="A42" s="80"/>
      <c r="B42" s="384"/>
      <c r="C42" s="362" t="s">
        <v>791</v>
      </c>
      <c r="D42" s="362"/>
      <c r="E42" s="362"/>
      <c r="F42" s="105">
        <v>56</v>
      </c>
      <c r="G42" s="125">
        <f>ROUND(+'Datos contribuyente'!I386+'Datos contribuyente'!M386,-3)</f>
        <v>0</v>
      </c>
      <c r="H42" s="384"/>
      <c r="I42" s="381" t="s">
        <v>55</v>
      </c>
      <c r="J42" s="381"/>
      <c r="K42" s="381"/>
      <c r="L42" s="381"/>
      <c r="M42" s="381"/>
      <c r="N42" s="105">
        <v>91</v>
      </c>
      <c r="O42" s="386">
        <f ca="1">ROUND(+'Datos contribuyente'!G954,-3)</f>
        <v>0</v>
      </c>
      <c r="P42" s="386"/>
      <c r="Q42" s="240"/>
      <c r="R42" s="240"/>
      <c r="S42" s="240"/>
      <c r="T42" s="241"/>
      <c r="U42" s="241"/>
      <c r="V42" s="241"/>
      <c r="W42" s="241"/>
      <c r="X42" s="241"/>
      <c r="Y42" s="241"/>
      <c r="Z42" s="241"/>
    </row>
    <row r="43" spans="1:26" s="78" customFormat="1" ht="27" hidden="1" customHeight="1" x14ac:dyDescent="0.25">
      <c r="A43" s="80"/>
      <c r="B43" s="384"/>
      <c r="C43" s="409" t="s">
        <v>792</v>
      </c>
      <c r="D43" s="409"/>
      <c r="E43" s="409"/>
      <c r="F43" s="110">
        <v>57</v>
      </c>
      <c r="G43" s="127">
        <f>ROUND(+G41-G42,-3)</f>
        <v>0</v>
      </c>
      <c r="H43" s="384"/>
      <c r="I43" s="382" t="s">
        <v>56</v>
      </c>
      <c r="J43" s="382"/>
      <c r="K43" s="382"/>
      <c r="L43" s="382"/>
      <c r="M43" s="382"/>
      <c r="N43" s="103">
        <v>92</v>
      </c>
      <c r="O43" s="387">
        <f>ROUND(+'Datos contribuyente'!G955,-3)</f>
        <v>0</v>
      </c>
      <c r="P43" s="387"/>
      <c r="Q43" s="240"/>
      <c r="R43" s="240"/>
      <c r="S43" s="240"/>
      <c r="T43" s="241"/>
      <c r="U43" s="241"/>
      <c r="V43" s="241"/>
      <c r="W43" s="241"/>
      <c r="X43" s="241"/>
      <c r="Y43" s="241"/>
      <c r="Z43" s="241"/>
    </row>
    <row r="44" spans="1:26" s="78" customFormat="1" ht="27" hidden="1" customHeight="1" x14ac:dyDescent="0.25">
      <c r="A44" s="80"/>
      <c r="B44" s="399" t="s">
        <v>57</v>
      </c>
      <c r="C44" s="399" t="s">
        <v>794</v>
      </c>
      <c r="D44" s="402" t="s">
        <v>795</v>
      </c>
      <c r="E44" s="402"/>
      <c r="F44" s="118">
        <v>58</v>
      </c>
      <c r="G44" s="130">
        <f>ROUND(+'Datos contribuyente'!K30+'Datos contribuyente'!O30,-3)</f>
        <v>0</v>
      </c>
      <c r="H44" s="391"/>
      <c r="I44" s="383" t="s">
        <v>814</v>
      </c>
      <c r="J44" s="383"/>
      <c r="K44" s="383"/>
      <c r="L44" s="383"/>
      <c r="M44" s="383"/>
      <c r="N44" s="117">
        <v>93</v>
      </c>
      <c r="O44" s="388">
        <f ca="1">+'Datos contribuyente'!G956</f>
        <v>0</v>
      </c>
      <c r="P44" s="388"/>
      <c r="Q44" s="240"/>
      <c r="R44" s="240"/>
      <c r="S44" s="240"/>
      <c r="T44" s="241"/>
      <c r="U44" s="241"/>
      <c r="V44" s="241"/>
      <c r="W44" s="241"/>
      <c r="X44" s="241"/>
      <c r="Y44" s="241"/>
      <c r="Z44" s="241"/>
    </row>
    <row r="45" spans="1:26" s="78" customFormat="1" ht="27" hidden="1" customHeight="1" x14ac:dyDescent="0.25">
      <c r="A45" s="80"/>
      <c r="B45" s="400"/>
      <c r="C45" s="400"/>
      <c r="D45" s="385" t="s">
        <v>796</v>
      </c>
      <c r="E45" s="385"/>
      <c r="F45" s="103">
        <v>59</v>
      </c>
      <c r="G45" s="124">
        <f>ROUND(+'Datos contribuyente'!K44+'Datos contribuyente'!O44,-3)</f>
        <v>0</v>
      </c>
      <c r="H45" s="399" t="s">
        <v>815</v>
      </c>
      <c r="I45" s="399"/>
      <c r="J45" s="403" t="s">
        <v>58</v>
      </c>
      <c r="K45" s="98">
        <v>1</v>
      </c>
      <c r="L45" s="132">
        <v>0</v>
      </c>
      <c r="M45" s="403" t="s">
        <v>58</v>
      </c>
      <c r="N45" s="101">
        <v>4</v>
      </c>
      <c r="O45" s="406">
        <v>0</v>
      </c>
      <c r="P45" s="406"/>
      <c r="Q45" s="240"/>
      <c r="R45" s="240"/>
      <c r="S45" s="240"/>
      <c r="T45" s="241"/>
      <c r="U45" s="241"/>
      <c r="V45" s="241"/>
      <c r="W45" s="241"/>
      <c r="X45" s="241"/>
      <c r="Y45" s="241"/>
      <c r="Z45" s="241"/>
    </row>
    <row r="46" spans="1:26" s="78" customFormat="1" ht="27" hidden="1" customHeight="1" x14ac:dyDescent="0.25">
      <c r="A46" s="80"/>
      <c r="B46" s="400"/>
      <c r="C46" s="400"/>
      <c r="D46" s="362" t="s">
        <v>765</v>
      </c>
      <c r="E46" s="362"/>
      <c r="F46" s="105">
        <v>60</v>
      </c>
      <c r="G46" s="131">
        <f>ROUND(+'Datos contribuyente'!K58+'Datos contribuyente'!O58,-3)</f>
        <v>0</v>
      </c>
      <c r="H46" s="400"/>
      <c r="I46" s="400"/>
      <c r="J46" s="404"/>
      <c r="K46" s="96">
        <v>2</v>
      </c>
      <c r="L46" s="133">
        <v>0</v>
      </c>
      <c r="M46" s="404"/>
      <c r="N46" s="101">
        <v>5</v>
      </c>
      <c r="O46" s="407">
        <v>0</v>
      </c>
      <c r="P46" s="407"/>
      <c r="Q46" s="240"/>
      <c r="R46" s="240"/>
      <c r="S46" s="240"/>
      <c r="T46" s="241"/>
      <c r="U46" s="241"/>
      <c r="V46" s="241"/>
      <c r="W46" s="241"/>
      <c r="X46" s="241"/>
      <c r="Y46" s="241"/>
      <c r="Z46" s="241"/>
    </row>
    <row r="47" spans="1:26" s="78" customFormat="1" ht="27" hidden="1" customHeight="1" x14ac:dyDescent="0.25">
      <c r="A47" s="80"/>
      <c r="B47" s="401"/>
      <c r="C47" s="401"/>
      <c r="D47" s="418" t="s">
        <v>797</v>
      </c>
      <c r="E47" s="418"/>
      <c r="F47" s="112">
        <v>61</v>
      </c>
      <c r="G47" s="128">
        <f>ROUND(+'Datos contribuyente'!K124+'Datos contribuyente'!O124,-3)</f>
        <v>0</v>
      </c>
      <c r="H47" s="401"/>
      <c r="I47" s="401"/>
      <c r="J47" s="405"/>
      <c r="K47" s="98">
        <v>3</v>
      </c>
      <c r="L47" s="128">
        <v>0</v>
      </c>
      <c r="M47" s="405"/>
      <c r="N47" s="101">
        <v>6</v>
      </c>
      <c r="O47" s="408">
        <v>0</v>
      </c>
      <c r="P47" s="408"/>
      <c r="Q47" s="240"/>
      <c r="R47" s="240"/>
      <c r="S47" s="240"/>
      <c r="T47" s="241"/>
      <c r="U47" s="241"/>
      <c r="V47" s="241"/>
      <c r="W47" s="241"/>
      <c r="X47" s="241"/>
      <c r="Y47" s="241"/>
      <c r="Z47" s="241"/>
    </row>
    <row r="48" spans="1:26" s="78" customFormat="1" ht="27" hidden="1" customHeight="1" x14ac:dyDescent="0.25">
      <c r="A48" s="80"/>
      <c r="B48" s="396" t="s">
        <v>59</v>
      </c>
      <c r="C48" s="397"/>
      <c r="D48" s="397"/>
      <c r="E48" s="397"/>
      <c r="F48" s="120"/>
      <c r="G48" s="97"/>
      <c r="H48" s="398" t="s">
        <v>816</v>
      </c>
      <c r="I48" s="398"/>
      <c r="J48" s="398"/>
      <c r="K48" s="398"/>
      <c r="L48" s="398"/>
      <c r="M48" s="376">
        <v>100</v>
      </c>
      <c r="N48" s="377"/>
      <c r="O48" s="367">
        <v>0</v>
      </c>
      <c r="P48" s="367"/>
      <c r="Q48" s="240"/>
      <c r="R48" s="240"/>
      <c r="S48" s="240"/>
      <c r="T48" s="241"/>
      <c r="U48" s="241"/>
      <c r="V48" s="241"/>
      <c r="W48" s="241"/>
      <c r="X48" s="241"/>
      <c r="Y48" s="241"/>
      <c r="Z48" s="241"/>
    </row>
    <row r="49" spans="1:26" hidden="1" x14ac:dyDescent="0.25"/>
    <row r="50" spans="1:26" s="10" customFormat="1" ht="36" hidden="1" customHeight="1" x14ac:dyDescent="0.3">
      <c r="B50" s="338" t="s">
        <v>822</v>
      </c>
      <c r="C50" s="338"/>
      <c r="D50" s="338"/>
      <c r="E50" s="338"/>
      <c r="F50" s="338"/>
      <c r="G50" s="338"/>
      <c r="H50" s="338"/>
      <c r="I50" s="338"/>
      <c r="J50" s="338"/>
      <c r="K50" s="338"/>
      <c r="L50" s="338"/>
      <c r="M50" s="338"/>
      <c r="N50" s="338"/>
      <c r="O50" s="338"/>
      <c r="P50" s="338"/>
    </row>
    <row r="51" spans="1:26" hidden="1" x14ac:dyDescent="0.25"/>
    <row r="52" spans="1:26" s="75" customFormat="1" ht="60" hidden="1" customHeight="1" x14ac:dyDescent="0.25">
      <c r="A52" s="74"/>
      <c r="B52" s="368"/>
      <c r="C52" s="368"/>
      <c r="D52" s="368"/>
      <c r="E52" s="378" t="s">
        <v>817</v>
      </c>
      <c r="F52" s="378"/>
      <c r="G52" s="378"/>
      <c r="H52" s="378"/>
      <c r="I52" s="378"/>
      <c r="J52" s="378"/>
      <c r="K52" s="378"/>
      <c r="L52" s="369" t="s">
        <v>31</v>
      </c>
      <c r="M52" s="369"/>
      <c r="N52" s="369"/>
      <c r="O52" s="379">
        <v>300</v>
      </c>
      <c r="P52" s="379"/>
      <c r="Q52" s="234"/>
      <c r="R52" s="235"/>
      <c r="S52" s="235"/>
      <c r="T52" s="236"/>
      <c r="U52" s="236"/>
      <c r="V52" s="236"/>
      <c r="W52" s="236"/>
      <c r="X52" s="236"/>
      <c r="Y52" s="236"/>
      <c r="Z52" s="236"/>
    </row>
    <row r="53" spans="1:26" s="77" customFormat="1" ht="27.6" hidden="1" customHeight="1" x14ac:dyDescent="0.25">
      <c r="A53" s="76"/>
      <c r="B53" s="370" t="s">
        <v>32</v>
      </c>
      <c r="C53" s="370"/>
      <c r="D53" s="121">
        <f>+'Datos contribuyente'!$I$6</f>
        <v>2025</v>
      </c>
      <c r="E53" s="100">
        <v>6</v>
      </c>
      <c r="F53" s="416" t="s">
        <v>33</v>
      </c>
      <c r="G53" s="417"/>
      <c r="H53" s="376">
        <v>2</v>
      </c>
      <c r="I53" s="377"/>
      <c r="J53" s="364" t="s">
        <v>34</v>
      </c>
      <c r="K53" s="364"/>
      <c r="L53" s="364"/>
      <c r="M53" s="364"/>
      <c r="N53" s="364"/>
      <c r="O53" s="364"/>
      <c r="P53" s="364"/>
      <c r="Q53" s="237"/>
      <c r="R53" s="238"/>
      <c r="S53" s="238"/>
      <c r="T53" s="239"/>
      <c r="U53" s="239"/>
      <c r="V53" s="239"/>
      <c r="W53" s="239"/>
      <c r="X53" s="239"/>
      <c r="Y53" s="239"/>
      <c r="Z53" s="239"/>
    </row>
    <row r="54" spans="1:26" s="77" customFormat="1" ht="27.6" hidden="1" customHeight="1" x14ac:dyDescent="0.25">
      <c r="A54" s="76"/>
      <c r="B54" s="363" t="s">
        <v>770</v>
      </c>
      <c r="C54" s="363"/>
      <c r="D54" s="364" t="s">
        <v>35</v>
      </c>
      <c r="E54" s="364"/>
      <c r="F54" s="410" t="s">
        <v>36</v>
      </c>
      <c r="G54" s="411"/>
      <c r="H54" s="411"/>
      <c r="I54" s="411"/>
      <c r="J54" s="411"/>
      <c r="K54" s="411"/>
      <c r="L54" s="411"/>
      <c r="M54" s="412"/>
      <c r="N54" s="364" t="s">
        <v>37</v>
      </c>
      <c r="O54" s="364"/>
      <c r="P54" s="364"/>
      <c r="Q54" s="237"/>
      <c r="R54" s="238"/>
      <c r="S54" s="238"/>
      <c r="T54" s="239"/>
      <c r="U54" s="239"/>
      <c r="V54" s="239"/>
      <c r="W54" s="239"/>
      <c r="X54" s="239"/>
      <c r="Y54" s="239"/>
      <c r="Z54" s="239"/>
    </row>
    <row r="55" spans="1:26" s="77" customFormat="1" ht="27.6" hidden="1" customHeight="1" x14ac:dyDescent="0.25">
      <c r="A55" s="99"/>
      <c r="B55" s="363"/>
      <c r="C55" s="363"/>
      <c r="D55" s="365">
        <f>+'Datos contribuyente'!$E$6</f>
        <v>0</v>
      </c>
      <c r="E55" s="366"/>
      <c r="F55" s="413" t="s">
        <v>38</v>
      </c>
      <c r="G55" s="414"/>
      <c r="H55" s="414"/>
      <c r="I55" s="414"/>
      <c r="J55" s="414"/>
      <c r="K55" s="414"/>
      <c r="L55" s="414"/>
      <c r="M55" s="415"/>
      <c r="N55" s="367"/>
      <c r="O55" s="367"/>
      <c r="P55" s="367"/>
      <c r="Q55" s="238"/>
      <c r="R55" s="238"/>
      <c r="S55" s="238"/>
      <c r="T55" s="239"/>
      <c r="U55" s="239"/>
      <c r="V55" s="239"/>
      <c r="W55" s="239"/>
      <c r="X55" s="239"/>
      <c r="Y55" s="239"/>
      <c r="Z55" s="239"/>
    </row>
    <row r="56" spans="1:26" s="77" customFormat="1" ht="27.6" hidden="1" customHeight="1" x14ac:dyDescent="0.25">
      <c r="A56" s="99"/>
      <c r="B56" s="363"/>
      <c r="C56" s="363"/>
      <c r="D56" s="371" t="s">
        <v>818</v>
      </c>
      <c r="E56" s="372"/>
      <c r="F56" s="373">
        <f>+'Datos contribuyente'!$B$6</f>
        <v>0</v>
      </c>
      <c r="G56" s="374"/>
      <c r="H56" s="374"/>
      <c r="I56" s="374"/>
      <c r="J56" s="374"/>
      <c r="K56" s="374"/>
      <c r="L56" s="374"/>
      <c r="M56" s="374"/>
      <c r="N56" s="374"/>
      <c r="O56" s="374"/>
      <c r="P56" s="375"/>
      <c r="Q56" s="238"/>
      <c r="R56" s="238"/>
      <c r="S56" s="238"/>
      <c r="T56" s="239"/>
      <c r="U56" s="239"/>
      <c r="V56" s="239"/>
      <c r="W56" s="239"/>
      <c r="X56" s="239"/>
      <c r="Y56" s="239"/>
      <c r="Z56" s="239"/>
    </row>
    <row r="57" spans="1:26" s="78" customFormat="1" ht="27" hidden="1" customHeight="1" x14ac:dyDescent="0.25">
      <c r="A57" s="80"/>
      <c r="B57" s="384" t="s">
        <v>771</v>
      </c>
      <c r="C57" s="385" t="s">
        <v>761</v>
      </c>
      <c r="D57" s="385"/>
      <c r="E57" s="385"/>
      <c r="F57" s="103">
        <v>27</v>
      </c>
      <c r="G57" s="104">
        <f>ROUND(+'Datos contribuyente'!Q30+'Datos contribuyente'!U30,-3)</f>
        <v>0</v>
      </c>
      <c r="H57" s="390" t="s">
        <v>39</v>
      </c>
      <c r="I57" s="390" t="s">
        <v>40</v>
      </c>
      <c r="J57" s="380" t="s">
        <v>41</v>
      </c>
      <c r="K57" s="380"/>
      <c r="L57" s="380"/>
      <c r="M57" s="380"/>
      <c r="N57" s="116">
        <v>62</v>
      </c>
      <c r="O57" s="389">
        <f>ROUND(+'Datos contribuyente'!S151+'Datos contribuyente'!W151,-3)</f>
        <v>0</v>
      </c>
      <c r="P57" s="389"/>
      <c r="Q57" s="240"/>
      <c r="R57" s="240"/>
      <c r="S57" s="240"/>
      <c r="T57" s="241"/>
      <c r="U57" s="241"/>
      <c r="V57" s="241"/>
      <c r="W57" s="241"/>
      <c r="X57" s="241"/>
      <c r="Y57" s="241"/>
      <c r="Z57" s="241"/>
    </row>
    <row r="58" spans="1:26" s="78" customFormat="1" ht="27" hidden="1" customHeight="1" x14ac:dyDescent="0.25">
      <c r="A58" s="80"/>
      <c r="B58" s="384"/>
      <c r="C58" s="362" t="s">
        <v>762</v>
      </c>
      <c r="D58" s="362"/>
      <c r="E58" s="362"/>
      <c r="F58" s="105">
        <v>28</v>
      </c>
      <c r="G58" s="106">
        <f>ROUND(+'Datos contribuyente'!Q44+'Datos contribuyente'!U44,-3)</f>
        <v>0</v>
      </c>
      <c r="H58" s="384"/>
      <c r="I58" s="384"/>
      <c r="J58" s="381" t="s">
        <v>42</v>
      </c>
      <c r="K58" s="381"/>
      <c r="L58" s="381"/>
      <c r="M58" s="381"/>
      <c r="N58" s="105">
        <v>63</v>
      </c>
      <c r="O58" s="386">
        <f>ROUND(+'Datos contribuyente'!S165+'Datos contribuyente'!W165,-3)</f>
        <v>0</v>
      </c>
      <c r="P58" s="386"/>
      <c r="Q58" s="240"/>
      <c r="R58" s="240"/>
      <c r="S58" s="240"/>
      <c r="T58" s="241"/>
      <c r="U58" s="241"/>
      <c r="V58" s="241"/>
      <c r="W58" s="241"/>
      <c r="X58" s="241"/>
      <c r="Y58" s="241"/>
      <c r="Z58" s="241"/>
    </row>
    <row r="59" spans="1:26" s="78" customFormat="1" ht="27" hidden="1" customHeight="1" x14ac:dyDescent="0.25">
      <c r="A59" s="80"/>
      <c r="B59" s="384"/>
      <c r="C59" s="385" t="s">
        <v>763</v>
      </c>
      <c r="D59" s="385"/>
      <c r="E59" s="385"/>
      <c r="F59" s="103">
        <v>29</v>
      </c>
      <c r="G59" s="104">
        <f>ROUND(+'Datos contribuyente'!Q58+'Datos contribuyente'!U58,-3)</f>
        <v>0</v>
      </c>
      <c r="H59" s="384"/>
      <c r="I59" s="384"/>
      <c r="J59" s="382" t="s">
        <v>43</v>
      </c>
      <c r="K59" s="382"/>
      <c r="L59" s="382"/>
      <c r="M59" s="382"/>
      <c r="N59" s="103">
        <v>64</v>
      </c>
      <c r="O59" s="387">
        <f>ROUND(+'Datos contribuyente'!S179+'Datos contribuyente'!W179,-3)</f>
        <v>0</v>
      </c>
      <c r="P59" s="387"/>
      <c r="Q59" s="240"/>
      <c r="R59" s="240"/>
      <c r="S59" s="240"/>
      <c r="T59" s="241"/>
      <c r="U59" s="241"/>
      <c r="V59" s="241"/>
      <c r="W59" s="241"/>
      <c r="X59" s="241"/>
      <c r="Y59" s="241"/>
      <c r="Z59" s="241"/>
    </row>
    <row r="60" spans="1:26" s="78" customFormat="1" ht="27" hidden="1" customHeight="1" x14ac:dyDescent="0.25">
      <c r="A60" s="80"/>
      <c r="B60" s="384"/>
      <c r="C60" s="362" t="s">
        <v>766</v>
      </c>
      <c r="D60" s="362"/>
      <c r="E60" s="362"/>
      <c r="F60" s="105">
        <v>30</v>
      </c>
      <c r="G60" s="106">
        <f>ROUND(+'Datos contribuyente'!Q71+'Datos contribuyente'!U71,-3)</f>
        <v>0</v>
      </c>
      <c r="H60" s="384"/>
      <c r="I60" s="384"/>
      <c r="J60" s="381" t="s">
        <v>798</v>
      </c>
      <c r="K60" s="381"/>
      <c r="L60" s="381"/>
      <c r="M60" s="381"/>
      <c r="N60" s="105">
        <v>65</v>
      </c>
      <c r="O60" s="386">
        <f>ROUND(+'Datos contribuyente'!S402+'Datos contribuyente'!W402,-3)</f>
        <v>0</v>
      </c>
      <c r="P60" s="386">
        <v>0</v>
      </c>
      <c r="Q60" s="240"/>
      <c r="R60" s="240"/>
      <c r="S60" s="240"/>
      <c r="T60" s="241"/>
      <c r="U60" s="241"/>
      <c r="V60" s="241"/>
      <c r="W60" s="241"/>
      <c r="X60" s="241"/>
      <c r="Y60" s="241"/>
      <c r="Z60" s="241"/>
    </row>
    <row r="61" spans="1:26" s="78" customFormat="1" ht="27" hidden="1" customHeight="1" x14ac:dyDescent="0.25">
      <c r="A61" s="80"/>
      <c r="B61" s="384"/>
      <c r="C61" s="385" t="s">
        <v>767</v>
      </c>
      <c r="D61" s="385"/>
      <c r="E61" s="385"/>
      <c r="F61" s="103">
        <v>31</v>
      </c>
      <c r="G61" s="104">
        <f>ROUND(+'Datos contribuyente'!Q84+'Datos contribuyente'!U84,-3)</f>
        <v>0</v>
      </c>
      <c r="H61" s="384"/>
      <c r="I61" s="384"/>
      <c r="J61" s="382" t="s">
        <v>764</v>
      </c>
      <c r="K61" s="382"/>
      <c r="L61" s="382"/>
      <c r="M61" s="382"/>
      <c r="N61" s="103">
        <v>66</v>
      </c>
      <c r="O61" s="387">
        <f>ROUND(IF('Datos contribuyente'!D520="No",+'Datos contribuyente'!S386+'Datos contribuyente'!W386,+'Datos contribuyente'!S386+'Datos contribuyente'!W386-'Datos contribuyente'!G547),-3)</f>
        <v>0</v>
      </c>
      <c r="P61" s="387"/>
      <c r="Q61" s="240"/>
      <c r="R61" s="240"/>
      <c r="S61" s="240"/>
      <c r="T61" s="241"/>
      <c r="U61" s="241"/>
      <c r="V61" s="241"/>
      <c r="W61" s="241"/>
      <c r="X61" s="241"/>
      <c r="Y61" s="241"/>
      <c r="Z61" s="241"/>
    </row>
    <row r="62" spans="1:26" s="78" customFormat="1" ht="27" hidden="1" customHeight="1" x14ac:dyDescent="0.25">
      <c r="A62" s="80"/>
      <c r="B62" s="384"/>
      <c r="C62" s="362" t="s">
        <v>768</v>
      </c>
      <c r="D62" s="362"/>
      <c r="E62" s="362"/>
      <c r="F62" s="105">
        <v>32</v>
      </c>
      <c r="G62" s="106">
        <f>ROUND(+'Datos contribuyente'!Q97+'Datos contribuyente'!U97,-3)</f>
        <v>0</v>
      </c>
      <c r="H62" s="384"/>
      <c r="I62" s="391"/>
      <c r="J62" s="383" t="s">
        <v>799</v>
      </c>
      <c r="K62" s="383"/>
      <c r="L62" s="383"/>
      <c r="M62" s="383"/>
      <c r="N62" s="117">
        <v>67</v>
      </c>
      <c r="O62" s="388">
        <f>ROUND(+SUM(G88:G91,O57:P61),-3)</f>
        <v>0</v>
      </c>
      <c r="P62" s="388"/>
      <c r="Q62" s="240"/>
      <c r="R62" s="240"/>
      <c r="S62" s="240"/>
      <c r="T62" s="241"/>
      <c r="U62" s="241"/>
      <c r="V62" s="241"/>
      <c r="W62" s="241"/>
      <c r="X62" s="241"/>
      <c r="Y62" s="241"/>
      <c r="Z62" s="241"/>
    </row>
    <row r="63" spans="1:26" s="78" customFormat="1" ht="27" hidden="1" customHeight="1" x14ac:dyDescent="0.25">
      <c r="A63" s="80"/>
      <c r="B63" s="384"/>
      <c r="C63" s="385" t="s">
        <v>769</v>
      </c>
      <c r="D63" s="385"/>
      <c r="E63" s="385"/>
      <c r="F63" s="103">
        <v>33</v>
      </c>
      <c r="G63" s="104">
        <f>ROUND(+'Datos contribuyente'!Q110+'Datos contribuyente'!U110,-3)</f>
        <v>0</v>
      </c>
      <c r="H63" s="384"/>
      <c r="I63" s="390" t="s">
        <v>44</v>
      </c>
      <c r="J63" s="380" t="s">
        <v>800</v>
      </c>
      <c r="K63" s="380"/>
      <c r="L63" s="380"/>
      <c r="M63" s="380"/>
      <c r="N63" s="116">
        <v>68</v>
      </c>
      <c r="O63" s="389">
        <f>ROUND(IF('Datos contribuyente'!D520="No",+'Datos contribuyente'!S235+'Datos contribuyente'!W235,+'Datos contribuyente'!S235+'Datos contribuyente'!W235-'Datos contribuyente'!G548),-3)</f>
        <v>0</v>
      </c>
      <c r="P63" s="389">
        <f>+IF(P60-P61-P62&gt;0,P60-P61-P62,0)</f>
        <v>0</v>
      </c>
      <c r="Q63" s="240"/>
      <c r="R63" s="240"/>
      <c r="S63" s="240"/>
      <c r="T63" s="241"/>
      <c r="U63" s="241"/>
      <c r="V63" s="241"/>
      <c r="W63" s="241"/>
      <c r="X63" s="241"/>
      <c r="Y63" s="241"/>
      <c r="Z63" s="241"/>
    </row>
    <row r="64" spans="1:26" s="78" customFormat="1" ht="27" hidden="1" customHeight="1" x14ac:dyDescent="0.25">
      <c r="A64" s="80"/>
      <c r="B64" s="384"/>
      <c r="C64" s="362" t="s">
        <v>772</v>
      </c>
      <c r="D64" s="362"/>
      <c r="E64" s="362"/>
      <c r="F64" s="105">
        <v>34</v>
      </c>
      <c r="G64" s="106">
        <f>ROUND(+'Datos contribuyente'!Q124+'Datos contribuyente'!U124,-3)</f>
        <v>0</v>
      </c>
      <c r="H64" s="384"/>
      <c r="I64" s="384"/>
      <c r="J64" s="381" t="s">
        <v>801</v>
      </c>
      <c r="K64" s="381"/>
      <c r="L64" s="381"/>
      <c r="M64" s="381"/>
      <c r="N64" s="105">
        <v>69</v>
      </c>
      <c r="O64" s="386">
        <f>ROUND(IF('Datos contribuyente'!D520="No",+'Datos contribuyente'!S249+'Datos contribuyente'!W249,+'Datos contribuyente'!S249+'Datos contribuyente'!W249-'Datos contribuyente'!G549),-3)</f>
        <v>0</v>
      </c>
      <c r="P64" s="386"/>
      <c r="Q64" s="240"/>
      <c r="R64" s="240"/>
      <c r="S64" s="240"/>
      <c r="T64" s="241"/>
      <c r="U64" s="241"/>
      <c r="V64" s="241"/>
      <c r="W64" s="241"/>
      <c r="X64" s="241"/>
      <c r="Y64" s="241"/>
      <c r="Z64" s="241"/>
    </row>
    <row r="65" spans="1:26" s="78" customFormat="1" ht="27" hidden="1" customHeight="1" x14ac:dyDescent="0.25">
      <c r="A65" s="80"/>
      <c r="B65" s="384"/>
      <c r="C65" s="385" t="s">
        <v>773</v>
      </c>
      <c r="D65" s="385"/>
      <c r="E65" s="385"/>
      <c r="F65" s="103">
        <v>35</v>
      </c>
      <c r="G65" s="104">
        <f>ROUND(+'Datos contribuyente'!Q137+'Datos contribuyente'!U137,-3)</f>
        <v>0</v>
      </c>
      <c r="H65" s="384"/>
      <c r="I65" s="384"/>
      <c r="J65" s="382" t="s">
        <v>783</v>
      </c>
      <c r="K65" s="382"/>
      <c r="L65" s="382"/>
      <c r="M65" s="382"/>
      <c r="N65" s="103">
        <v>70</v>
      </c>
      <c r="O65" s="387">
        <f>ROUND(IF('Datos contribuyente'!D520="No",+'Datos contribuyente'!S263+'Datos contribuyente'!W263,+'Datos contribuyente'!S263+'Datos contribuyente'!W263-'Datos contribuyente'!G550),-3)</f>
        <v>0</v>
      </c>
      <c r="P65" s="387"/>
      <c r="Q65" s="240"/>
      <c r="R65" s="240"/>
      <c r="S65" s="240"/>
      <c r="T65" s="241"/>
      <c r="U65" s="241"/>
      <c r="V65" s="241"/>
      <c r="W65" s="241"/>
      <c r="X65" s="241"/>
      <c r="Y65" s="241"/>
      <c r="Z65" s="241"/>
    </row>
    <row r="66" spans="1:26" s="78" customFormat="1" ht="27" hidden="1" customHeight="1" x14ac:dyDescent="0.25">
      <c r="A66" s="80"/>
      <c r="B66" s="384"/>
      <c r="C66" s="362" t="s">
        <v>821</v>
      </c>
      <c r="D66" s="362"/>
      <c r="E66" s="362"/>
      <c r="F66" s="105">
        <v>36</v>
      </c>
      <c r="G66" s="106">
        <f>ROUND(+'Datos contribuyente'!Q151+'Datos contribuyente'!U151,-3)</f>
        <v>0</v>
      </c>
      <c r="H66" s="384"/>
      <c r="I66" s="384"/>
      <c r="J66" s="381" t="s">
        <v>802</v>
      </c>
      <c r="K66" s="381"/>
      <c r="L66" s="381"/>
      <c r="M66" s="381"/>
      <c r="N66" s="105">
        <v>71</v>
      </c>
      <c r="O66" s="386">
        <f>ROUND(IF('Datos contribuyente'!D520="No",+'Datos contribuyente'!S317+'Datos contribuyente'!W317,+'Datos contribuyente'!S317+'Datos contribuyente'!W317-'Datos contribuyente'!G551),-3)</f>
        <v>0</v>
      </c>
      <c r="P66" s="386"/>
      <c r="Q66" s="240"/>
      <c r="R66" s="240"/>
      <c r="S66" s="240"/>
      <c r="T66" s="241"/>
      <c r="U66" s="241"/>
      <c r="V66" s="241"/>
      <c r="W66" s="241"/>
      <c r="X66" s="241"/>
      <c r="Y66" s="241"/>
      <c r="Z66" s="241"/>
    </row>
    <row r="67" spans="1:26" s="78" customFormat="1" ht="27" hidden="1" customHeight="1" x14ac:dyDescent="0.25">
      <c r="A67" s="80"/>
      <c r="B67" s="384"/>
      <c r="C67" s="385" t="s">
        <v>774</v>
      </c>
      <c r="D67" s="385"/>
      <c r="E67" s="385"/>
      <c r="F67" s="103">
        <v>37</v>
      </c>
      <c r="G67" s="104">
        <f>ROUND(+'Datos contribuyente'!Q165+'Datos contribuyente'!U165,-3)</f>
        <v>0</v>
      </c>
      <c r="H67" s="384"/>
      <c r="I67" s="384"/>
      <c r="J67" s="382" t="s">
        <v>803</v>
      </c>
      <c r="K67" s="382"/>
      <c r="L67" s="382"/>
      <c r="M67" s="382"/>
      <c r="N67" s="103">
        <v>72</v>
      </c>
      <c r="O67" s="387">
        <f>ROUND(IF('Datos contribuyente'!D520="No",+'Datos contribuyente'!S331+'Datos contribuyente'!W331,+'Datos contribuyente'!S331+'Datos contribuyente'!W331-'Datos contribuyente'!G552),-3)</f>
        <v>0</v>
      </c>
      <c r="P67" s="387"/>
      <c r="Q67" s="240"/>
      <c r="R67" s="240"/>
      <c r="S67" s="240"/>
      <c r="T67" s="241"/>
      <c r="U67" s="241"/>
      <c r="V67" s="241"/>
      <c r="W67" s="241"/>
      <c r="X67" s="241"/>
      <c r="Y67" s="241"/>
      <c r="Z67" s="241"/>
    </row>
    <row r="68" spans="1:26" s="78" customFormat="1" ht="27" hidden="1" customHeight="1" x14ac:dyDescent="0.25">
      <c r="A68" s="80"/>
      <c r="B68" s="384"/>
      <c r="C68" s="362" t="s">
        <v>775</v>
      </c>
      <c r="D68" s="362"/>
      <c r="E68" s="362"/>
      <c r="F68" s="105">
        <v>38</v>
      </c>
      <c r="G68" s="106">
        <f>ROUND(+'Datos contribuyente'!Q179+'Datos contribuyente'!U179,-3)</f>
        <v>0</v>
      </c>
      <c r="H68" s="384"/>
      <c r="I68" s="384"/>
      <c r="J68" s="381" t="s">
        <v>45</v>
      </c>
      <c r="K68" s="381"/>
      <c r="L68" s="381"/>
      <c r="M68" s="381"/>
      <c r="N68" s="105">
        <v>73</v>
      </c>
      <c r="O68" s="386">
        <f>ROUND(IF('Datos contribuyente'!D520="No",+'Datos contribuyente'!S416+'Datos contribuyente'!W416,+'Datos contribuyente'!S416+'Datos contribuyente'!W416-'Datos contribuyente'!G553),-3)</f>
        <v>0</v>
      </c>
      <c r="P68" s="386"/>
      <c r="Q68" s="240"/>
      <c r="R68" s="240"/>
      <c r="S68" s="240"/>
      <c r="T68" s="241"/>
      <c r="U68" s="241"/>
      <c r="V68" s="241"/>
      <c r="W68" s="241"/>
      <c r="X68" s="241"/>
      <c r="Y68" s="241"/>
      <c r="Z68" s="241"/>
    </row>
    <row r="69" spans="1:26" s="78" customFormat="1" ht="27" hidden="1" customHeight="1" x14ac:dyDescent="0.25">
      <c r="A69" s="80"/>
      <c r="B69" s="384"/>
      <c r="C69" s="385" t="s">
        <v>776</v>
      </c>
      <c r="D69" s="385"/>
      <c r="E69" s="385"/>
      <c r="F69" s="103">
        <v>39</v>
      </c>
      <c r="G69" s="104">
        <f>ROUND(+'Datos contribuyente'!Q192+'Datos contribuyente'!U192,-3)</f>
        <v>0</v>
      </c>
      <c r="H69" s="384"/>
      <c r="I69" s="384"/>
      <c r="J69" s="382" t="s">
        <v>804</v>
      </c>
      <c r="K69" s="382"/>
      <c r="L69" s="382"/>
      <c r="M69" s="382"/>
      <c r="N69" s="103">
        <v>74</v>
      </c>
      <c r="O69" s="387">
        <f ca="1">ROUND(IF('Datos contribuyente'!D520="No",+SUMIF('Datos contribuyente'!R296:S302,5%,'Datos contribuyente'!S296:S302)+SUMIF('Datos contribuyente'!V296:W302,5%,'Datos contribuyente'!W296:W302)+'Datos contribuyente'!S345+'Datos contribuyente'!W345,+SUMIF('Datos contribuyente'!R296:S302,5%,'Datos contribuyente'!S296:S302)+SUMIF('Datos contribuyente'!V296:W302,5%,'Datos contribuyente'!W296:W302)+'Datos contribuyente'!S345+'Datos contribuyente'!W345-'Datos contribuyente'!G554),-3)</f>
        <v>0</v>
      </c>
      <c r="P69" s="387"/>
      <c r="Q69" s="240"/>
      <c r="R69" s="240"/>
      <c r="S69" s="240"/>
      <c r="T69" s="241"/>
      <c r="U69" s="241"/>
      <c r="V69" s="241"/>
      <c r="W69" s="241"/>
      <c r="X69" s="241"/>
      <c r="Y69" s="241"/>
      <c r="Z69" s="241"/>
    </row>
    <row r="70" spans="1:26" s="78" customFormat="1" ht="27" hidden="1" customHeight="1" x14ac:dyDescent="0.25">
      <c r="A70" s="80"/>
      <c r="B70" s="384"/>
      <c r="C70" s="362" t="s">
        <v>777</v>
      </c>
      <c r="D70" s="362"/>
      <c r="E70" s="362"/>
      <c r="F70" s="105">
        <v>40</v>
      </c>
      <c r="G70" s="106">
        <f>ROUND(+'Datos contribuyente'!Q205+'Datos contribuyente'!U205,-3)</f>
        <v>0</v>
      </c>
      <c r="H70" s="384"/>
      <c r="I70" s="384"/>
      <c r="J70" s="381" t="s">
        <v>805</v>
      </c>
      <c r="K70" s="381"/>
      <c r="L70" s="381"/>
      <c r="M70" s="381"/>
      <c r="N70" s="105">
        <v>75</v>
      </c>
      <c r="O70" s="386">
        <f ca="1">ROUND(IF('Datos contribuyente'!D520="No",+SUMIF('Datos contribuyente'!R296:S302,19%,'Datos contribuyente'!S296:S302)+SUMIF('Datos contribuyente'!V296:W302,19%,'Datos contribuyente'!W296:W302)+'Datos contribuyente'!S359+'Datos contribuyente'!W359,+SUMIF('Datos contribuyente'!R296:S302,19%,'Datos contribuyente'!S296:S302)+SUMIF('Datos contribuyente'!V296:W302,19%,'Datos contribuyente'!W296:W302)+'Datos contribuyente'!S359+'Datos contribuyente'!W359-'Datos contribuyente'!G555),-3)</f>
        <v>0</v>
      </c>
      <c r="P70" s="386"/>
      <c r="Q70" s="240"/>
      <c r="R70" s="240"/>
      <c r="S70" s="240"/>
      <c r="T70" s="241"/>
      <c r="U70" s="241"/>
      <c r="V70" s="241"/>
      <c r="W70" s="241"/>
      <c r="X70" s="241"/>
      <c r="Y70" s="241"/>
      <c r="Z70" s="241"/>
    </row>
    <row r="71" spans="1:26" s="78" customFormat="1" ht="27" hidden="1" customHeight="1" x14ac:dyDescent="0.25">
      <c r="A71" s="80"/>
      <c r="B71" s="384"/>
      <c r="C71" s="395" t="s">
        <v>779</v>
      </c>
      <c r="D71" s="395"/>
      <c r="E71" s="395"/>
      <c r="F71" s="107">
        <v>41</v>
      </c>
      <c r="G71" s="108">
        <f>ROUND(+SUM(G57:G70),-3)</f>
        <v>0</v>
      </c>
      <c r="H71" s="384"/>
      <c r="I71" s="384"/>
      <c r="J71" s="382" t="s">
        <v>806</v>
      </c>
      <c r="K71" s="382"/>
      <c r="L71" s="382"/>
      <c r="M71" s="382"/>
      <c r="N71" s="103">
        <v>76</v>
      </c>
      <c r="O71" s="387">
        <f>ROUND(+'Datos contribuyente'!S430+'Datos contribuyente'!W430,-3)</f>
        <v>0</v>
      </c>
      <c r="P71" s="387"/>
      <c r="Q71" s="240"/>
      <c r="R71" s="240"/>
      <c r="S71" s="240"/>
      <c r="T71" s="241"/>
      <c r="U71" s="241"/>
      <c r="V71" s="241"/>
      <c r="W71" s="241"/>
      <c r="X71" s="241"/>
      <c r="Y71" s="241"/>
      <c r="Z71" s="241"/>
    </row>
    <row r="72" spans="1:26" s="78" customFormat="1" ht="27" hidden="1" customHeight="1" x14ac:dyDescent="0.25">
      <c r="A72" s="80"/>
      <c r="B72" s="384"/>
      <c r="C72" s="362" t="s">
        <v>778</v>
      </c>
      <c r="D72" s="362"/>
      <c r="E72" s="362"/>
      <c r="F72" s="105">
        <v>42</v>
      </c>
      <c r="G72" s="106">
        <f>ROUND(+'Datos contribuyente'!Q219+'Datos contribuyente'!U219,-3)</f>
        <v>0</v>
      </c>
      <c r="H72" s="384"/>
      <c r="I72" s="384"/>
      <c r="J72" s="383" t="s">
        <v>807</v>
      </c>
      <c r="K72" s="383"/>
      <c r="L72" s="383"/>
      <c r="M72" s="383"/>
      <c r="N72" s="117">
        <v>77</v>
      </c>
      <c r="O72" s="388">
        <f ca="1">ROUND(+SUM(O63:P71),-3)</f>
        <v>0</v>
      </c>
      <c r="P72" s="388"/>
      <c r="Q72" s="240"/>
      <c r="R72" s="240"/>
      <c r="S72" s="240"/>
      <c r="T72" s="241"/>
      <c r="U72" s="241"/>
      <c r="V72" s="241"/>
      <c r="W72" s="241"/>
      <c r="X72" s="241"/>
      <c r="Y72" s="241"/>
      <c r="Z72" s="241"/>
    </row>
    <row r="73" spans="1:26" s="78" customFormat="1" ht="27" hidden="1" customHeight="1" x14ac:dyDescent="0.25">
      <c r="A73" s="80"/>
      <c r="B73" s="384"/>
      <c r="C73" s="418" t="s">
        <v>780</v>
      </c>
      <c r="D73" s="418"/>
      <c r="E73" s="418"/>
      <c r="F73" s="110">
        <v>43</v>
      </c>
      <c r="G73" s="111">
        <f>ROUND(+G71-G72,-3)</f>
        <v>0</v>
      </c>
      <c r="H73" s="384"/>
      <c r="I73" s="384"/>
      <c r="J73" s="382" t="s">
        <v>46</v>
      </c>
      <c r="K73" s="382"/>
      <c r="L73" s="382"/>
      <c r="M73" s="382"/>
      <c r="N73" s="103">
        <v>78</v>
      </c>
      <c r="O73" s="387">
        <f>ROUND(+'Datos contribuyente'!S444+'Datos contribuyente'!W444,-3)</f>
        <v>0</v>
      </c>
      <c r="P73" s="387"/>
      <c r="Q73" s="240"/>
      <c r="R73" s="240"/>
      <c r="S73" s="240"/>
      <c r="T73" s="241"/>
      <c r="U73" s="241"/>
      <c r="V73" s="241"/>
      <c r="W73" s="241"/>
      <c r="X73" s="241"/>
      <c r="Y73" s="241"/>
      <c r="Z73" s="241"/>
    </row>
    <row r="74" spans="1:26" s="78" customFormat="1" ht="27" hidden="1" customHeight="1" x14ac:dyDescent="0.25">
      <c r="A74" s="80"/>
      <c r="B74" s="384" t="s">
        <v>793</v>
      </c>
      <c r="C74" s="390" t="s">
        <v>47</v>
      </c>
      <c r="D74" s="362" t="s">
        <v>781</v>
      </c>
      <c r="E74" s="362"/>
      <c r="F74" s="105">
        <v>44</v>
      </c>
      <c r="G74" s="106">
        <f>ROUND(+'Datos contribuyente'!Q235+'Datos contribuyente'!U235,-3)</f>
        <v>0</v>
      </c>
      <c r="H74" s="384"/>
      <c r="I74" s="384"/>
      <c r="J74" s="381" t="s">
        <v>808</v>
      </c>
      <c r="K74" s="381"/>
      <c r="L74" s="381"/>
      <c r="M74" s="381"/>
      <c r="N74" s="105">
        <v>79</v>
      </c>
      <c r="O74" s="386">
        <f>ROUND(+'Datos contribuyente'!S219+'Datos contribuyente'!W219,-3)</f>
        <v>0</v>
      </c>
      <c r="P74" s="386"/>
      <c r="Q74" s="240"/>
      <c r="R74" s="240"/>
      <c r="S74" s="240"/>
      <c r="T74" s="241"/>
      <c r="U74" s="241"/>
      <c r="V74" s="241"/>
      <c r="W74" s="241"/>
      <c r="X74" s="241"/>
      <c r="Y74" s="241"/>
      <c r="Z74" s="241"/>
    </row>
    <row r="75" spans="1:26" s="78" customFormat="1" ht="27" hidden="1" customHeight="1" x14ac:dyDescent="0.25">
      <c r="A75" s="80"/>
      <c r="B75" s="384"/>
      <c r="C75" s="384"/>
      <c r="D75" s="385" t="s">
        <v>782</v>
      </c>
      <c r="E75" s="385"/>
      <c r="F75" s="103">
        <v>45</v>
      </c>
      <c r="G75" s="104">
        <f>ROUND(+'Datos contribuyente'!Q249+'Datos contribuyente'!U249,-3)</f>
        <v>0</v>
      </c>
      <c r="H75" s="384"/>
      <c r="I75" s="384"/>
      <c r="J75" s="382" t="s">
        <v>48</v>
      </c>
      <c r="K75" s="382"/>
      <c r="L75" s="382"/>
      <c r="M75" s="382"/>
      <c r="N75" s="103">
        <v>80</v>
      </c>
      <c r="O75" s="387">
        <f>ROUND(+'Datos contribuyente'!S458+'Datos contribuyente'!W458,-3)</f>
        <v>0</v>
      </c>
      <c r="P75" s="387"/>
      <c r="Q75" s="240"/>
      <c r="R75" s="240"/>
      <c r="S75" s="240"/>
      <c r="T75" s="241"/>
      <c r="U75" s="241"/>
      <c r="V75" s="241"/>
      <c r="W75" s="241"/>
      <c r="X75" s="241"/>
      <c r="Y75" s="241"/>
      <c r="Z75" s="241"/>
    </row>
    <row r="76" spans="1:26" s="78" customFormat="1" ht="27" hidden="1" customHeight="1" x14ac:dyDescent="0.25">
      <c r="A76" s="80"/>
      <c r="B76" s="384"/>
      <c r="C76" s="384"/>
      <c r="D76" s="362" t="s">
        <v>783</v>
      </c>
      <c r="E76" s="362"/>
      <c r="F76" s="105">
        <v>46</v>
      </c>
      <c r="G76" s="106">
        <f>ROUND(+'Datos contribuyente'!Q263+'Datos contribuyente'!U263,-3)</f>
        <v>0</v>
      </c>
      <c r="H76" s="384"/>
      <c r="I76" s="391"/>
      <c r="J76" s="383" t="s">
        <v>809</v>
      </c>
      <c r="K76" s="383"/>
      <c r="L76" s="383"/>
      <c r="M76" s="383"/>
      <c r="N76" s="117">
        <v>81</v>
      </c>
      <c r="O76" s="388">
        <f ca="1">ROUND(+O72+O73+O74-O75,-3)</f>
        <v>0</v>
      </c>
      <c r="P76" s="388"/>
      <c r="Q76" s="240"/>
      <c r="R76" s="240"/>
      <c r="S76" s="240"/>
      <c r="T76" s="241"/>
      <c r="U76" s="241"/>
      <c r="V76" s="241"/>
      <c r="W76" s="241"/>
      <c r="X76" s="241"/>
      <c r="Y76" s="241"/>
      <c r="Z76" s="241"/>
    </row>
    <row r="77" spans="1:26" s="78" customFormat="1" ht="27" hidden="1" customHeight="1" x14ac:dyDescent="0.25">
      <c r="A77" s="80"/>
      <c r="B77" s="384"/>
      <c r="C77" s="384"/>
      <c r="D77" s="385" t="s">
        <v>784</v>
      </c>
      <c r="E77" s="385"/>
      <c r="F77" s="103">
        <v>47</v>
      </c>
      <c r="G77" s="104">
        <f>ROUND(+'Datos contribuyente'!Q276+'Datos contribuyente'!U276,-3)</f>
        <v>0</v>
      </c>
      <c r="H77" s="384"/>
      <c r="I77" s="393" t="s">
        <v>810</v>
      </c>
      <c r="J77" s="393"/>
      <c r="K77" s="393"/>
      <c r="L77" s="393"/>
      <c r="M77" s="393"/>
      <c r="N77" s="107">
        <v>82</v>
      </c>
      <c r="O77" s="392">
        <f ca="1">+IF(O62-O76&gt;0,O62-O76,0)</f>
        <v>0</v>
      </c>
      <c r="P77" s="392"/>
      <c r="Q77" s="240"/>
      <c r="R77" s="240"/>
      <c r="S77" s="240"/>
      <c r="T77" s="241"/>
      <c r="U77" s="241"/>
      <c r="V77" s="241"/>
      <c r="W77" s="241"/>
      <c r="X77" s="241"/>
      <c r="Y77" s="241"/>
      <c r="Z77" s="241"/>
    </row>
    <row r="78" spans="1:26" s="78" customFormat="1" ht="27" hidden="1" customHeight="1" x14ac:dyDescent="0.25">
      <c r="A78" s="80"/>
      <c r="B78" s="384"/>
      <c r="C78" s="384"/>
      <c r="D78" s="362" t="s">
        <v>785</v>
      </c>
      <c r="E78" s="362"/>
      <c r="F78" s="105">
        <v>48</v>
      </c>
      <c r="G78" s="106">
        <f>ROUND(+'Datos contribuyente'!Q289+'Datos contribuyente'!U289,-3)</f>
        <v>0</v>
      </c>
      <c r="H78" s="384"/>
      <c r="I78" s="394" t="s">
        <v>811</v>
      </c>
      <c r="J78" s="394"/>
      <c r="K78" s="394"/>
      <c r="L78" s="394"/>
      <c r="M78" s="394"/>
      <c r="N78" s="102">
        <v>83</v>
      </c>
      <c r="O78" s="419">
        <f ca="1">+IF(O76-O62&gt;0,O76-O62,0)</f>
        <v>0</v>
      </c>
      <c r="P78" s="419"/>
      <c r="Q78" s="240"/>
      <c r="R78" s="240"/>
      <c r="S78" s="240"/>
      <c r="T78" s="241"/>
      <c r="U78" s="241"/>
      <c r="V78" s="241"/>
      <c r="W78" s="241"/>
      <c r="X78" s="241"/>
      <c r="Y78" s="241"/>
      <c r="Z78" s="241"/>
    </row>
    <row r="79" spans="1:26" s="78" customFormat="1" ht="27" hidden="1" customHeight="1" x14ac:dyDescent="0.25">
      <c r="A79" s="80"/>
      <c r="B79" s="384"/>
      <c r="C79" s="391"/>
      <c r="D79" s="418" t="s">
        <v>786</v>
      </c>
      <c r="E79" s="418"/>
      <c r="F79" s="112">
        <v>49</v>
      </c>
      <c r="G79" s="113">
        <f>ROUND(+'Datos contribuyente'!Q303+'Datos contribuyente'!U303,-3)</f>
        <v>0</v>
      </c>
      <c r="H79" s="384"/>
      <c r="I79" s="382" t="s">
        <v>49</v>
      </c>
      <c r="J79" s="382"/>
      <c r="K79" s="382"/>
      <c r="L79" s="382"/>
      <c r="M79" s="382"/>
      <c r="N79" s="103">
        <v>84</v>
      </c>
      <c r="O79" s="387">
        <f ca="1">ROUND(+IF('Datos contribuyente'!E963="No",'Datos contribuyente'!G956,0),-3)</f>
        <v>0</v>
      </c>
      <c r="P79" s="387"/>
      <c r="Q79" s="240"/>
      <c r="R79" s="240"/>
      <c r="S79" s="240"/>
      <c r="T79" s="241"/>
      <c r="U79" s="241"/>
      <c r="V79" s="241"/>
      <c r="W79" s="241"/>
      <c r="X79" s="241"/>
      <c r="Y79" s="241"/>
      <c r="Z79" s="241"/>
    </row>
    <row r="80" spans="1:26" s="78" customFormat="1" ht="27" hidden="1" customHeight="1" x14ac:dyDescent="0.25">
      <c r="A80" s="79"/>
      <c r="B80" s="384"/>
      <c r="C80" s="390" t="s">
        <v>50</v>
      </c>
      <c r="D80" s="362" t="s">
        <v>781</v>
      </c>
      <c r="E80" s="362"/>
      <c r="F80" s="105">
        <v>50</v>
      </c>
      <c r="G80" s="106">
        <f>ROUND(+'Datos contribuyente'!Q317+'Datos contribuyente'!U317,-3)</f>
        <v>0</v>
      </c>
      <c r="H80" s="384"/>
      <c r="I80" s="381" t="s">
        <v>51</v>
      </c>
      <c r="J80" s="381"/>
      <c r="K80" s="381"/>
      <c r="L80" s="381"/>
      <c r="M80" s="381"/>
      <c r="N80" s="105">
        <v>85</v>
      </c>
      <c r="O80" s="386">
        <f>ROUND(+'Datos contribuyente'!S472+'Datos contribuyente'!W472,-3)</f>
        <v>0</v>
      </c>
      <c r="P80" s="386"/>
      <c r="Q80" s="243"/>
      <c r="R80" s="240"/>
      <c r="S80" s="240"/>
      <c r="T80" s="241"/>
      <c r="U80" s="241"/>
      <c r="V80" s="241"/>
      <c r="W80" s="241"/>
      <c r="X80" s="241"/>
      <c r="Y80" s="241"/>
      <c r="Z80" s="241"/>
    </row>
    <row r="81" spans="1:26" s="78" customFormat="1" ht="27" hidden="1" customHeight="1" x14ac:dyDescent="0.25">
      <c r="A81" s="79"/>
      <c r="B81" s="384"/>
      <c r="C81" s="384"/>
      <c r="D81" s="385" t="s">
        <v>782</v>
      </c>
      <c r="E81" s="385"/>
      <c r="F81" s="103">
        <v>51</v>
      </c>
      <c r="G81" s="104">
        <f>ROUND(+'Datos contribuyente'!Q331+'Datos contribuyente'!U331,-3)</f>
        <v>0</v>
      </c>
      <c r="H81" s="384"/>
      <c r="I81" s="393" t="s">
        <v>812</v>
      </c>
      <c r="J81" s="393"/>
      <c r="K81" s="393"/>
      <c r="L81" s="393"/>
      <c r="M81" s="393"/>
      <c r="N81" s="107">
        <v>86</v>
      </c>
      <c r="O81" s="392">
        <f ca="1">+IF(O77-O79-O80&gt;0,O77-O79-O80,0)</f>
        <v>0</v>
      </c>
      <c r="P81" s="392"/>
      <c r="Q81" s="243"/>
      <c r="R81" s="240"/>
      <c r="S81" s="240"/>
      <c r="T81" s="241"/>
      <c r="U81" s="241"/>
      <c r="V81" s="241"/>
      <c r="W81" s="241"/>
      <c r="X81" s="241"/>
      <c r="Y81" s="241"/>
      <c r="Z81" s="241"/>
    </row>
    <row r="82" spans="1:26" s="78" customFormat="1" ht="27" hidden="1" customHeight="1" x14ac:dyDescent="0.25">
      <c r="A82" s="79"/>
      <c r="B82" s="384"/>
      <c r="C82" s="384"/>
      <c r="D82" s="362" t="s">
        <v>787</v>
      </c>
      <c r="E82" s="362"/>
      <c r="F82" s="105">
        <v>52</v>
      </c>
      <c r="G82" s="106">
        <f>ROUND(+'Datos contribuyente'!Q345+'Datos contribuyente'!U345,-3)</f>
        <v>0</v>
      </c>
      <c r="H82" s="384"/>
      <c r="I82" s="381" t="s">
        <v>52</v>
      </c>
      <c r="J82" s="381"/>
      <c r="K82" s="381"/>
      <c r="L82" s="381"/>
      <c r="M82" s="381"/>
      <c r="N82" s="105">
        <v>87</v>
      </c>
      <c r="O82" s="386">
        <f>ROUND(+'Datos contribuyente'!I906+'Datos contribuyente'!I936,-3)</f>
        <v>0</v>
      </c>
      <c r="P82" s="386"/>
      <c r="Q82" s="243"/>
      <c r="R82" s="240"/>
      <c r="S82" s="240"/>
      <c r="T82" s="241"/>
      <c r="U82" s="241"/>
      <c r="V82" s="241"/>
      <c r="W82" s="241"/>
      <c r="X82" s="241"/>
      <c r="Y82" s="241"/>
      <c r="Z82" s="241"/>
    </row>
    <row r="83" spans="1:26" s="78" customFormat="1" ht="27" hidden="1" customHeight="1" x14ac:dyDescent="0.25">
      <c r="A83" s="80"/>
      <c r="B83" s="384"/>
      <c r="C83" s="384"/>
      <c r="D83" s="385" t="s">
        <v>788</v>
      </c>
      <c r="E83" s="385"/>
      <c r="F83" s="103">
        <v>53</v>
      </c>
      <c r="G83" s="104">
        <f>ROUND(+'Datos contribuyente'!Q359+'Datos contribuyente'!U359,-3)</f>
        <v>0</v>
      </c>
      <c r="H83" s="384"/>
      <c r="I83" s="393" t="s">
        <v>813</v>
      </c>
      <c r="J83" s="393"/>
      <c r="K83" s="393"/>
      <c r="L83" s="393"/>
      <c r="M83" s="393"/>
      <c r="N83" s="107">
        <v>88</v>
      </c>
      <c r="O83" s="392">
        <f ca="1">+IF(O77-O79-O80+O82&gt;0,O77-O79-O80+O82,0)</f>
        <v>0</v>
      </c>
      <c r="P83" s="392"/>
      <c r="Q83" s="243"/>
      <c r="R83" s="240"/>
      <c r="S83" s="240"/>
      <c r="T83" s="241"/>
      <c r="U83" s="241"/>
      <c r="V83" s="241"/>
      <c r="W83" s="241"/>
      <c r="X83" s="241"/>
      <c r="Y83" s="241"/>
      <c r="Z83" s="241"/>
    </row>
    <row r="84" spans="1:26" s="78" customFormat="1" ht="27" hidden="1" customHeight="1" x14ac:dyDescent="0.25">
      <c r="A84" s="80"/>
      <c r="B84" s="384"/>
      <c r="C84" s="391"/>
      <c r="D84" s="420" t="s">
        <v>789</v>
      </c>
      <c r="E84" s="420"/>
      <c r="F84" s="114">
        <v>54</v>
      </c>
      <c r="G84" s="115">
        <f>ROUND(+'Datos contribuyente'!Q372+'Datos contribuyente'!U372,-3)</f>
        <v>0</v>
      </c>
      <c r="H84" s="391"/>
      <c r="I84" s="383" t="s">
        <v>1034</v>
      </c>
      <c r="J84" s="383"/>
      <c r="K84" s="383"/>
      <c r="L84" s="383"/>
      <c r="M84" s="383"/>
      <c r="N84" s="117">
        <v>89</v>
      </c>
      <c r="O84" s="388">
        <f ca="1">+IF(O78+O79+O80-O82-O81-O77&gt;0,O78+O79+O80-O82-O81-O77,0)</f>
        <v>0</v>
      </c>
      <c r="P84" s="388"/>
      <c r="Q84" s="240"/>
      <c r="R84" s="240"/>
      <c r="S84" s="240"/>
      <c r="T84" s="241"/>
      <c r="U84" s="241"/>
      <c r="V84" s="241"/>
      <c r="W84" s="241"/>
      <c r="X84" s="241"/>
      <c r="Y84" s="241"/>
      <c r="Z84" s="241"/>
    </row>
    <row r="85" spans="1:26" s="78" customFormat="1" ht="27" hidden="1" customHeight="1" x14ac:dyDescent="0.25">
      <c r="A85" s="80"/>
      <c r="B85" s="384"/>
      <c r="C85" s="395" t="s">
        <v>790</v>
      </c>
      <c r="D85" s="395"/>
      <c r="E85" s="395"/>
      <c r="F85" s="107">
        <v>55</v>
      </c>
      <c r="G85" s="108">
        <f>ROUND(+SUM(G74:G84),-3)</f>
        <v>0</v>
      </c>
      <c r="H85" s="390" t="s">
        <v>53</v>
      </c>
      <c r="I85" s="380" t="s">
        <v>54</v>
      </c>
      <c r="J85" s="380"/>
      <c r="K85" s="380"/>
      <c r="L85" s="380"/>
      <c r="M85" s="380"/>
      <c r="N85" s="116">
        <v>90</v>
      </c>
      <c r="O85" s="389">
        <f>ROUND(+'Datos contribuyente'!I953,-3)</f>
        <v>0</v>
      </c>
      <c r="P85" s="389"/>
      <c r="Q85" s="240"/>
      <c r="R85" s="240"/>
      <c r="S85" s="240"/>
      <c r="T85" s="241"/>
      <c r="U85" s="241"/>
      <c r="V85" s="241"/>
      <c r="W85" s="241"/>
      <c r="X85" s="241"/>
      <c r="Y85" s="241"/>
      <c r="Z85" s="241"/>
    </row>
    <row r="86" spans="1:26" s="78" customFormat="1" ht="27" hidden="1" customHeight="1" x14ac:dyDescent="0.25">
      <c r="A86" s="80"/>
      <c r="B86" s="384"/>
      <c r="C86" s="362" t="s">
        <v>791</v>
      </c>
      <c r="D86" s="362"/>
      <c r="E86" s="362"/>
      <c r="F86" s="105">
        <v>56</v>
      </c>
      <c r="G86" s="106">
        <f>ROUND(+'Datos contribuyente'!Q386+'Datos contribuyente'!U386,-3)</f>
        <v>0</v>
      </c>
      <c r="H86" s="384"/>
      <c r="I86" s="381" t="s">
        <v>55</v>
      </c>
      <c r="J86" s="381"/>
      <c r="K86" s="381"/>
      <c r="L86" s="381"/>
      <c r="M86" s="381"/>
      <c r="N86" s="105">
        <v>91</v>
      </c>
      <c r="O86" s="386">
        <f ca="1">ROUND(+'Datos contribuyente'!I954,-3)</f>
        <v>0</v>
      </c>
      <c r="P86" s="386"/>
      <c r="Q86" s="240"/>
      <c r="R86" s="240"/>
      <c r="S86" s="240"/>
      <c r="T86" s="241"/>
      <c r="U86" s="241"/>
      <c r="V86" s="241"/>
      <c r="W86" s="241"/>
      <c r="X86" s="241"/>
      <c r="Y86" s="241"/>
      <c r="Z86" s="241"/>
    </row>
    <row r="87" spans="1:26" s="78" customFormat="1" ht="27" hidden="1" customHeight="1" x14ac:dyDescent="0.25">
      <c r="A87" s="80"/>
      <c r="B87" s="384"/>
      <c r="C87" s="409" t="s">
        <v>792</v>
      </c>
      <c r="D87" s="409"/>
      <c r="E87" s="409"/>
      <c r="F87" s="110">
        <v>57</v>
      </c>
      <c r="G87" s="111">
        <f>ROUND(+G85-G86,-3)</f>
        <v>0</v>
      </c>
      <c r="H87" s="384"/>
      <c r="I87" s="382" t="s">
        <v>56</v>
      </c>
      <c r="J87" s="382"/>
      <c r="K87" s="382"/>
      <c r="L87" s="382"/>
      <c r="M87" s="382"/>
      <c r="N87" s="103">
        <v>92</v>
      </c>
      <c r="O87" s="387">
        <f>ROUND(+'Datos contribuyente'!I955,-3)</f>
        <v>0</v>
      </c>
      <c r="P87" s="387"/>
      <c r="Q87" s="240"/>
      <c r="R87" s="240"/>
      <c r="S87" s="240"/>
      <c r="T87" s="241"/>
      <c r="U87" s="241"/>
      <c r="V87" s="241"/>
      <c r="W87" s="241"/>
      <c r="X87" s="241"/>
      <c r="Y87" s="241"/>
      <c r="Z87" s="241"/>
    </row>
    <row r="88" spans="1:26" s="78" customFormat="1" ht="27" hidden="1" customHeight="1" x14ac:dyDescent="0.25">
      <c r="A88" s="80"/>
      <c r="B88" s="399" t="s">
        <v>57</v>
      </c>
      <c r="C88" s="399" t="s">
        <v>794</v>
      </c>
      <c r="D88" s="402" t="s">
        <v>795</v>
      </c>
      <c r="E88" s="402"/>
      <c r="F88" s="118">
        <v>58</v>
      </c>
      <c r="G88" s="119">
        <f>ROUND(+'Datos contribuyente'!S30+'Datos contribuyente'!W30,-3)</f>
        <v>0</v>
      </c>
      <c r="H88" s="391"/>
      <c r="I88" s="383" t="s">
        <v>814</v>
      </c>
      <c r="J88" s="383"/>
      <c r="K88" s="383"/>
      <c r="L88" s="383"/>
      <c r="M88" s="383"/>
      <c r="N88" s="117">
        <v>93</v>
      </c>
      <c r="O88" s="388">
        <f ca="1">ROUND(+'Datos contribuyente'!I956,-3)</f>
        <v>0</v>
      </c>
      <c r="P88" s="388"/>
      <c r="Q88" s="240"/>
      <c r="R88" s="240"/>
      <c r="S88" s="240"/>
      <c r="T88" s="241"/>
      <c r="U88" s="241"/>
      <c r="V88" s="241"/>
      <c r="W88" s="241"/>
      <c r="X88" s="241"/>
      <c r="Y88" s="241"/>
      <c r="Z88" s="241"/>
    </row>
    <row r="89" spans="1:26" s="78" customFormat="1" ht="27" hidden="1" customHeight="1" x14ac:dyDescent="0.25">
      <c r="A89" s="80"/>
      <c r="B89" s="400"/>
      <c r="C89" s="400"/>
      <c r="D89" s="385" t="s">
        <v>796</v>
      </c>
      <c r="E89" s="385"/>
      <c r="F89" s="103">
        <v>59</v>
      </c>
      <c r="G89" s="104">
        <f>ROUND(+'Datos contribuyente'!S44+'Datos contribuyente'!W44,-3)</f>
        <v>0</v>
      </c>
      <c r="H89" s="399" t="s">
        <v>815</v>
      </c>
      <c r="I89" s="399"/>
      <c r="J89" s="403" t="s">
        <v>58</v>
      </c>
      <c r="K89" s="98">
        <v>1</v>
      </c>
      <c r="L89" s="132">
        <v>0</v>
      </c>
      <c r="M89" s="403" t="s">
        <v>58</v>
      </c>
      <c r="N89" s="101">
        <v>4</v>
      </c>
      <c r="O89" s="406">
        <v>0</v>
      </c>
      <c r="P89" s="406"/>
      <c r="Q89" s="240"/>
      <c r="R89" s="240"/>
      <c r="S89" s="240"/>
      <c r="T89" s="241"/>
      <c r="U89" s="241"/>
      <c r="V89" s="241"/>
      <c r="W89" s="241"/>
      <c r="X89" s="241"/>
      <c r="Y89" s="241"/>
      <c r="Z89" s="241"/>
    </row>
    <row r="90" spans="1:26" s="78" customFormat="1" ht="27" hidden="1" customHeight="1" x14ac:dyDescent="0.25">
      <c r="A90" s="80"/>
      <c r="B90" s="400"/>
      <c r="C90" s="400"/>
      <c r="D90" s="362" t="s">
        <v>765</v>
      </c>
      <c r="E90" s="362"/>
      <c r="F90" s="105">
        <v>60</v>
      </c>
      <c r="G90" s="109">
        <f>ROUND(+'Datos contribuyente'!S58+'Datos contribuyente'!W58,-3)</f>
        <v>0</v>
      </c>
      <c r="H90" s="400"/>
      <c r="I90" s="400"/>
      <c r="J90" s="404"/>
      <c r="K90" s="96">
        <v>2</v>
      </c>
      <c r="L90" s="133">
        <v>0</v>
      </c>
      <c r="M90" s="404"/>
      <c r="N90" s="101">
        <v>5</v>
      </c>
      <c r="O90" s="407">
        <v>0</v>
      </c>
      <c r="P90" s="407"/>
      <c r="Q90" s="240"/>
      <c r="R90" s="240"/>
      <c r="S90" s="240"/>
      <c r="T90" s="241"/>
      <c r="U90" s="241"/>
      <c r="V90" s="241"/>
      <c r="W90" s="241"/>
      <c r="X90" s="241"/>
      <c r="Y90" s="241"/>
      <c r="Z90" s="241"/>
    </row>
    <row r="91" spans="1:26" s="78" customFormat="1" ht="27" hidden="1" customHeight="1" x14ac:dyDescent="0.25">
      <c r="A91" s="80"/>
      <c r="B91" s="401"/>
      <c r="C91" s="401"/>
      <c r="D91" s="418" t="s">
        <v>797</v>
      </c>
      <c r="E91" s="418"/>
      <c r="F91" s="112">
        <v>61</v>
      </c>
      <c r="G91" s="113">
        <f>ROUND(+'Datos contribuyente'!S124+'Datos contribuyente'!W124,-3)</f>
        <v>0</v>
      </c>
      <c r="H91" s="401"/>
      <c r="I91" s="401"/>
      <c r="J91" s="405"/>
      <c r="K91" s="98">
        <v>3</v>
      </c>
      <c r="L91" s="128">
        <v>0</v>
      </c>
      <c r="M91" s="405"/>
      <c r="N91" s="101">
        <v>6</v>
      </c>
      <c r="O91" s="408">
        <v>0</v>
      </c>
      <c r="P91" s="408"/>
      <c r="Q91" s="240"/>
      <c r="R91" s="240"/>
      <c r="S91" s="240"/>
      <c r="T91" s="241"/>
      <c r="U91" s="241"/>
      <c r="V91" s="241"/>
      <c r="W91" s="241"/>
      <c r="X91" s="241"/>
      <c r="Y91" s="241"/>
      <c r="Z91" s="241"/>
    </row>
    <row r="92" spans="1:26" s="78" customFormat="1" ht="27" hidden="1" customHeight="1" x14ac:dyDescent="0.25">
      <c r="A92" s="80"/>
      <c r="B92" s="396" t="s">
        <v>59</v>
      </c>
      <c r="C92" s="397"/>
      <c r="D92" s="397"/>
      <c r="E92" s="397"/>
      <c r="F92" s="120"/>
      <c r="G92" s="97"/>
      <c r="H92" s="398" t="s">
        <v>816</v>
      </c>
      <c r="I92" s="398"/>
      <c r="J92" s="398"/>
      <c r="K92" s="398"/>
      <c r="L92" s="398"/>
      <c r="M92" s="376">
        <v>100</v>
      </c>
      <c r="N92" s="377"/>
      <c r="O92" s="421">
        <v>0</v>
      </c>
      <c r="P92" s="421"/>
      <c r="Q92" s="240"/>
      <c r="R92" s="240"/>
      <c r="S92" s="240"/>
      <c r="T92" s="241"/>
      <c r="U92" s="241"/>
      <c r="V92" s="241"/>
      <c r="W92" s="241"/>
      <c r="X92" s="241"/>
      <c r="Y92" s="241"/>
      <c r="Z92" s="241"/>
    </row>
    <row r="93" spans="1:26" hidden="1" x14ac:dyDescent="0.25"/>
    <row r="94" spans="1:26" s="10" customFormat="1" ht="36" hidden="1" customHeight="1" x14ac:dyDescent="0.3">
      <c r="B94" s="338" t="s">
        <v>823</v>
      </c>
      <c r="C94" s="338"/>
      <c r="D94" s="338"/>
      <c r="E94" s="338"/>
      <c r="F94" s="338"/>
      <c r="G94" s="338"/>
      <c r="H94" s="338"/>
      <c r="I94" s="338"/>
      <c r="J94" s="338"/>
      <c r="K94" s="338"/>
      <c r="L94" s="338"/>
      <c r="M94" s="338"/>
      <c r="N94" s="338"/>
      <c r="O94" s="338"/>
      <c r="P94" s="338"/>
    </row>
    <row r="95" spans="1:26" hidden="1" x14ac:dyDescent="0.25"/>
    <row r="96" spans="1:26" s="75" customFormat="1" ht="60" hidden="1" customHeight="1" x14ac:dyDescent="0.25">
      <c r="A96" s="74"/>
      <c r="B96" s="368"/>
      <c r="C96" s="368"/>
      <c r="D96" s="368"/>
      <c r="E96" s="378" t="s">
        <v>817</v>
      </c>
      <c r="F96" s="378"/>
      <c r="G96" s="378"/>
      <c r="H96" s="378"/>
      <c r="I96" s="378"/>
      <c r="J96" s="378"/>
      <c r="K96" s="378"/>
      <c r="L96" s="369" t="s">
        <v>31</v>
      </c>
      <c r="M96" s="369"/>
      <c r="N96" s="369"/>
      <c r="O96" s="379">
        <v>300</v>
      </c>
      <c r="P96" s="379"/>
      <c r="Q96" s="234"/>
      <c r="R96" s="235"/>
      <c r="S96" s="235"/>
      <c r="T96" s="236"/>
      <c r="U96" s="236"/>
      <c r="V96" s="236"/>
      <c r="W96" s="236"/>
      <c r="X96" s="236"/>
      <c r="Y96" s="236"/>
      <c r="Z96" s="236"/>
    </row>
    <row r="97" spans="1:26" s="77" customFormat="1" ht="27.6" hidden="1" customHeight="1" x14ac:dyDescent="0.25">
      <c r="A97" s="76"/>
      <c r="B97" s="370" t="s">
        <v>32</v>
      </c>
      <c r="C97" s="370"/>
      <c r="D97" s="121">
        <f>+'Datos contribuyente'!$I$6</f>
        <v>2025</v>
      </c>
      <c r="E97" s="100">
        <v>6</v>
      </c>
      <c r="F97" s="416" t="s">
        <v>33</v>
      </c>
      <c r="G97" s="417"/>
      <c r="H97" s="376">
        <v>3</v>
      </c>
      <c r="I97" s="377"/>
      <c r="J97" s="364" t="s">
        <v>34</v>
      </c>
      <c r="K97" s="364"/>
      <c r="L97" s="364"/>
      <c r="M97" s="364"/>
      <c r="N97" s="364"/>
      <c r="O97" s="364"/>
      <c r="P97" s="364"/>
      <c r="Q97" s="237"/>
      <c r="R97" s="238"/>
      <c r="S97" s="238"/>
      <c r="T97" s="239"/>
      <c r="U97" s="239"/>
      <c r="V97" s="239"/>
      <c r="W97" s="239"/>
      <c r="X97" s="239"/>
      <c r="Y97" s="239"/>
      <c r="Z97" s="239"/>
    </row>
    <row r="98" spans="1:26" s="77" customFormat="1" ht="27.6" hidden="1" customHeight="1" x14ac:dyDescent="0.25">
      <c r="A98" s="76"/>
      <c r="B98" s="363" t="s">
        <v>770</v>
      </c>
      <c r="C98" s="363"/>
      <c r="D98" s="364" t="s">
        <v>35</v>
      </c>
      <c r="E98" s="364"/>
      <c r="F98" s="410" t="s">
        <v>36</v>
      </c>
      <c r="G98" s="411"/>
      <c r="H98" s="411"/>
      <c r="I98" s="411"/>
      <c r="J98" s="411"/>
      <c r="K98" s="411"/>
      <c r="L98" s="411"/>
      <c r="M98" s="412"/>
      <c r="N98" s="364" t="s">
        <v>37</v>
      </c>
      <c r="O98" s="364"/>
      <c r="P98" s="364"/>
      <c r="Q98" s="237"/>
      <c r="R98" s="238"/>
      <c r="S98" s="238"/>
      <c r="T98" s="239"/>
      <c r="U98" s="239"/>
      <c r="V98" s="239"/>
      <c r="W98" s="239"/>
      <c r="X98" s="239"/>
      <c r="Y98" s="239"/>
      <c r="Z98" s="239"/>
    </row>
    <row r="99" spans="1:26" s="77" customFormat="1" ht="27.6" hidden="1" customHeight="1" x14ac:dyDescent="0.25">
      <c r="A99" s="99"/>
      <c r="B99" s="363"/>
      <c r="C99" s="363"/>
      <c r="D99" s="365">
        <f>+'Datos contribuyente'!$E$6</f>
        <v>0</v>
      </c>
      <c r="E99" s="366"/>
      <c r="F99" s="413" t="s">
        <v>38</v>
      </c>
      <c r="G99" s="414"/>
      <c r="H99" s="414"/>
      <c r="I99" s="414"/>
      <c r="J99" s="414"/>
      <c r="K99" s="414"/>
      <c r="L99" s="414"/>
      <c r="M99" s="415"/>
      <c r="N99" s="367"/>
      <c r="O99" s="367"/>
      <c r="P99" s="367"/>
      <c r="Q99" s="238"/>
      <c r="R99" s="238"/>
      <c r="S99" s="238"/>
      <c r="T99" s="239"/>
      <c r="U99" s="239"/>
      <c r="V99" s="239"/>
      <c r="W99" s="239"/>
      <c r="X99" s="239"/>
      <c r="Y99" s="239"/>
      <c r="Z99" s="239"/>
    </row>
    <row r="100" spans="1:26" s="77" customFormat="1" ht="27.6" hidden="1" customHeight="1" x14ac:dyDescent="0.25">
      <c r="A100" s="99"/>
      <c r="B100" s="363"/>
      <c r="C100" s="363"/>
      <c r="D100" s="371" t="s">
        <v>818</v>
      </c>
      <c r="E100" s="372"/>
      <c r="F100" s="373">
        <f>+'Datos contribuyente'!$B$6</f>
        <v>0</v>
      </c>
      <c r="G100" s="374"/>
      <c r="H100" s="374"/>
      <c r="I100" s="374"/>
      <c r="J100" s="374"/>
      <c r="K100" s="374"/>
      <c r="L100" s="374"/>
      <c r="M100" s="374"/>
      <c r="N100" s="374"/>
      <c r="O100" s="374"/>
      <c r="P100" s="375"/>
      <c r="Q100" s="238"/>
      <c r="R100" s="238"/>
      <c r="S100" s="238"/>
      <c r="T100" s="239"/>
      <c r="U100" s="239"/>
      <c r="V100" s="239"/>
      <c r="W100" s="239"/>
      <c r="X100" s="239"/>
      <c r="Y100" s="239"/>
      <c r="Z100" s="239"/>
    </row>
    <row r="101" spans="1:26" s="78" customFormat="1" ht="27" hidden="1" customHeight="1" x14ac:dyDescent="0.25">
      <c r="A101" s="80"/>
      <c r="B101" s="384" t="s">
        <v>771</v>
      </c>
      <c r="C101" s="385" t="s">
        <v>761</v>
      </c>
      <c r="D101" s="385"/>
      <c r="E101" s="385"/>
      <c r="F101" s="103">
        <v>27</v>
      </c>
      <c r="G101" s="104">
        <f>+ROUND('Datos contribuyente'!Y30+'Datos contribuyente'!AC30,-3)</f>
        <v>0</v>
      </c>
      <c r="H101" s="390" t="s">
        <v>39</v>
      </c>
      <c r="I101" s="390" t="s">
        <v>40</v>
      </c>
      <c r="J101" s="380" t="s">
        <v>41</v>
      </c>
      <c r="K101" s="380"/>
      <c r="L101" s="380"/>
      <c r="M101" s="380"/>
      <c r="N101" s="116">
        <v>62</v>
      </c>
      <c r="O101" s="389">
        <f>ROUND(+'Datos contribuyente'!AA151+'Datos contribuyente'!AE151,-3)</f>
        <v>0</v>
      </c>
      <c r="P101" s="389"/>
      <c r="Q101" s="240"/>
      <c r="R101" s="240"/>
      <c r="S101" s="240"/>
      <c r="T101" s="241"/>
      <c r="U101" s="241"/>
      <c r="V101" s="241"/>
      <c r="W101" s="241"/>
      <c r="X101" s="241"/>
      <c r="Y101" s="241"/>
      <c r="Z101" s="241"/>
    </row>
    <row r="102" spans="1:26" s="78" customFormat="1" ht="27" hidden="1" customHeight="1" x14ac:dyDescent="0.25">
      <c r="A102" s="80"/>
      <c r="B102" s="384"/>
      <c r="C102" s="362" t="s">
        <v>762</v>
      </c>
      <c r="D102" s="362"/>
      <c r="E102" s="362"/>
      <c r="F102" s="105">
        <v>28</v>
      </c>
      <c r="G102" s="106">
        <f>ROUND(+'Datos contribuyente'!Y44+'Datos contribuyente'!AC44,-3)</f>
        <v>0</v>
      </c>
      <c r="H102" s="384"/>
      <c r="I102" s="384"/>
      <c r="J102" s="381" t="s">
        <v>42</v>
      </c>
      <c r="K102" s="381"/>
      <c r="L102" s="381"/>
      <c r="M102" s="381"/>
      <c r="N102" s="105">
        <v>63</v>
      </c>
      <c r="O102" s="386">
        <f>ROUND(+'Datos contribuyente'!AA165+'Datos contribuyente'!AE165,-3)</f>
        <v>0</v>
      </c>
      <c r="P102" s="386"/>
      <c r="Q102" s="240"/>
      <c r="R102" s="240"/>
      <c r="S102" s="240"/>
      <c r="T102" s="241"/>
      <c r="U102" s="241"/>
      <c r="V102" s="241"/>
      <c r="W102" s="241"/>
      <c r="X102" s="241"/>
      <c r="Y102" s="241"/>
      <c r="Z102" s="241"/>
    </row>
    <row r="103" spans="1:26" s="78" customFormat="1" ht="27" hidden="1" customHeight="1" x14ac:dyDescent="0.25">
      <c r="A103" s="80"/>
      <c r="B103" s="384"/>
      <c r="C103" s="385" t="s">
        <v>763</v>
      </c>
      <c r="D103" s="385"/>
      <c r="E103" s="385"/>
      <c r="F103" s="103">
        <v>29</v>
      </c>
      <c r="G103" s="104">
        <f>ROUND(+'Datos contribuyente'!Y58+'Datos contribuyente'!AC58,-3)</f>
        <v>0</v>
      </c>
      <c r="H103" s="384"/>
      <c r="I103" s="384"/>
      <c r="J103" s="382" t="s">
        <v>43</v>
      </c>
      <c r="K103" s="382"/>
      <c r="L103" s="382"/>
      <c r="M103" s="382"/>
      <c r="N103" s="103">
        <v>64</v>
      </c>
      <c r="O103" s="387">
        <f>ROUND(+'Datos contribuyente'!AA179+'Datos contribuyente'!AE179,-3)</f>
        <v>0</v>
      </c>
      <c r="P103" s="387"/>
      <c r="Q103" s="240"/>
      <c r="R103" s="240"/>
      <c r="S103" s="240"/>
      <c r="T103" s="241"/>
      <c r="U103" s="241"/>
      <c r="V103" s="241"/>
      <c r="W103" s="241"/>
      <c r="X103" s="241"/>
      <c r="Y103" s="241"/>
      <c r="Z103" s="241"/>
    </row>
    <row r="104" spans="1:26" s="78" customFormat="1" ht="27" hidden="1" customHeight="1" x14ac:dyDescent="0.25">
      <c r="A104" s="80"/>
      <c r="B104" s="384"/>
      <c r="C104" s="362" t="s">
        <v>766</v>
      </c>
      <c r="D104" s="362"/>
      <c r="E104" s="362"/>
      <c r="F104" s="105">
        <v>30</v>
      </c>
      <c r="G104" s="106">
        <f>ROUND(+'Datos contribuyente'!Y71+'Datos contribuyente'!AC71,-3)</f>
        <v>0</v>
      </c>
      <c r="H104" s="384"/>
      <c r="I104" s="384"/>
      <c r="J104" s="381" t="s">
        <v>798</v>
      </c>
      <c r="K104" s="381"/>
      <c r="L104" s="381"/>
      <c r="M104" s="381"/>
      <c r="N104" s="105">
        <v>65</v>
      </c>
      <c r="O104" s="386">
        <f>ROUND(+'Datos contribuyente'!AA402+'Datos contribuyente'!AE402,-3)</f>
        <v>0</v>
      </c>
      <c r="P104" s="386">
        <v>0</v>
      </c>
      <c r="Q104" s="240"/>
      <c r="R104" s="240"/>
      <c r="S104" s="240"/>
      <c r="T104" s="241"/>
      <c r="U104" s="241"/>
      <c r="V104" s="241"/>
      <c r="W104" s="241"/>
      <c r="X104" s="241"/>
      <c r="Y104" s="241"/>
      <c r="Z104" s="241"/>
    </row>
    <row r="105" spans="1:26" s="78" customFormat="1" ht="27" hidden="1" customHeight="1" x14ac:dyDescent="0.25">
      <c r="A105" s="80"/>
      <c r="B105" s="384"/>
      <c r="C105" s="385" t="s">
        <v>767</v>
      </c>
      <c r="D105" s="385"/>
      <c r="E105" s="385"/>
      <c r="F105" s="103">
        <v>31</v>
      </c>
      <c r="G105" s="104">
        <f>ROUND(+'Datos contribuyente'!Y84+'Datos contribuyente'!AC84,-3)</f>
        <v>0</v>
      </c>
      <c r="H105" s="384"/>
      <c r="I105" s="384"/>
      <c r="J105" s="382" t="s">
        <v>764</v>
      </c>
      <c r="K105" s="382"/>
      <c r="L105" s="382"/>
      <c r="M105" s="382"/>
      <c r="N105" s="103">
        <v>66</v>
      </c>
      <c r="O105" s="387">
        <f>ROUND(IF('Datos contribuyente'!D560="No",+'Datos contribuyente'!AA386+'Datos contribuyente'!AE386,+'Datos contribuyente'!AA386+'Datos contribuyente'!AE386-'Datos contribuyente'!G587),-3)</f>
        <v>0</v>
      </c>
      <c r="P105" s="387"/>
      <c r="Q105" s="240"/>
      <c r="R105" s="240"/>
      <c r="S105" s="240"/>
      <c r="T105" s="241"/>
      <c r="U105" s="241"/>
      <c r="V105" s="241"/>
      <c r="W105" s="241"/>
      <c r="X105" s="241"/>
      <c r="Y105" s="241"/>
      <c r="Z105" s="241"/>
    </row>
    <row r="106" spans="1:26" s="78" customFormat="1" ht="27" hidden="1" customHeight="1" x14ac:dyDescent="0.25">
      <c r="A106" s="80"/>
      <c r="B106" s="384"/>
      <c r="C106" s="362" t="s">
        <v>768</v>
      </c>
      <c r="D106" s="362"/>
      <c r="E106" s="362"/>
      <c r="F106" s="105">
        <v>32</v>
      </c>
      <c r="G106" s="106">
        <f>ROUND(+'Datos contribuyente'!Y97+'Datos contribuyente'!AC97,-3)</f>
        <v>0</v>
      </c>
      <c r="H106" s="384"/>
      <c r="I106" s="391"/>
      <c r="J106" s="383" t="s">
        <v>799</v>
      </c>
      <c r="K106" s="383"/>
      <c r="L106" s="383"/>
      <c r="M106" s="383"/>
      <c r="N106" s="117">
        <v>67</v>
      </c>
      <c r="O106" s="388">
        <f>ROUND(+SUM(G132:G135,O101:P105),-3)</f>
        <v>0</v>
      </c>
      <c r="P106" s="388"/>
      <c r="Q106" s="240"/>
      <c r="R106" s="240"/>
      <c r="S106" s="240"/>
      <c r="T106" s="241"/>
      <c r="U106" s="241"/>
      <c r="V106" s="241"/>
      <c r="W106" s="241"/>
      <c r="X106" s="241"/>
      <c r="Y106" s="241"/>
      <c r="Z106" s="241"/>
    </row>
    <row r="107" spans="1:26" s="78" customFormat="1" ht="27" hidden="1" customHeight="1" x14ac:dyDescent="0.25">
      <c r="A107" s="80"/>
      <c r="B107" s="384"/>
      <c r="C107" s="385" t="s">
        <v>769</v>
      </c>
      <c r="D107" s="385"/>
      <c r="E107" s="385"/>
      <c r="F107" s="103">
        <v>33</v>
      </c>
      <c r="G107" s="104">
        <f>ROUND(+'Datos contribuyente'!Y110+'Datos contribuyente'!AC110,-3)</f>
        <v>0</v>
      </c>
      <c r="H107" s="384"/>
      <c r="I107" s="390" t="s">
        <v>44</v>
      </c>
      <c r="J107" s="380" t="s">
        <v>800</v>
      </c>
      <c r="K107" s="380"/>
      <c r="L107" s="380"/>
      <c r="M107" s="380"/>
      <c r="N107" s="116">
        <v>68</v>
      </c>
      <c r="O107" s="389">
        <f>ROUND(IF('Datos contribuyente'!D560="No",+'Datos contribuyente'!AA235+'Datos contribuyente'!AE235,+'Datos contribuyente'!AA235+'Datos contribuyente'!AE235-'Datos contribuyente'!G588),-3)</f>
        <v>0</v>
      </c>
      <c r="P107" s="389">
        <f>+IF(P104-P105-P106&gt;0,P104-P105-P106,0)</f>
        <v>0</v>
      </c>
      <c r="Q107" s="240"/>
      <c r="R107" s="240"/>
      <c r="S107" s="240"/>
      <c r="T107" s="241"/>
      <c r="U107" s="241"/>
      <c r="V107" s="241"/>
      <c r="W107" s="241"/>
      <c r="X107" s="241"/>
      <c r="Y107" s="241"/>
      <c r="Z107" s="241"/>
    </row>
    <row r="108" spans="1:26" s="78" customFormat="1" ht="27" hidden="1" customHeight="1" x14ac:dyDescent="0.25">
      <c r="A108" s="80"/>
      <c r="B108" s="384"/>
      <c r="C108" s="362" t="s">
        <v>772</v>
      </c>
      <c r="D108" s="362"/>
      <c r="E108" s="362"/>
      <c r="F108" s="105">
        <v>34</v>
      </c>
      <c r="G108" s="106">
        <f>ROUND(+'Datos contribuyente'!Y124+'Datos contribuyente'!AC124,-3)</f>
        <v>0</v>
      </c>
      <c r="H108" s="384"/>
      <c r="I108" s="384"/>
      <c r="J108" s="381" t="s">
        <v>801</v>
      </c>
      <c r="K108" s="381"/>
      <c r="L108" s="381"/>
      <c r="M108" s="381"/>
      <c r="N108" s="105">
        <v>69</v>
      </c>
      <c r="O108" s="386">
        <f>ROUND(IF('Datos contribuyente'!D560="No",+'Datos contribuyente'!AA249+'Datos contribuyente'!AE249,+'Datos contribuyente'!AA249+'Datos contribuyente'!AE249-'Datos contribuyente'!G589),-3)</f>
        <v>0</v>
      </c>
      <c r="P108" s="386"/>
      <c r="Q108" s="240"/>
      <c r="R108" s="240"/>
      <c r="S108" s="240"/>
      <c r="T108" s="241"/>
      <c r="U108" s="241"/>
      <c r="V108" s="241"/>
      <c r="W108" s="241"/>
      <c r="X108" s="241"/>
      <c r="Y108" s="241"/>
      <c r="Z108" s="241"/>
    </row>
    <row r="109" spans="1:26" s="78" customFormat="1" ht="27" hidden="1" customHeight="1" x14ac:dyDescent="0.25">
      <c r="A109" s="80"/>
      <c r="B109" s="384"/>
      <c r="C109" s="385" t="s">
        <v>773</v>
      </c>
      <c r="D109" s="385"/>
      <c r="E109" s="385"/>
      <c r="F109" s="103">
        <v>35</v>
      </c>
      <c r="G109" s="104">
        <f>ROUND(+'Datos contribuyente'!Y137+'Datos contribuyente'!AC137,-3)</f>
        <v>0</v>
      </c>
      <c r="H109" s="384"/>
      <c r="I109" s="384"/>
      <c r="J109" s="382" t="s">
        <v>783</v>
      </c>
      <c r="K109" s="382"/>
      <c r="L109" s="382"/>
      <c r="M109" s="382"/>
      <c r="N109" s="103">
        <v>70</v>
      </c>
      <c r="O109" s="387">
        <f>ROUND(IF('Datos contribuyente'!D560="No",+'Datos contribuyente'!AA263+'Datos contribuyente'!AE263,+'Datos contribuyente'!AA263+'Datos contribuyente'!AE263-'Datos contribuyente'!G590),-3)</f>
        <v>0</v>
      </c>
      <c r="P109" s="387"/>
      <c r="Q109" s="240"/>
      <c r="R109" s="240"/>
      <c r="S109" s="240"/>
      <c r="T109" s="241"/>
      <c r="U109" s="241"/>
      <c r="V109" s="241"/>
      <c r="W109" s="241"/>
      <c r="X109" s="241"/>
      <c r="Y109" s="241"/>
      <c r="Z109" s="241"/>
    </row>
    <row r="110" spans="1:26" s="78" customFormat="1" ht="27" hidden="1" customHeight="1" x14ac:dyDescent="0.25">
      <c r="A110" s="80"/>
      <c r="B110" s="384"/>
      <c r="C110" s="362" t="s">
        <v>821</v>
      </c>
      <c r="D110" s="362"/>
      <c r="E110" s="362"/>
      <c r="F110" s="105">
        <v>36</v>
      </c>
      <c r="G110" s="106">
        <f>ROUND(+'Datos contribuyente'!Y151+'Datos contribuyente'!AC151,-3)</f>
        <v>0</v>
      </c>
      <c r="H110" s="384"/>
      <c r="I110" s="384"/>
      <c r="J110" s="381" t="s">
        <v>802</v>
      </c>
      <c r="K110" s="381"/>
      <c r="L110" s="381"/>
      <c r="M110" s="381"/>
      <c r="N110" s="105">
        <v>71</v>
      </c>
      <c r="O110" s="386">
        <f>ROUND(IF('Datos contribuyente'!D560="No",+'Datos contribuyente'!AA317+'Datos contribuyente'!AE317,+'Datos contribuyente'!AA317+'Datos contribuyente'!AE317-'Datos contribuyente'!G591),-3)</f>
        <v>0</v>
      </c>
      <c r="P110" s="386"/>
      <c r="Q110" s="240"/>
      <c r="R110" s="240"/>
      <c r="S110" s="240"/>
      <c r="T110" s="241"/>
      <c r="U110" s="241"/>
      <c r="V110" s="241"/>
      <c r="W110" s="241"/>
      <c r="X110" s="241"/>
      <c r="Y110" s="241"/>
      <c r="Z110" s="241"/>
    </row>
    <row r="111" spans="1:26" s="78" customFormat="1" ht="27" hidden="1" customHeight="1" x14ac:dyDescent="0.25">
      <c r="A111" s="80"/>
      <c r="B111" s="384"/>
      <c r="C111" s="385" t="s">
        <v>774</v>
      </c>
      <c r="D111" s="385"/>
      <c r="E111" s="385"/>
      <c r="F111" s="103">
        <v>37</v>
      </c>
      <c r="G111" s="104">
        <f>ROUND(+'Datos contribuyente'!Y165+'Datos contribuyente'!AC165,-3)</f>
        <v>0</v>
      </c>
      <c r="H111" s="384"/>
      <c r="I111" s="384"/>
      <c r="J111" s="382" t="s">
        <v>803</v>
      </c>
      <c r="K111" s="382"/>
      <c r="L111" s="382"/>
      <c r="M111" s="382"/>
      <c r="N111" s="103">
        <v>72</v>
      </c>
      <c r="O111" s="387">
        <f>ROUND(IF('Datos contribuyente'!D560="No",+'Datos contribuyente'!AA331+'Datos contribuyente'!AE331,+'Datos contribuyente'!AA331+'Datos contribuyente'!AE331-'Datos contribuyente'!G592),-3)</f>
        <v>0</v>
      </c>
      <c r="P111" s="387"/>
      <c r="Q111" s="240"/>
      <c r="R111" s="240"/>
      <c r="S111" s="240"/>
      <c r="T111" s="241"/>
      <c r="U111" s="241"/>
      <c r="V111" s="241"/>
      <c r="W111" s="241"/>
      <c r="X111" s="241"/>
      <c r="Y111" s="241"/>
      <c r="Z111" s="241"/>
    </row>
    <row r="112" spans="1:26" s="78" customFormat="1" ht="27" hidden="1" customHeight="1" x14ac:dyDescent="0.25">
      <c r="A112" s="80"/>
      <c r="B112" s="384"/>
      <c r="C112" s="362" t="s">
        <v>775</v>
      </c>
      <c r="D112" s="362"/>
      <c r="E112" s="362"/>
      <c r="F112" s="105">
        <v>38</v>
      </c>
      <c r="G112" s="106">
        <f>ROUND(+'Datos contribuyente'!Y179+'Datos contribuyente'!AC179,-3)</f>
        <v>0</v>
      </c>
      <c r="H112" s="384"/>
      <c r="I112" s="384"/>
      <c r="J112" s="381" t="s">
        <v>45</v>
      </c>
      <c r="K112" s="381"/>
      <c r="L112" s="381"/>
      <c r="M112" s="381"/>
      <c r="N112" s="105">
        <v>73</v>
      </c>
      <c r="O112" s="386">
        <f>ROUND(IF('Datos contribuyente'!D560="No",+'Datos contribuyente'!AA416+'Datos contribuyente'!AE416,+'Datos contribuyente'!AA416+'Datos contribuyente'!AE416-'Datos contribuyente'!G593),-3)</f>
        <v>0</v>
      </c>
      <c r="P112" s="386"/>
      <c r="Q112" s="240"/>
      <c r="R112" s="240"/>
      <c r="S112" s="240"/>
      <c r="T112" s="241"/>
      <c r="U112" s="241"/>
      <c r="V112" s="241"/>
      <c r="W112" s="241"/>
      <c r="X112" s="241"/>
      <c r="Y112" s="241"/>
      <c r="Z112" s="241"/>
    </row>
    <row r="113" spans="1:26" s="78" customFormat="1" ht="27" hidden="1" customHeight="1" x14ac:dyDescent="0.25">
      <c r="A113" s="80"/>
      <c r="B113" s="384"/>
      <c r="C113" s="385" t="s">
        <v>776</v>
      </c>
      <c r="D113" s="385"/>
      <c r="E113" s="385"/>
      <c r="F113" s="103">
        <v>39</v>
      </c>
      <c r="G113" s="104">
        <f>ROUND(+'Datos contribuyente'!Y192+'Datos contribuyente'!AC192,-3)</f>
        <v>0</v>
      </c>
      <c r="H113" s="384"/>
      <c r="I113" s="384"/>
      <c r="J113" s="382" t="s">
        <v>804</v>
      </c>
      <c r="K113" s="382"/>
      <c r="L113" s="382"/>
      <c r="M113" s="382"/>
      <c r="N113" s="103">
        <v>74</v>
      </c>
      <c r="O113" s="387">
        <f ca="1">ROUND(IF('Datos contribuyente'!D560="No",+SUMIF('Datos contribuyente'!Z296:AA302,5%,'Datos contribuyente'!AA296:AA302)+SUMIF('Datos contribuyente'!AD296:AE302,5%,'Datos contribuyente'!AE296:AE302)+'Datos contribuyente'!AA345+'Datos contribuyente'!AE345,+SUMIF('Datos contribuyente'!Z296:AA302,5%,'Datos contribuyente'!AA296:AA302)+SUMIF('Datos contribuyente'!AD296:AE302,5%,'Datos contribuyente'!AE296:AE302)+'Datos contribuyente'!AA345+'Datos contribuyente'!AE345-'Datos contribuyente'!G594),-3)</f>
        <v>0</v>
      </c>
      <c r="P113" s="387"/>
      <c r="Q113" s="240"/>
      <c r="R113" s="240"/>
      <c r="S113" s="240"/>
      <c r="T113" s="241"/>
      <c r="U113" s="241"/>
      <c r="V113" s="241"/>
      <c r="W113" s="241"/>
      <c r="X113" s="241"/>
      <c r="Y113" s="241"/>
      <c r="Z113" s="241"/>
    </row>
    <row r="114" spans="1:26" s="78" customFormat="1" ht="27" hidden="1" customHeight="1" x14ac:dyDescent="0.25">
      <c r="A114" s="80"/>
      <c r="B114" s="384"/>
      <c r="C114" s="362" t="s">
        <v>777</v>
      </c>
      <c r="D114" s="362"/>
      <c r="E114" s="362"/>
      <c r="F114" s="105">
        <v>40</v>
      </c>
      <c r="G114" s="106">
        <f>ROUND(+'Datos contribuyente'!Y205+'Datos contribuyente'!AC205,-3)</f>
        <v>0</v>
      </c>
      <c r="H114" s="384"/>
      <c r="I114" s="384"/>
      <c r="J114" s="381" t="s">
        <v>805</v>
      </c>
      <c r="K114" s="381"/>
      <c r="L114" s="381"/>
      <c r="M114" s="381"/>
      <c r="N114" s="105">
        <v>75</v>
      </c>
      <c r="O114" s="386">
        <f ca="1">ROUND(IF('Datos contribuyente'!D560="No",+SUMIF('Datos contribuyente'!Z296:AA302,19%,'Datos contribuyente'!AA296:AA302)+SUMIF('Datos contribuyente'!AD296:AE302,19%,'Datos contribuyente'!AE296:AE302)+'Datos contribuyente'!AA359+'Datos contribuyente'!AE359,+SUMIF('Datos contribuyente'!Z296:AA302,19%,'Datos contribuyente'!AA296:AA302)+SUMIF('Datos contribuyente'!AD296:AE302,19%,'Datos contribuyente'!AE296:AE302)+'Datos contribuyente'!AA359+'Datos contribuyente'!AE359-'Datos contribuyente'!G595),-3)</f>
        <v>0</v>
      </c>
      <c r="P114" s="386"/>
      <c r="Q114" s="240"/>
      <c r="R114" s="240"/>
      <c r="S114" s="240"/>
      <c r="T114" s="241"/>
      <c r="U114" s="241"/>
      <c r="V114" s="241"/>
      <c r="W114" s="241"/>
      <c r="X114" s="241"/>
      <c r="Y114" s="241"/>
      <c r="Z114" s="241"/>
    </row>
    <row r="115" spans="1:26" s="78" customFormat="1" ht="27" hidden="1" customHeight="1" x14ac:dyDescent="0.25">
      <c r="A115" s="80"/>
      <c r="B115" s="384"/>
      <c r="C115" s="395" t="s">
        <v>779</v>
      </c>
      <c r="D115" s="395"/>
      <c r="E115" s="395"/>
      <c r="F115" s="107">
        <v>41</v>
      </c>
      <c r="G115" s="108">
        <f>ROUND(+SUM(G101:G114),-3)</f>
        <v>0</v>
      </c>
      <c r="H115" s="384"/>
      <c r="I115" s="384"/>
      <c r="J115" s="382" t="s">
        <v>806</v>
      </c>
      <c r="K115" s="382"/>
      <c r="L115" s="382"/>
      <c r="M115" s="382"/>
      <c r="N115" s="103">
        <v>76</v>
      </c>
      <c r="O115" s="387">
        <f>ROUND(+'Datos contribuyente'!AA430+'Datos contribuyente'!AE430,-3)</f>
        <v>0</v>
      </c>
      <c r="P115" s="387"/>
      <c r="Q115" s="240"/>
      <c r="R115" s="240"/>
      <c r="S115" s="240"/>
      <c r="T115" s="241"/>
      <c r="U115" s="241"/>
      <c r="V115" s="241"/>
      <c r="W115" s="241"/>
      <c r="X115" s="241"/>
      <c r="Y115" s="241"/>
      <c r="Z115" s="241"/>
    </row>
    <row r="116" spans="1:26" s="78" customFormat="1" ht="27" hidden="1" customHeight="1" x14ac:dyDescent="0.25">
      <c r="A116" s="80"/>
      <c r="B116" s="384"/>
      <c r="C116" s="362" t="s">
        <v>778</v>
      </c>
      <c r="D116" s="362"/>
      <c r="E116" s="362"/>
      <c r="F116" s="105">
        <v>42</v>
      </c>
      <c r="G116" s="106">
        <f>ROUND(+'Datos contribuyente'!Y219+'Datos contribuyente'!AC219,-3)</f>
        <v>0</v>
      </c>
      <c r="H116" s="384"/>
      <c r="I116" s="384"/>
      <c r="J116" s="383" t="s">
        <v>807</v>
      </c>
      <c r="K116" s="383"/>
      <c r="L116" s="383"/>
      <c r="M116" s="383"/>
      <c r="N116" s="117">
        <v>77</v>
      </c>
      <c r="O116" s="388">
        <f ca="1">ROUND(+SUM(O107:P115),-3)</f>
        <v>0</v>
      </c>
      <c r="P116" s="388"/>
      <c r="Q116" s="240"/>
      <c r="R116" s="240"/>
      <c r="S116" s="240"/>
      <c r="T116" s="241"/>
      <c r="U116" s="241"/>
      <c r="V116" s="241"/>
      <c r="W116" s="241"/>
      <c r="X116" s="241"/>
      <c r="Y116" s="241"/>
      <c r="Z116" s="241"/>
    </row>
    <row r="117" spans="1:26" s="78" customFormat="1" ht="27" hidden="1" customHeight="1" x14ac:dyDescent="0.25">
      <c r="A117" s="80"/>
      <c r="B117" s="384"/>
      <c r="C117" s="418" t="s">
        <v>780</v>
      </c>
      <c r="D117" s="418"/>
      <c r="E117" s="418"/>
      <c r="F117" s="110">
        <v>43</v>
      </c>
      <c r="G117" s="111">
        <f>ROUND(+G115-G116,-3)</f>
        <v>0</v>
      </c>
      <c r="H117" s="384"/>
      <c r="I117" s="384"/>
      <c r="J117" s="382" t="s">
        <v>46</v>
      </c>
      <c r="K117" s="382"/>
      <c r="L117" s="382"/>
      <c r="M117" s="382"/>
      <c r="N117" s="103">
        <v>78</v>
      </c>
      <c r="O117" s="387">
        <f>ROUND(+'Datos contribuyente'!AA444+'Datos contribuyente'!AE444,-3)</f>
        <v>0</v>
      </c>
      <c r="P117" s="387"/>
      <c r="Q117" s="240"/>
      <c r="R117" s="240"/>
      <c r="S117" s="240"/>
      <c r="T117" s="241"/>
      <c r="U117" s="241"/>
      <c r="V117" s="241"/>
      <c r="W117" s="241"/>
      <c r="X117" s="241"/>
      <c r="Y117" s="241"/>
      <c r="Z117" s="241"/>
    </row>
    <row r="118" spans="1:26" s="78" customFormat="1" ht="27" hidden="1" customHeight="1" x14ac:dyDescent="0.25">
      <c r="A118" s="80"/>
      <c r="B118" s="384" t="s">
        <v>793</v>
      </c>
      <c r="C118" s="390" t="s">
        <v>47</v>
      </c>
      <c r="D118" s="362" t="s">
        <v>781</v>
      </c>
      <c r="E118" s="362"/>
      <c r="F118" s="105">
        <v>44</v>
      </c>
      <c r="G118" s="106">
        <f>ROUND(+'Datos contribuyente'!Y235+'Datos contribuyente'!AC235,-3)</f>
        <v>0</v>
      </c>
      <c r="H118" s="384"/>
      <c r="I118" s="384"/>
      <c r="J118" s="381" t="s">
        <v>808</v>
      </c>
      <c r="K118" s="381"/>
      <c r="L118" s="381"/>
      <c r="M118" s="381"/>
      <c r="N118" s="105">
        <v>79</v>
      </c>
      <c r="O118" s="386">
        <f>ROUND(+'Datos contribuyente'!AA219+'Datos contribuyente'!AE219,-3)</f>
        <v>0</v>
      </c>
      <c r="P118" s="386"/>
      <c r="Q118" s="240"/>
      <c r="R118" s="240"/>
      <c r="S118" s="240"/>
      <c r="T118" s="241"/>
      <c r="U118" s="241"/>
      <c r="V118" s="241"/>
      <c r="W118" s="241"/>
      <c r="X118" s="241"/>
      <c r="Y118" s="241"/>
      <c r="Z118" s="241"/>
    </row>
    <row r="119" spans="1:26" s="78" customFormat="1" ht="27" hidden="1" customHeight="1" x14ac:dyDescent="0.25">
      <c r="A119" s="80"/>
      <c r="B119" s="384"/>
      <c r="C119" s="384"/>
      <c r="D119" s="385" t="s">
        <v>782</v>
      </c>
      <c r="E119" s="385"/>
      <c r="F119" s="103">
        <v>45</v>
      </c>
      <c r="G119" s="104">
        <f>ROUND(+'Datos contribuyente'!Y249+'Datos contribuyente'!AC249,-3)</f>
        <v>0</v>
      </c>
      <c r="H119" s="384"/>
      <c r="I119" s="384"/>
      <c r="J119" s="382" t="s">
        <v>48</v>
      </c>
      <c r="K119" s="382"/>
      <c r="L119" s="382"/>
      <c r="M119" s="382"/>
      <c r="N119" s="103">
        <v>80</v>
      </c>
      <c r="O119" s="387">
        <f>ROUND(+'Datos contribuyente'!AA458+'Datos contribuyente'!AE458,-3)</f>
        <v>0</v>
      </c>
      <c r="P119" s="387"/>
      <c r="Q119" s="240"/>
      <c r="R119" s="240"/>
      <c r="S119" s="240"/>
      <c r="T119" s="241"/>
      <c r="U119" s="241"/>
      <c r="V119" s="241"/>
      <c r="W119" s="241"/>
      <c r="X119" s="241"/>
      <c r="Y119" s="241"/>
      <c r="Z119" s="241"/>
    </row>
    <row r="120" spans="1:26" s="78" customFormat="1" ht="27" hidden="1" customHeight="1" x14ac:dyDescent="0.25">
      <c r="A120" s="80"/>
      <c r="B120" s="384"/>
      <c r="C120" s="384"/>
      <c r="D120" s="362" t="s">
        <v>783</v>
      </c>
      <c r="E120" s="362"/>
      <c r="F120" s="105">
        <v>46</v>
      </c>
      <c r="G120" s="106">
        <f>ROUND(+'Datos contribuyente'!Y263+'Datos contribuyente'!AC263,-3)</f>
        <v>0</v>
      </c>
      <c r="H120" s="384"/>
      <c r="I120" s="391"/>
      <c r="J120" s="383" t="s">
        <v>809</v>
      </c>
      <c r="K120" s="383"/>
      <c r="L120" s="383"/>
      <c r="M120" s="383"/>
      <c r="N120" s="117">
        <v>81</v>
      </c>
      <c r="O120" s="388">
        <f ca="1">ROUND(+O116+O117+O118-O119,-3)</f>
        <v>0</v>
      </c>
      <c r="P120" s="388"/>
      <c r="Q120" s="240"/>
      <c r="R120" s="240"/>
      <c r="S120" s="240"/>
      <c r="T120" s="241"/>
      <c r="U120" s="241"/>
      <c r="V120" s="241"/>
      <c r="W120" s="241"/>
      <c r="X120" s="241"/>
      <c r="Y120" s="241"/>
      <c r="Z120" s="241"/>
    </row>
    <row r="121" spans="1:26" s="78" customFormat="1" ht="27" hidden="1" customHeight="1" x14ac:dyDescent="0.25">
      <c r="A121" s="80"/>
      <c r="B121" s="384"/>
      <c r="C121" s="384"/>
      <c r="D121" s="385" t="s">
        <v>784</v>
      </c>
      <c r="E121" s="385"/>
      <c r="F121" s="103">
        <v>47</v>
      </c>
      <c r="G121" s="104">
        <f>ROUND(+'Datos contribuyente'!Y276+'Datos contribuyente'!AC276,-3)</f>
        <v>0</v>
      </c>
      <c r="H121" s="384"/>
      <c r="I121" s="393" t="s">
        <v>810</v>
      </c>
      <c r="J121" s="393"/>
      <c r="K121" s="393"/>
      <c r="L121" s="393"/>
      <c r="M121" s="393"/>
      <c r="N121" s="107">
        <v>82</v>
      </c>
      <c r="O121" s="392">
        <f ca="1">ROUND(+IF(O106-O120&gt;0,O106-O120,0),-3)</f>
        <v>0</v>
      </c>
      <c r="P121" s="392"/>
      <c r="Q121" s="240"/>
      <c r="R121" s="240"/>
      <c r="S121" s="240"/>
      <c r="T121" s="241"/>
      <c r="U121" s="241"/>
      <c r="V121" s="241"/>
      <c r="W121" s="241"/>
      <c r="X121" s="241"/>
      <c r="Y121" s="241"/>
      <c r="Z121" s="241"/>
    </row>
    <row r="122" spans="1:26" s="78" customFormat="1" ht="27" hidden="1" customHeight="1" x14ac:dyDescent="0.25">
      <c r="A122" s="80"/>
      <c r="B122" s="384"/>
      <c r="C122" s="384"/>
      <c r="D122" s="362" t="s">
        <v>785</v>
      </c>
      <c r="E122" s="362"/>
      <c r="F122" s="105">
        <v>48</v>
      </c>
      <c r="G122" s="106">
        <f>ROUND(+'Datos contribuyente'!Y289+'Datos contribuyente'!AC289,-3)</f>
        <v>0</v>
      </c>
      <c r="H122" s="384"/>
      <c r="I122" s="394" t="s">
        <v>811</v>
      </c>
      <c r="J122" s="394"/>
      <c r="K122" s="394"/>
      <c r="L122" s="394"/>
      <c r="M122" s="394"/>
      <c r="N122" s="102">
        <v>83</v>
      </c>
      <c r="O122" s="419">
        <f ca="1">ROUND(+IF(O120-O106&gt;0,O120-O106,0),-3)</f>
        <v>0</v>
      </c>
      <c r="P122" s="419"/>
      <c r="Q122" s="240"/>
      <c r="R122" s="240"/>
      <c r="S122" s="240"/>
      <c r="T122" s="241"/>
      <c r="U122" s="241"/>
      <c r="V122" s="241"/>
      <c r="W122" s="241"/>
      <c r="X122" s="241"/>
      <c r="Y122" s="241"/>
      <c r="Z122" s="241"/>
    </row>
    <row r="123" spans="1:26" s="78" customFormat="1" ht="27" hidden="1" customHeight="1" x14ac:dyDescent="0.25">
      <c r="A123" s="80"/>
      <c r="B123" s="384"/>
      <c r="C123" s="391"/>
      <c r="D123" s="418" t="s">
        <v>786</v>
      </c>
      <c r="E123" s="418"/>
      <c r="F123" s="112">
        <v>49</v>
      </c>
      <c r="G123" s="113">
        <f>ROUND(+'Datos contribuyente'!Y303+'Datos contribuyente'!AC303,-3)</f>
        <v>0</v>
      </c>
      <c r="H123" s="384"/>
      <c r="I123" s="382" t="s">
        <v>49</v>
      </c>
      <c r="J123" s="382"/>
      <c r="K123" s="382"/>
      <c r="L123" s="382"/>
      <c r="M123" s="382"/>
      <c r="N123" s="103">
        <v>84</v>
      </c>
      <c r="O123" s="387">
        <f ca="1">ROUND(+IF('Datos contribuyente'!E964="No",'Datos contribuyente'!I956,0),-3)</f>
        <v>0</v>
      </c>
      <c r="P123" s="387"/>
      <c r="Q123" s="240"/>
      <c r="R123" s="240"/>
      <c r="S123" s="240"/>
      <c r="T123" s="241"/>
      <c r="U123" s="241"/>
      <c r="V123" s="241"/>
      <c r="W123" s="241"/>
      <c r="X123" s="241"/>
      <c r="Y123" s="241"/>
      <c r="Z123" s="241"/>
    </row>
    <row r="124" spans="1:26" s="78" customFormat="1" ht="27" hidden="1" customHeight="1" x14ac:dyDescent="0.25">
      <c r="A124" s="79"/>
      <c r="B124" s="384"/>
      <c r="C124" s="390" t="s">
        <v>50</v>
      </c>
      <c r="D124" s="362" t="s">
        <v>781</v>
      </c>
      <c r="E124" s="362"/>
      <c r="F124" s="105">
        <v>50</v>
      </c>
      <c r="G124" s="106">
        <f>ROUND(+'Datos contribuyente'!Y317+'Datos contribuyente'!AC317,-3)</f>
        <v>0</v>
      </c>
      <c r="H124" s="384"/>
      <c r="I124" s="381" t="s">
        <v>51</v>
      </c>
      <c r="J124" s="381"/>
      <c r="K124" s="381"/>
      <c r="L124" s="381"/>
      <c r="M124" s="381"/>
      <c r="N124" s="105">
        <v>85</v>
      </c>
      <c r="O124" s="386">
        <f>ROUND(+'Datos contribuyente'!AA472+'Datos contribuyente'!AE472,-3)</f>
        <v>0</v>
      </c>
      <c r="P124" s="386"/>
      <c r="Q124" s="243"/>
      <c r="R124" s="240"/>
      <c r="S124" s="240"/>
      <c r="T124" s="241"/>
      <c r="U124" s="241"/>
      <c r="V124" s="241"/>
      <c r="W124" s="241"/>
      <c r="X124" s="241"/>
      <c r="Y124" s="241"/>
      <c r="Z124" s="241"/>
    </row>
    <row r="125" spans="1:26" s="78" customFormat="1" ht="27" hidden="1" customHeight="1" x14ac:dyDescent="0.25">
      <c r="A125" s="79"/>
      <c r="B125" s="384"/>
      <c r="C125" s="384"/>
      <c r="D125" s="385" t="s">
        <v>782</v>
      </c>
      <c r="E125" s="385"/>
      <c r="F125" s="103">
        <v>51</v>
      </c>
      <c r="G125" s="104">
        <f>ROUND(+'Datos contribuyente'!Y331+'Datos contribuyente'!AC331,-3)</f>
        <v>0</v>
      </c>
      <c r="H125" s="384"/>
      <c r="I125" s="393" t="s">
        <v>812</v>
      </c>
      <c r="J125" s="393"/>
      <c r="K125" s="393"/>
      <c r="L125" s="393"/>
      <c r="M125" s="393"/>
      <c r="N125" s="107">
        <v>86</v>
      </c>
      <c r="O125" s="392">
        <f ca="1">ROUND(+IF(O121-O123-O124&gt;0,O121-O123-O124,0),-3)</f>
        <v>0</v>
      </c>
      <c r="P125" s="392"/>
      <c r="Q125" s="243"/>
      <c r="R125" s="240"/>
      <c r="S125" s="240"/>
      <c r="T125" s="241"/>
      <c r="U125" s="241"/>
      <c r="V125" s="241"/>
      <c r="W125" s="241"/>
      <c r="X125" s="241"/>
      <c r="Y125" s="241"/>
      <c r="Z125" s="241"/>
    </row>
    <row r="126" spans="1:26" s="78" customFormat="1" ht="27" hidden="1" customHeight="1" x14ac:dyDescent="0.25">
      <c r="A126" s="79"/>
      <c r="B126" s="384"/>
      <c r="C126" s="384"/>
      <c r="D126" s="362" t="s">
        <v>787</v>
      </c>
      <c r="E126" s="362"/>
      <c r="F126" s="105">
        <v>52</v>
      </c>
      <c r="G126" s="106">
        <f>ROUND(+'Datos contribuyente'!Y345+'Datos contribuyente'!AC345,-3)</f>
        <v>0</v>
      </c>
      <c r="H126" s="384"/>
      <c r="I126" s="381" t="s">
        <v>52</v>
      </c>
      <c r="J126" s="381"/>
      <c r="K126" s="381"/>
      <c r="L126" s="381"/>
      <c r="M126" s="381"/>
      <c r="N126" s="105">
        <v>87</v>
      </c>
      <c r="O126" s="386">
        <f>ROUND(+'Datos contribuyente'!K906+'Datos contribuyente'!K936,-3)</f>
        <v>0</v>
      </c>
      <c r="P126" s="386"/>
      <c r="Q126" s="243"/>
      <c r="R126" s="240"/>
      <c r="S126" s="240"/>
      <c r="T126" s="241"/>
      <c r="U126" s="241"/>
      <c r="V126" s="241"/>
      <c r="W126" s="241"/>
      <c r="X126" s="241"/>
      <c r="Y126" s="241"/>
      <c r="Z126" s="241"/>
    </row>
    <row r="127" spans="1:26" s="78" customFormat="1" ht="27" hidden="1" customHeight="1" x14ac:dyDescent="0.25">
      <c r="A127" s="80"/>
      <c r="B127" s="384"/>
      <c r="C127" s="384"/>
      <c r="D127" s="385" t="s">
        <v>788</v>
      </c>
      <c r="E127" s="385"/>
      <c r="F127" s="103">
        <v>53</v>
      </c>
      <c r="G127" s="104">
        <f>ROUND(+'Datos contribuyente'!Y359+'Datos contribuyente'!AC359,-3)</f>
        <v>0</v>
      </c>
      <c r="H127" s="384"/>
      <c r="I127" s="393" t="s">
        <v>813</v>
      </c>
      <c r="J127" s="393"/>
      <c r="K127" s="393"/>
      <c r="L127" s="393"/>
      <c r="M127" s="393"/>
      <c r="N127" s="107">
        <v>88</v>
      </c>
      <c r="O127" s="392">
        <f ca="1">ROUND(+IF(O121-O123-O124+O126&gt;0,O121-O123-O124+O126,0),-3)</f>
        <v>0</v>
      </c>
      <c r="P127" s="392"/>
      <c r="Q127" s="243"/>
      <c r="R127" s="240"/>
      <c r="S127" s="240"/>
      <c r="T127" s="241"/>
      <c r="U127" s="241"/>
      <c r="V127" s="241"/>
      <c r="W127" s="241"/>
      <c r="X127" s="241"/>
      <c r="Y127" s="241"/>
      <c r="Z127" s="241"/>
    </row>
    <row r="128" spans="1:26" s="78" customFormat="1" ht="27" hidden="1" customHeight="1" x14ac:dyDescent="0.25">
      <c r="A128" s="80"/>
      <c r="B128" s="384"/>
      <c r="C128" s="391"/>
      <c r="D128" s="420" t="s">
        <v>789</v>
      </c>
      <c r="E128" s="420"/>
      <c r="F128" s="114">
        <v>54</v>
      </c>
      <c r="G128" s="115">
        <f>ROUND(+'Datos contribuyente'!Y372+'Datos contribuyente'!AC372,-3)</f>
        <v>0</v>
      </c>
      <c r="H128" s="391"/>
      <c r="I128" s="383" t="s">
        <v>1034</v>
      </c>
      <c r="J128" s="383"/>
      <c r="K128" s="383"/>
      <c r="L128" s="383"/>
      <c r="M128" s="383"/>
      <c r="N128" s="117">
        <v>89</v>
      </c>
      <c r="O128" s="388">
        <f ca="1">+IF(O122+O123+O124-O126-O125-O121&gt;0,O122+O123+O124-O126-O125-O121,0)</f>
        <v>0</v>
      </c>
      <c r="P128" s="388"/>
      <c r="Q128" s="240"/>
      <c r="R128" s="240"/>
      <c r="S128" s="240"/>
      <c r="T128" s="241"/>
      <c r="U128" s="241"/>
      <c r="V128" s="241"/>
      <c r="W128" s="241"/>
      <c r="X128" s="241"/>
      <c r="Y128" s="241"/>
      <c r="Z128" s="241"/>
    </row>
    <row r="129" spans="1:26" s="78" customFormat="1" ht="27" hidden="1" customHeight="1" x14ac:dyDescent="0.25">
      <c r="A129" s="80"/>
      <c r="B129" s="384"/>
      <c r="C129" s="395" t="s">
        <v>790</v>
      </c>
      <c r="D129" s="395"/>
      <c r="E129" s="395"/>
      <c r="F129" s="107">
        <v>55</v>
      </c>
      <c r="G129" s="108">
        <f>ROUND(+SUM(G118:G128),-3)</f>
        <v>0</v>
      </c>
      <c r="H129" s="390" t="s">
        <v>53</v>
      </c>
      <c r="I129" s="380" t="s">
        <v>54</v>
      </c>
      <c r="J129" s="380"/>
      <c r="K129" s="380"/>
      <c r="L129" s="380"/>
      <c r="M129" s="380"/>
      <c r="N129" s="116">
        <v>90</v>
      </c>
      <c r="O129" s="389">
        <f>ROUND(+'Datos contribuyente'!K953,-3)</f>
        <v>0</v>
      </c>
      <c r="P129" s="389"/>
      <c r="Q129" s="240"/>
      <c r="R129" s="240"/>
      <c r="S129" s="240"/>
      <c r="T129" s="241"/>
      <c r="U129" s="241"/>
      <c r="V129" s="241"/>
      <c r="W129" s="241"/>
      <c r="X129" s="241"/>
      <c r="Y129" s="241"/>
      <c r="Z129" s="241"/>
    </row>
    <row r="130" spans="1:26" s="78" customFormat="1" ht="27" hidden="1" customHeight="1" x14ac:dyDescent="0.25">
      <c r="A130" s="80"/>
      <c r="B130" s="384"/>
      <c r="C130" s="362" t="s">
        <v>791</v>
      </c>
      <c r="D130" s="362"/>
      <c r="E130" s="362"/>
      <c r="F130" s="105">
        <v>56</v>
      </c>
      <c r="G130" s="106">
        <f>ROUND(+'Datos contribuyente'!Y386+'Datos contribuyente'!AC386,-3)</f>
        <v>0</v>
      </c>
      <c r="H130" s="384"/>
      <c r="I130" s="381" t="s">
        <v>55</v>
      </c>
      <c r="J130" s="381"/>
      <c r="K130" s="381"/>
      <c r="L130" s="381"/>
      <c r="M130" s="381"/>
      <c r="N130" s="105">
        <v>91</v>
      </c>
      <c r="O130" s="386">
        <f ca="1">ROUND(+'Datos contribuyente'!K954,-3)</f>
        <v>0</v>
      </c>
      <c r="P130" s="386"/>
      <c r="Q130" s="240"/>
      <c r="R130" s="240"/>
      <c r="S130" s="240"/>
      <c r="T130" s="241"/>
      <c r="U130" s="241"/>
      <c r="V130" s="241"/>
      <c r="W130" s="241"/>
      <c r="X130" s="241"/>
      <c r="Y130" s="241"/>
      <c r="Z130" s="241"/>
    </row>
    <row r="131" spans="1:26" s="78" customFormat="1" ht="27" hidden="1" customHeight="1" x14ac:dyDescent="0.25">
      <c r="A131" s="80"/>
      <c r="B131" s="384"/>
      <c r="C131" s="409" t="s">
        <v>792</v>
      </c>
      <c r="D131" s="409"/>
      <c r="E131" s="409"/>
      <c r="F131" s="110">
        <v>57</v>
      </c>
      <c r="G131" s="111">
        <f>ROUND(+G129-G130,-3)</f>
        <v>0</v>
      </c>
      <c r="H131" s="384"/>
      <c r="I131" s="382" t="s">
        <v>56</v>
      </c>
      <c r="J131" s="382"/>
      <c r="K131" s="382"/>
      <c r="L131" s="382"/>
      <c r="M131" s="382"/>
      <c r="N131" s="103">
        <v>92</v>
      </c>
      <c r="O131" s="387">
        <f>ROUND(+'Datos contribuyente'!K955,-3)</f>
        <v>0</v>
      </c>
      <c r="P131" s="387"/>
      <c r="Q131" s="240"/>
      <c r="R131" s="240"/>
      <c r="S131" s="240"/>
      <c r="T131" s="241"/>
      <c r="U131" s="241"/>
      <c r="V131" s="241"/>
      <c r="W131" s="241"/>
      <c r="X131" s="241"/>
      <c r="Y131" s="241"/>
      <c r="Z131" s="241"/>
    </row>
    <row r="132" spans="1:26" s="78" customFormat="1" ht="27" hidden="1" customHeight="1" x14ac:dyDescent="0.25">
      <c r="A132" s="80"/>
      <c r="B132" s="399" t="s">
        <v>57</v>
      </c>
      <c r="C132" s="399" t="s">
        <v>794</v>
      </c>
      <c r="D132" s="402" t="s">
        <v>795</v>
      </c>
      <c r="E132" s="402"/>
      <c r="F132" s="118">
        <v>58</v>
      </c>
      <c r="G132" s="119">
        <f>ROUND(+'Datos contribuyente'!AA30+'Datos contribuyente'!AE30,-3)</f>
        <v>0</v>
      </c>
      <c r="H132" s="391"/>
      <c r="I132" s="383" t="s">
        <v>814</v>
      </c>
      <c r="J132" s="383"/>
      <c r="K132" s="383"/>
      <c r="L132" s="383"/>
      <c r="M132" s="383"/>
      <c r="N132" s="117">
        <v>93</v>
      </c>
      <c r="O132" s="388">
        <f ca="1">ROUND(+'Datos contribuyente'!K956,-3)</f>
        <v>0</v>
      </c>
      <c r="P132" s="388"/>
      <c r="Q132" s="240"/>
      <c r="R132" s="240"/>
      <c r="S132" s="240"/>
      <c r="T132" s="241"/>
      <c r="U132" s="241"/>
      <c r="V132" s="241"/>
      <c r="W132" s="241"/>
      <c r="X132" s="241"/>
      <c r="Y132" s="241"/>
      <c r="Z132" s="241"/>
    </row>
    <row r="133" spans="1:26" s="78" customFormat="1" ht="27" hidden="1" customHeight="1" x14ac:dyDescent="0.25">
      <c r="A133" s="80"/>
      <c r="B133" s="400"/>
      <c r="C133" s="400"/>
      <c r="D133" s="385" t="s">
        <v>796</v>
      </c>
      <c r="E133" s="385"/>
      <c r="F133" s="103">
        <v>59</v>
      </c>
      <c r="G133" s="104">
        <f>ROUND(+'Datos contribuyente'!AA44+'Datos contribuyente'!AE44,-3)</f>
        <v>0</v>
      </c>
      <c r="H133" s="399" t="s">
        <v>815</v>
      </c>
      <c r="I133" s="399"/>
      <c r="J133" s="403" t="s">
        <v>58</v>
      </c>
      <c r="K133" s="98">
        <v>1</v>
      </c>
      <c r="L133" s="132">
        <v>0</v>
      </c>
      <c r="M133" s="403" t="s">
        <v>58</v>
      </c>
      <c r="N133" s="101">
        <v>4</v>
      </c>
      <c r="O133" s="406">
        <v>0</v>
      </c>
      <c r="P133" s="406"/>
      <c r="Q133" s="240"/>
      <c r="R133" s="240"/>
      <c r="S133" s="240"/>
      <c r="T133" s="241"/>
      <c r="U133" s="241"/>
      <c r="V133" s="241"/>
      <c r="W133" s="241"/>
      <c r="X133" s="241"/>
      <c r="Y133" s="241"/>
      <c r="Z133" s="241"/>
    </row>
    <row r="134" spans="1:26" s="78" customFormat="1" ht="27" hidden="1" customHeight="1" x14ac:dyDescent="0.25">
      <c r="A134" s="80"/>
      <c r="B134" s="400"/>
      <c r="C134" s="400"/>
      <c r="D134" s="362" t="s">
        <v>765</v>
      </c>
      <c r="E134" s="362"/>
      <c r="F134" s="105">
        <v>60</v>
      </c>
      <c r="G134" s="109">
        <f>ROUND(+'Datos contribuyente'!AA58+'Datos contribuyente'!AE58,-3)</f>
        <v>0</v>
      </c>
      <c r="H134" s="400"/>
      <c r="I134" s="400"/>
      <c r="J134" s="404"/>
      <c r="K134" s="96">
        <v>2</v>
      </c>
      <c r="L134" s="133">
        <v>0</v>
      </c>
      <c r="M134" s="404"/>
      <c r="N134" s="101">
        <v>5</v>
      </c>
      <c r="O134" s="407">
        <v>0</v>
      </c>
      <c r="P134" s="407"/>
      <c r="Q134" s="240"/>
      <c r="R134" s="240"/>
      <c r="S134" s="240"/>
      <c r="T134" s="241"/>
      <c r="U134" s="241"/>
      <c r="V134" s="241"/>
      <c r="W134" s="241"/>
      <c r="X134" s="241"/>
      <c r="Y134" s="241"/>
      <c r="Z134" s="241"/>
    </row>
    <row r="135" spans="1:26" s="78" customFormat="1" ht="27" hidden="1" customHeight="1" x14ac:dyDescent="0.25">
      <c r="A135" s="80"/>
      <c r="B135" s="401"/>
      <c r="C135" s="401"/>
      <c r="D135" s="418" t="s">
        <v>797</v>
      </c>
      <c r="E135" s="418"/>
      <c r="F135" s="112">
        <v>61</v>
      </c>
      <c r="G135" s="113">
        <f>ROUND(+'Datos contribuyente'!AA124+'Datos contribuyente'!AE124,-3)</f>
        <v>0</v>
      </c>
      <c r="H135" s="401"/>
      <c r="I135" s="401"/>
      <c r="J135" s="405"/>
      <c r="K135" s="98">
        <v>3</v>
      </c>
      <c r="L135" s="128">
        <v>0</v>
      </c>
      <c r="M135" s="405"/>
      <c r="N135" s="101">
        <v>6</v>
      </c>
      <c r="O135" s="408">
        <v>0</v>
      </c>
      <c r="P135" s="408"/>
      <c r="Q135" s="240"/>
      <c r="R135" s="240"/>
      <c r="S135" s="240"/>
      <c r="T135" s="241"/>
      <c r="U135" s="241"/>
      <c r="V135" s="241"/>
      <c r="W135" s="241"/>
      <c r="X135" s="241"/>
      <c r="Y135" s="241"/>
      <c r="Z135" s="241"/>
    </row>
    <row r="136" spans="1:26" s="78" customFormat="1" ht="27" hidden="1" customHeight="1" x14ac:dyDescent="0.25">
      <c r="A136" s="80"/>
      <c r="B136" s="396" t="s">
        <v>59</v>
      </c>
      <c r="C136" s="397"/>
      <c r="D136" s="397"/>
      <c r="E136" s="397"/>
      <c r="F136" s="120"/>
      <c r="G136" s="97"/>
      <c r="H136" s="398" t="s">
        <v>816</v>
      </c>
      <c r="I136" s="398"/>
      <c r="J136" s="398"/>
      <c r="K136" s="398"/>
      <c r="L136" s="398"/>
      <c r="M136" s="376">
        <v>100</v>
      </c>
      <c r="N136" s="377"/>
      <c r="O136" s="421">
        <v>0</v>
      </c>
      <c r="P136" s="421"/>
      <c r="Q136" s="240"/>
      <c r="R136" s="240"/>
      <c r="S136" s="240"/>
      <c r="T136" s="241"/>
      <c r="U136" s="241"/>
      <c r="V136" s="241"/>
      <c r="W136" s="241"/>
      <c r="X136" s="241"/>
      <c r="Y136" s="241"/>
      <c r="Z136" s="241"/>
    </row>
    <row r="137" spans="1:26" hidden="1" x14ac:dyDescent="0.25"/>
    <row r="138" spans="1:26" s="10" customFormat="1" ht="36" hidden="1" customHeight="1" x14ac:dyDescent="0.3">
      <c r="B138" s="338" t="s">
        <v>824</v>
      </c>
      <c r="C138" s="338"/>
      <c r="D138" s="338"/>
      <c r="E138" s="338"/>
      <c r="F138" s="338"/>
      <c r="G138" s="338"/>
      <c r="H138" s="338"/>
      <c r="I138" s="338"/>
      <c r="J138" s="338"/>
      <c r="K138" s="338"/>
      <c r="L138" s="338"/>
      <c r="M138" s="338"/>
      <c r="N138" s="338"/>
      <c r="O138" s="338"/>
      <c r="P138" s="338"/>
    </row>
    <row r="139" spans="1:26" hidden="1" x14ac:dyDescent="0.25"/>
    <row r="140" spans="1:26" s="75" customFormat="1" ht="60" hidden="1" customHeight="1" x14ac:dyDescent="0.25">
      <c r="A140" s="74"/>
      <c r="B140" s="368"/>
      <c r="C140" s="368"/>
      <c r="D140" s="368"/>
      <c r="E140" s="378" t="s">
        <v>817</v>
      </c>
      <c r="F140" s="378"/>
      <c r="G140" s="378"/>
      <c r="H140" s="378"/>
      <c r="I140" s="378"/>
      <c r="J140" s="378"/>
      <c r="K140" s="378"/>
      <c r="L140" s="369" t="s">
        <v>31</v>
      </c>
      <c r="M140" s="369"/>
      <c r="N140" s="369"/>
      <c r="O140" s="379">
        <v>300</v>
      </c>
      <c r="P140" s="379"/>
      <c r="Q140" s="234"/>
      <c r="R140" s="235"/>
      <c r="S140" s="235"/>
      <c r="T140" s="236"/>
      <c r="U140" s="236"/>
      <c r="V140" s="236"/>
      <c r="W140" s="236"/>
      <c r="X140" s="236"/>
      <c r="Y140" s="236"/>
      <c r="Z140" s="236"/>
    </row>
    <row r="141" spans="1:26" s="77" customFormat="1" ht="27.6" hidden="1" customHeight="1" x14ac:dyDescent="0.25">
      <c r="A141" s="76"/>
      <c r="B141" s="370" t="s">
        <v>32</v>
      </c>
      <c r="C141" s="370"/>
      <c r="D141" s="121">
        <f>+'Datos contribuyente'!$I$6</f>
        <v>2025</v>
      </c>
      <c r="E141" s="100">
        <v>6</v>
      </c>
      <c r="F141" s="416" t="s">
        <v>33</v>
      </c>
      <c r="G141" s="417"/>
      <c r="H141" s="376">
        <v>4</v>
      </c>
      <c r="I141" s="377"/>
      <c r="J141" s="364" t="s">
        <v>34</v>
      </c>
      <c r="K141" s="364"/>
      <c r="L141" s="364"/>
      <c r="M141" s="364"/>
      <c r="N141" s="364"/>
      <c r="O141" s="364"/>
      <c r="P141" s="364"/>
      <c r="Q141" s="237"/>
      <c r="R141" s="238"/>
      <c r="S141" s="238"/>
      <c r="T141" s="239"/>
      <c r="U141" s="239"/>
      <c r="V141" s="239"/>
      <c r="W141" s="239"/>
      <c r="X141" s="239"/>
      <c r="Y141" s="239"/>
      <c r="Z141" s="239"/>
    </row>
    <row r="142" spans="1:26" s="77" customFormat="1" ht="27.6" hidden="1" customHeight="1" x14ac:dyDescent="0.25">
      <c r="A142" s="76"/>
      <c r="B142" s="363" t="s">
        <v>770</v>
      </c>
      <c r="C142" s="363"/>
      <c r="D142" s="364" t="s">
        <v>35</v>
      </c>
      <c r="E142" s="364"/>
      <c r="F142" s="410" t="s">
        <v>36</v>
      </c>
      <c r="G142" s="411"/>
      <c r="H142" s="411"/>
      <c r="I142" s="411"/>
      <c r="J142" s="411"/>
      <c r="K142" s="411"/>
      <c r="L142" s="411"/>
      <c r="M142" s="412"/>
      <c r="N142" s="364" t="s">
        <v>37</v>
      </c>
      <c r="O142" s="364"/>
      <c r="P142" s="364"/>
      <c r="Q142" s="237"/>
      <c r="R142" s="238"/>
      <c r="S142" s="238"/>
      <c r="T142" s="239"/>
      <c r="U142" s="239"/>
      <c r="V142" s="239"/>
      <c r="W142" s="239"/>
      <c r="X142" s="239"/>
      <c r="Y142" s="239"/>
      <c r="Z142" s="239"/>
    </row>
    <row r="143" spans="1:26" s="77" customFormat="1" ht="27.6" hidden="1" customHeight="1" x14ac:dyDescent="0.25">
      <c r="A143" s="99"/>
      <c r="B143" s="363"/>
      <c r="C143" s="363"/>
      <c r="D143" s="365">
        <f>+'Datos contribuyente'!$E$6</f>
        <v>0</v>
      </c>
      <c r="E143" s="366"/>
      <c r="F143" s="413" t="s">
        <v>38</v>
      </c>
      <c r="G143" s="414"/>
      <c r="H143" s="414"/>
      <c r="I143" s="414"/>
      <c r="J143" s="414"/>
      <c r="K143" s="414"/>
      <c r="L143" s="414"/>
      <c r="M143" s="415"/>
      <c r="N143" s="367"/>
      <c r="O143" s="367"/>
      <c r="P143" s="367"/>
      <c r="Q143" s="238"/>
      <c r="R143" s="238"/>
      <c r="S143" s="238"/>
      <c r="T143" s="239"/>
      <c r="U143" s="239"/>
      <c r="V143" s="239"/>
      <c r="W143" s="239"/>
      <c r="X143" s="239"/>
      <c r="Y143" s="239"/>
      <c r="Z143" s="239"/>
    </row>
    <row r="144" spans="1:26" s="77" customFormat="1" ht="27.6" hidden="1" customHeight="1" x14ac:dyDescent="0.25">
      <c r="A144" s="99"/>
      <c r="B144" s="363"/>
      <c r="C144" s="363"/>
      <c r="D144" s="371" t="s">
        <v>818</v>
      </c>
      <c r="E144" s="372"/>
      <c r="F144" s="373">
        <f>+'Datos contribuyente'!$B$6</f>
        <v>0</v>
      </c>
      <c r="G144" s="374"/>
      <c r="H144" s="374"/>
      <c r="I144" s="374"/>
      <c r="J144" s="374"/>
      <c r="K144" s="374"/>
      <c r="L144" s="374"/>
      <c r="M144" s="374"/>
      <c r="N144" s="374"/>
      <c r="O144" s="374"/>
      <c r="P144" s="375"/>
      <c r="Q144" s="238"/>
      <c r="R144" s="238"/>
      <c r="S144" s="238"/>
      <c r="T144" s="239"/>
      <c r="U144" s="239"/>
      <c r="V144" s="239"/>
      <c r="W144" s="239"/>
      <c r="X144" s="239"/>
      <c r="Y144" s="239"/>
      <c r="Z144" s="239"/>
    </row>
    <row r="145" spans="1:26" s="78" customFormat="1" ht="27" hidden="1" customHeight="1" x14ac:dyDescent="0.25">
      <c r="A145" s="80"/>
      <c r="B145" s="384" t="s">
        <v>771</v>
      </c>
      <c r="C145" s="385" t="s">
        <v>761</v>
      </c>
      <c r="D145" s="385"/>
      <c r="E145" s="385"/>
      <c r="F145" s="103">
        <v>27</v>
      </c>
      <c r="G145" s="104">
        <f>ROUND(+'Datos contribuyente'!AG30+'Datos contribuyente'!AK30,-3)</f>
        <v>0</v>
      </c>
      <c r="H145" s="390" t="s">
        <v>39</v>
      </c>
      <c r="I145" s="390" t="s">
        <v>40</v>
      </c>
      <c r="J145" s="380" t="s">
        <v>41</v>
      </c>
      <c r="K145" s="380"/>
      <c r="L145" s="380"/>
      <c r="M145" s="380"/>
      <c r="N145" s="116">
        <v>62</v>
      </c>
      <c r="O145" s="389">
        <f>ROUND(+'Datos contribuyente'!AI151+'Datos contribuyente'!AM151,-3)</f>
        <v>0</v>
      </c>
      <c r="P145" s="389"/>
      <c r="Q145" s="240"/>
      <c r="R145" s="240"/>
      <c r="S145" s="240"/>
      <c r="T145" s="241"/>
      <c r="U145" s="241"/>
      <c r="V145" s="241"/>
      <c r="W145" s="241"/>
      <c r="X145" s="241"/>
      <c r="Y145" s="241"/>
      <c r="Z145" s="241"/>
    </row>
    <row r="146" spans="1:26" s="78" customFormat="1" ht="27" hidden="1" customHeight="1" x14ac:dyDescent="0.25">
      <c r="A146" s="80"/>
      <c r="B146" s="384"/>
      <c r="C146" s="362" t="s">
        <v>762</v>
      </c>
      <c r="D146" s="362"/>
      <c r="E146" s="362"/>
      <c r="F146" s="105">
        <v>28</v>
      </c>
      <c r="G146" s="106">
        <f>ROUND(+'Datos contribuyente'!AG44+'Datos contribuyente'!AK44,-3)</f>
        <v>0</v>
      </c>
      <c r="H146" s="384"/>
      <c r="I146" s="384"/>
      <c r="J146" s="381" t="s">
        <v>42</v>
      </c>
      <c r="K146" s="381"/>
      <c r="L146" s="381"/>
      <c r="M146" s="381"/>
      <c r="N146" s="105">
        <v>63</v>
      </c>
      <c r="O146" s="386">
        <f>ROUND(+'Datos contribuyente'!AI165+'Datos contribuyente'!AM165,-3)</f>
        <v>0</v>
      </c>
      <c r="P146" s="386"/>
      <c r="Q146" s="240"/>
      <c r="R146" s="240"/>
      <c r="S146" s="240"/>
      <c r="T146" s="241"/>
      <c r="U146" s="241"/>
      <c r="V146" s="241"/>
      <c r="W146" s="241"/>
      <c r="X146" s="241"/>
      <c r="Y146" s="241"/>
      <c r="Z146" s="241"/>
    </row>
    <row r="147" spans="1:26" s="78" customFormat="1" ht="27" hidden="1" customHeight="1" x14ac:dyDescent="0.25">
      <c r="A147" s="80"/>
      <c r="B147" s="384"/>
      <c r="C147" s="385" t="s">
        <v>763</v>
      </c>
      <c r="D147" s="385"/>
      <c r="E147" s="385"/>
      <c r="F147" s="103">
        <v>29</v>
      </c>
      <c r="G147" s="104">
        <f>ROUND(+'Datos contribuyente'!AG58+'Datos contribuyente'!AK58,-3)</f>
        <v>0</v>
      </c>
      <c r="H147" s="384"/>
      <c r="I147" s="384"/>
      <c r="J147" s="382" t="s">
        <v>43</v>
      </c>
      <c r="K147" s="382"/>
      <c r="L147" s="382"/>
      <c r="M147" s="382"/>
      <c r="N147" s="103">
        <v>64</v>
      </c>
      <c r="O147" s="387">
        <f>ROUND(+'Datos contribuyente'!AI179+'Datos contribuyente'!AM179,-3)</f>
        <v>0</v>
      </c>
      <c r="P147" s="387"/>
      <c r="Q147" s="240"/>
      <c r="R147" s="240"/>
      <c r="S147" s="240"/>
      <c r="T147" s="241"/>
      <c r="U147" s="241"/>
      <c r="V147" s="241"/>
      <c r="W147" s="241"/>
      <c r="X147" s="241"/>
      <c r="Y147" s="241"/>
      <c r="Z147" s="241"/>
    </row>
    <row r="148" spans="1:26" s="78" customFormat="1" ht="27" hidden="1" customHeight="1" x14ac:dyDescent="0.25">
      <c r="A148" s="80"/>
      <c r="B148" s="384"/>
      <c r="C148" s="362" t="s">
        <v>766</v>
      </c>
      <c r="D148" s="362"/>
      <c r="E148" s="362"/>
      <c r="F148" s="105">
        <v>30</v>
      </c>
      <c r="G148" s="106">
        <f>ROUND(+'Datos contribuyente'!AG71+'Datos contribuyente'!AK71,-3)</f>
        <v>0</v>
      </c>
      <c r="H148" s="384"/>
      <c r="I148" s="384"/>
      <c r="J148" s="381" t="s">
        <v>798</v>
      </c>
      <c r="K148" s="381"/>
      <c r="L148" s="381"/>
      <c r="M148" s="381"/>
      <c r="N148" s="105">
        <v>65</v>
      </c>
      <c r="O148" s="386">
        <f>ROUND(+'Datos contribuyente'!AI402+'Datos contribuyente'!AM402,-3)</f>
        <v>0</v>
      </c>
      <c r="P148" s="386">
        <v>0</v>
      </c>
      <c r="Q148" s="240"/>
      <c r="R148" s="240"/>
      <c r="S148" s="240"/>
      <c r="T148" s="241"/>
      <c r="U148" s="241"/>
      <c r="V148" s="241"/>
      <c r="W148" s="241"/>
      <c r="X148" s="241"/>
      <c r="Y148" s="241"/>
      <c r="Z148" s="241"/>
    </row>
    <row r="149" spans="1:26" s="78" customFormat="1" ht="27" hidden="1" customHeight="1" x14ac:dyDescent="0.25">
      <c r="A149" s="80"/>
      <c r="B149" s="384"/>
      <c r="C149" s="385" t="s">
        <v>767</v>
      </c>
      <c r="D149" s="385"/>
      <c r="E149" s="385"/>
      <c r="F149" s="103">
        <v>31</v>
      </c>
      <c r="G149" s="104">
        <f>ROUND(+'Datos contribuyente'!AG84+'Datos contribuyente'!AK84,-3)</f>
        <v>0</v>
      </c>
      <c r="H149" s="384"/>
      <c r="I149" s="384"/>
      <c r="J149" s="382" t="s">
        <v>764</v>
      </c>
      <c r="K149" s="382"/>
      <c r="L149" s="382"/>
      <c r="M149" s="382"/>
      <c r="N149" s="103">
        <v>66</v>
      </c>
      <c r="O149" s="387">
        <f>ROUND(IF('Datos contribuyente'!D600="No",+'Datos contribuyente'!AI386+'Datos contribuyente'!AM386,+'Datos contribuyente'!AI386+'Datos contribuyente'!AM386-'Datos contribuyente'!G627),-3)</f>
        <v>0</v>
      </c>
      <c r="P149" s="387"/>
      <c r="Q149" s="240"/>
      <c r="R149" s="240"/>
      <c r="S149" s="240"/>
      <c r="T149" s="241"/>
      <c r="U149" s="241"/>
      <c r="V149" s="241"/>
      <c r="W149" s="241"/>
      <c r="X149" s="241"/>
      <c r="Y149" s="241"/>
      <c r="Z149" s="241"/>
    </row>
    <row r="150" spans="1:26" s="78" customFormat="1" ht="27" hidden="1" customHeight="1" x14ac:dyDescent="0.25">
      <c r="A150" s="80"/>
      <c r="B150" s="384"/>
      <c r="C150" s="362" t="s">
        <v>768</v>
      </c>
      <c r="D150" s="362"/>
      <c r="E150" s="362"/>
      <c r="F150" s="105">
        <v>32</v>
      </c>
      <c r="G150" s="106">
        <f>ROUND(+'Datos contribuyente'!AG97+'Datos contribuyente'!AK97,-3)</f>
        <v>0</v>
      </c>
      <c r="H150" s="384"/>
      <c r="I150" s="391"/>
      <c r="J150" s="383" t="s">
        <v>799</v>
      </c>
      <c r="K150" s="383"/>
      <c r="L150" s="383"/>
      <c r="M150" s="383"/>
      <c r="N150" s="117">
        <v>67</v>
      </c>
      <c r="O150" s="388">
        <f>ROUND(+SUM(G176:G179,O145:P149),-3)</f>
        <v>0</v>
      </c>
      <c r="P150" s="388"/>
      <c r="Q150" s="240"/>
      <c r="R150" s="240"/>
      <c r="S150" s="240"/>
      <c r="T150" s="241"/>
      <c r="U150" s="241"/>
      <c r="V150" s="241"/>
      <c r="W150" s="241"/>
      <c r="X150" s="241"/>
      <c r="Y150" s="241"/>
      <c r="Z150" s="241"/>
    </row>
    <row r="151" spans="1:26" s="78" customFormat="1" ht="27" hidden="1" customHeight="1" x14ac:dyDescent="0.25">
      <c r="A151" s="80"/>
      <c r="B151" s="384"/>
      <c r="C151" s="385" t="s">
        <v>769</v>
      </c>
      <c r="D151" s="385"/>
      <c r="E151" s="385"/>
      <c r="F151" s="103">
        <v>33</v>
      </c>
      <c r="G151" s="104">
        <f>ROUND(+'Datos contribuyente'!AG110+'Datos contribuyente'!AK110,-3)</f>
        <v>0</v>
      </c>
      <c r="H151" s="384"/>
      <c r="I151" s="390" t="s">
        <v>44</v>
      </c>
      <c r="J151" s="380" t="s">
        <v>800</v>
      </c>
      <c r="K151" s="380"/>
      <c r="L151" s="380"/>
      <c r="M151" s="380"/>
      <c r="N151" s="116">
        <v>68</v>
      </c>
      <c r="O151" s="389">
        <f>ROUND(IF('Datos contribuyente'!D600="No",+'Datos contribuyente'!AI235+'Datos contribuyente'!AM235,+'Datos contribuyente'!AI235+'Datos contribuyente'!AM235-'Datos contribuyente'!G628),-3)</f>
        <v>0</v>
      </c>
      <c r="P151" s="389">
        <f>+IF(P148-P149-P150&gt;0,P148-P149-P150,0)</f>
        <v>0</v>
      </c>
      <c r="Q151" s="240"/>
      <c r="R151" s="240"/>
      <c r="S151" s="240"/>
      <c r="T151" s="241"/>
      <c r="U151" s="241"/>
      <c r="V151" s="241"/>
      <c r="W151" s="241"/>
      <c r="X151" s="241"/>
      <c r="Y151" s="241"/>
      <c r="Z151" s="241"/>
    </row>
    <row r="152" spans="1:26" s="78" customFormat="1" ht="27" hidden="1" customHeight="1" x14ac:dyDescent="0.25">
      <c r="A152" s="80"/>
      <c r="B152" s="384"/>
      <c r="C152" s="362" t="s">
        <v>772</v>
      </c>
      <c r="D152" s="362"/>
      <c r="E152" s="362"/>
      <c r="F152" s="105">
        <v>34</v>
      </c>
      <c r="G152" s="106">
        <f>ROUND(+'Datos contribuyente'!AG124+'Datos contribuyente'!AK124,-3)</f>
        <v>0</v>
      </c>
      <c r="H152" s="384"/>
      <c r="I152" s="384"/>
      <c r="J152" s="381" t="s">
        <v>801</v>
      </c>
      <c r="K152" s="381"/>
      <c r="L152" s="381"/>
      <c r="M152" s="381"/>
      <c r="N152" s="105">
        <v>69</v>
      </c>
      <c r="O152" s="386">
        <f>ROUND(IF('Datos contribuyente'!D600="No",+'Datos contribuyente'!AI249+'Datos contribuyente'!AM249,+'Datos contribuyente'!AI249+'Datos contribuyente'!AM249-'Datos contribuyente'!G629),-3)</f>
        <v>0</v>
      </c>
      <c r="P152" s="386"/>
      <c r="Q152" s="240"/>
      <c r="R152" s="240"/>
      <c r="S152" s="240"/>
      <c r="T152" s="241"/>
      <c r="U152" s="241"/>
      <c r="V152" s="241"/>
      <c r="W152" s="241"/>
      <c r="X152" s="241"/>
      <c r="Y152" s="241"/>
      <c r="Z152" s="241"/>
    </row>
    <row r="153" spans="1:26" s="78" customFormat="1" ht="27" hidden="1" customHeight="1" x14ac:dyDescent="0.25">
      <c r="A153" s="80"/>
      <c r="B153" s="384"/>
      <c r="C153" s="385" t="s">
        <v>773</v>
      </c>
      <c r="D153" s="385"/>
      <c r="E153" s="385"/>
      <c r="F153" s="103">
        <v>35</v>
      </c>
      <c r="G153" s="104">
        <f>ROUND(+'Datos contribuyente'!AG137+'Datos contribuyente'!AK137,-3)</f>
        <v>0</v>
      </c>
      <c r="H153" s="384"/>
      <c r="I153" s="384"/>
      <c r="J153" s="382" t="s">
        <v>783</v>
      </c>
      <c r="K153" s="382"/>
      <c r="L153" s="382"/>
      <c r="M153" s="382"/>
      <c r="N153" s="103">
        <v>70</v>
      </c>
      <c r="O153" s="387">
        <f>ROUND(IF('Datos contribuyente'!D600="No",+'Datos contribuyente'!AI263+'Datos contribuyente'!AM263,+'Datos contribuyente'!AI263+'Datos contribuyente'!AM263-'Datos contribuyente'!G630),-3)</f>
        <v>0</v>
      </c>
      <c r="P153" s="387"/>
      <c r="Q153" s="240"/>
      <c r="R153" s="240"/>
      <c r="S153" s="240"/>
      <c r="T153" s="241"/>
      <c r="U153" s="241"/>
      <c r="V153" s="241"/>
      <c r="W153" s="241"/>
      <c r="X153" s="241"/>
      <c r="Y153" s="241"/>
      <c r="Z153" s="241"/>
    </row>
    <row r="154" spans="1:26" s="78" customFormat="1" ht="27" hidden="1" customHeight="1" x14ac:dyDescent="0.25">
      <c r="A154" s="80"/>
      <c r="B154" s="384"/>
      <c r="C154" s="362" t="s">
        <v>821</v>
      </c>
      <c r="D154" s="362"/>
      <c r="E154" s="362"/>
      <c r="F154" s="105">
        <v>36</v>
      </c>
      <c r="G154" s="106">
        <f>ROUND(+'Datos contribuyente'!AG151+'Datos contribuyente'!AK151,-3)</f>
        <v>0</v>
      </c>
      <c r="H154" s="384"/>
      <c r="I154" s="384"/>
      <c r="J154" s="381" t="s">
        <v>802</v>
      </c>
      <c r="K154" s="381"/>
      <c r="L154" s="381"/>
      <c r="M154" s="381"/>
      <c r="N154" s="105">
        <v>71</v>
      </c>
      <c r="O154" s="386">
        <f>ROUND(IF('Datos contribuyente'!D600="No",+'Datos contribuyente'!AI317+'Datos contribuyente'!AM317,+'Datos contribuyente'!AI317+'Datos contribuyente'!AM317-'Datos contribuyente'!G631),-3)</f>
        <v>0</v>
      </c>
      <c r="P154" s="386"/>
      <c r="Q154" s="240"/>
      <c r="R154" s="240"/>
      <c r="S154" s="240"/>
      <c r="T154" s="241"/>
      <c r="U154" s="241"/>
      <c r="V154" s="241"/>
      <c r="W154" s="241"/>
      <c r="X154" s="241"/>
      <c r="Y154" s="241"/>
      <c r="Z154" s="241"/>
    </row>
    <row r="155" spans="1:26" s="78" customFormat="1" ht="27" hidden="1" customHeight="1" x14ac:dyDescent="0.25">
      <c r="A155" s="80"/>
      <c r="B155" s="384"/>
      <c r="C155" s="385" t="s">
        <v>774</v>
      </c>
      <c r="D155" s="385"/>
      <c r="E155" s="385"/>
      <c r="F155" s="103">
        <v>37</v>
      </c>
      <c r="G155" s="104">
        <f>ROUND(+'Datos contribuyente'!AG165+'Datos contribuyente'!AK165,-3)</f>
        <v>0</v>
      </c>
      <c r="H155" s="384"/>
      <c r="I155" s="384"/>
      <c r="J155" s="382" t="s">
        <v>803</v>
      </c>
      <c r="K155" s="382"/>
      <c r="L155" s="382"/>
      <c r="M155" s="382"/>
      <c r="N155" s="103">
        <v>72</v>
      </c>
      <c r="O155" s="387">
        <f>ROUND(IF('Datos contribuyente'!D600="No",+'Datos contribuyente'!AI331+'Datos contribuyente'!AM331,+'Datos contribuyente'!AI331+'Datos contribuyente'!AM331-'Datos contribuyente'!G632),-3)</f>
        <v>0</v>
      </c>
      <c r="P155" s="387"/>
      <c r="Q155" s="240"/>
      <c r="R155" s="240"/>
      <c r="S155" s="240"/>
      <c r="T155" s="241"/>
      <c r="U155" s="241"/>
      <c r="V155" s="241"/>
      <c r="W155" s="241"/>
      <c r="X155" s="241"/>
      <c r="Y155" s="241"/>
      <c r="Z155" s="241"/>
    </row>
    <row r="156" spans="1:26" s="78" customFormat="1" ht="27" hidden="1" customHeight="1" x14ac:dyDescent="0.25">
      <c r="A156" s="80"/>
      <c r="B156" s="384"/>
      <c r="C156" s="362" t="s">
        <v>775</v>
      </c>
      <c r="D156" s="362"/>
      <c r="E156" s="362"/>
      <c r="F156" s="105">
        <v>38</v>
      </c>
      <c r="G156" s="106">
        <f>ROUND(+'Datos contribuyente'!AG179+'Datos contribuyente'!AK179,-3)</f>
        <v>0</v>
      </c>
      <c r="H156" s="384"/>
      <c r="I156" s="384"/>
      <c r="J156" s="381" t="s">
        <v>45</v>
      </c>
      <c r="K156" s="381"/>
      <c r="L156" s="381"/>
      <c r="M156" s="381"/>
      <c r="N156" s="105">
        <v>73</v>
      </c>
      <c r="O156" s="386">
        <f>ROUND(IF('Datos contribuyente'!D600="No",+'Datos contribuyente'!AI416+'Datos contribuyente'!AM416,+'Datos contribuyente'!AI416+'Datos contribuyente'!AM416-'Datos contribuyente'!G633),-3)</f>
        <v>0</v>
      </c>
      <c r="P156" s="386"/>
      <c r="Q156" s="240"/>
      <c r="R156" s="240"/>
      <c r="S156" s="240"/>
      <c r="T156" s="241"/>
      <c r="U156" s="241"/>
      <c r="V156" s="241"/>
      <c r="W156" s="241"/>
      <c r="X156" s="241"/>
      <c r="Y156" s="241"/>
      <c r="Z156" s="241"/>
    </row>
    <row r="157" spans="1:26" s="78" customFormat="1" ht="27" hidden="1" customHeight="1" x14ac:dyDescent="0.25">
      <c r="A157" s="80"/>
      <c r="B157" s="384"/>
      <c r="C157" s="385" t="s">
        <v>776</v>
      </c>
      <c r="D157" s="385"/>
      <c r="E157" s="385"/>
      <c r="F157" s="103">
        <v>39</v>
      </c>
      <c r="G157" s="104">
        <f>ROUND(+'Datos contribuyente'!AG192+'Datos contribuyente'!AK192,-3)</f>
        <v>0</v>
      </c>
      <c r="H157" s="384"/>
      <c r="I157" s="384"/>
      <c r="J157" s="382" t="s">
        <v>804</v>
      </c>
      <c r="K157" s="382"/>
      <c r="L157" s="382"/>
      <c r="M157" s="382"/>
      <c r="N157" s="103">
        <v>74</v>
      </c>
      <c r="O157" s="387">
        <f ca="1">ROUND(IF('Datos contribuyente'!D600="No",+SUMIF('Datos contribuyente'!AH296:AI302,5%,'Datos contribuyente'!AI296:AI302)+SUMIF('Datos contribuyente'!AL296:AM302,5%,'Datos contribuyente'!AM296:AM302)+'Datos contribuyente'!AI345+'Datos contribuyente'!AM345,+SUMIF('Datos contribuyente'!AH296:AI302,5%,'Datos contribuyente'!AI296:AI302)+SUMIF('Datos contribuyente'!AL296:AM302,5%,'Datos contribuyente'!AM296:AM302)+'Datos contribuyente'!AI345+'Datos contribuyente'!AM345-'Datos contribuyente'!G634),-3)</f>
        <v>0</v>
      </c>
      <c r="P157" s="387"/>
      <c r="Q157" s="240"/>
      <c r="R157" s="240"/>
      <c r="S157" s="240"/>
      <c r="T157" s="241"/>
      <c r="U157" s="241"/>
      <c r="V157" s="241"/>
      <c r="W157" s="241"/>
      <c r="X157" s="241"/>
      <c r="Y157" s="241"/>
      <c r="Z157" s="241"/>
    </row>
    <row r="158" spans="1:26" s="78" customFormat="1" ht="27" hidden="1" customHeight="1" x14ac:dyDescent="0.25">
      <c r="A158" s="80"/>
      <c r="B158" s="384"/>
      <c r="C158" s="362" t="s">
        <v>777</v>
      </c>
      <c r="D158" s="362"/>
      <c r="E158" s="362"/>
      <c r="F158" s="105">
        <v>40</v>
      </c>
      <c r="G158" s="106">
        <f>ROUND(+'Datos contribuyente'!AG205+'Datos contribuyente'!AK205,-3)</f>
        <v>0</v>
      </c>
      <c r="H158" s="384"/>
      <c r="I158" s="384"/>
      <c r="J158" s="381" t="s">
        <v>805</v>
      </c>
      <c r="K158" s="381"/>
      <c r="L158" s="381"/>
      <c r="M158" s="381"/>
      <c r="N158" s="105">
        <v>75</v>
      </c>
      <c r="O158" s="386">
        <f ca="1">ROUND(IF('Datos contribuyente'!D600="No",+SUMIF('Datos contribuyente'!AH296:AI302,19%,'Datos contribuyente'!AI296:AI302)+SUMIF('Datos contribuyente'!AL296:AM302,19%,'Datos contribuyente'!AM296:AM302)+'Datos contribuyente'!AI359+'Datos contribuyente'!AM359,+SUMIF('Datos contribuyente'!AH296:AI302,19%,'Datos contribuyente'!AI296:AI302)+SUMIF('Datos contribuyente'!AL296:AM302,19%,'Datos contribuyente'!AM296:AM302)+'Datos contribuyente'!AI359+'Datos contribuyente'!AM359-'Datos contribuyente'!G635),-3)</f>
        <v>0</v>
      </c>
      <c r="P158" s="386"/>
      <c r="Q158" s="240"/>
      <c r="R158" s="240"/>
      <c r="S158" s="240"/>
      <c r="T158" s="241"/>
      <c r="U158" s="241"/>
      <c r="V158" s="241"/>
      <c r="W158" s="241"/>
      <c r="X158" s="241"/>
      <c r="Y158" s="241"/>
      <c r="Z158" s="241"/>
    </row>
    <row r="159" spans="1:26" s="78" customFormat="1" ht="27" hidden="1" customHeight="1" x14ac:dyDescent="0.25">
      <c r="A159" s="80"/>
      <c r="B159" s="384"/>
      <c r="C159" s="395" t="s">
        <v>779</v>
      </c>
      <c r="D159" s="395"/>
      <c r="E159" s="395"/>
      <c r="F159" s="107">
        <v>41</v>
      </c>
      <c r="G159" s="108">
        <f>ROUND(+SUM(G145:G158),-3)</f>
        <v>0</v>
      </c>
      <c r="H159" s="384"/>
      <c r="I159" s="384"/>
      <c r="J159" s="382" t="s">
        <v>806</v>
      </c>
      <c r="K159" s="382"/>
      <c r="L159" s="382"/>
      <c r="M159" s="382"/>
      <c r="N159" s="103">
        <v>76</v>
      </c>
      <c r="O159" s="387">
        <f>ROUND(+'Datos contribuyente'!AI430+'Datos contribuyente'!AM430,-3)</f>
        <v>0</v>
      </c>
      <c r="P159" s="387"/>
      <c r="Q159" s="240"/>
      <c r="R159" s="240"/>
      <c r="S159" s="240"/>
      <c r="T159" s="241"/>
      <c r="U159" s="241"/>
      <c r="V159" s="241"/>
      <c r="W159" s="241"/>
      <c r="X159" s="241"/>
      <c r="Y159" s="241"/>
      <c r="Z159" s="241"/>
    </row>
    <row r="160" spans="1:26" s="78" customFormat="1" ht="27" hidden="1" customHeight="1" x14ac:dyDescent="0.25">
      <c r="A160" s="80"/>
      <c r="B160" s="384"/>
      <c r="C160" s="362" t="s">
        <v>778</v>
      </c>
      <c r="D160" s="362"/>
      <c r="E160" s="362"/>
      <c r="F160" s="105">
        <v>42</v>
      </c>
      <c r="G160" s="106">
        <f>ROUND(+'Datos contribuyente'!AG219+'Datos contribuyente'!AK219,-3)</f>
        <v>0</v>
      </c>
      <c r="H160" s="384"/>
      <c r="I160" s="384"/>
      <c r="J160" s="383" t="s">
        <v>807</v>
      </c>
      <c r="K160" s="383"/>
      <c r="L160" s="383"/>
      <c r="M160" s="383"/>
      <c r="N160" s="117">
        <v>77</v>
      </c>
      <c r="O160" s="388">
        <f ca="1">ROUND(+SUM(O151:P159),-3)</f>
        <v>0</v>
      </c>
      <c r="P160" s="388"/>
      <c r="Q160" s="240"/>
      <c r="R160" s="240"/>
      <c r="S160" s="240"/>
      <c r="T160" s="241"/>
      <c r="U160" s="241"/>
      <c r="V160" s="241"/>
      <c r="W160" s="241"/>
      <c r="X160" s="241"/>
      <c r="Y160" s="241"/>
      <c r="Z160" s="241"/>
    </row>
    <row r="161" spans="1:26" s="78" customFormat="1" ht="27" hidden="1" customHeight="1" x14ac:dyDescent="0.25">
      <c r="A161" s="80"/>
      <c r="B161" s="384"/>
      <c r="C161" s="418" t="s">
        <v>780</v>
      </c>
      <c r="D161" s="418"/>
      <c r="E161" s="418"/>
      <c r="F161" s="110">
        <v>43</v>
      </c>
      <c r="G161" s="111">
        <f>ROUND(+G159-G160,-3)</f>
        <v>0</v>
      </c>
      <c r="H161" s="384"/>
      <c r="I161" s="384"/>
      <c r="J161" s="382" t="s">
        <v>46</v>
      </c>
      <c r="K161" s="382"/>
      <c r="L161" s="382"/>
      <c r="M161" s="382"/>
      <c r="N161" s="103">
        <v>78</v>
      </c>
      <c r="O161" s="387">
        <f>ROUND(+'Datos contribuyente'!AI444+'Datos contribuyente'!AM444,-3)</f>
        <v>0</v>
      </c>
      <c r="P161" s="387"/>
      <c r="Q161" s="240"/>
      <c r="R161" s="240"/>
      <c r="S161" s="240"/>
      <c r="T161" s="241"/>
      <c r="U161" s="241"/>
      <c r="V161" s="241"/>
      <c r="W161" s="241"/>
      <c r="X161" s="241"/>
      <c r="Y161" s="241"/>
      <c r="Z161" s="241"/>
    </row>
    <row r="162" spans="1:26" s="78" customFormat="1" ht="27" hidden="1" customHeight="1" x14ac:dyDescent="0.25">
      <c r="A162" s="80"/>
      <c r="B162" s="384" t="s">
        <v>793</v>
      </c>
      <c r="C162" s="390" t="s">
        <v>47</v>
      </c>
      <c r="D162" s="362" t="s">
        <v>781</v>
      </c>
      <c r="E162" s="362"/>
      <c r="F162" s="105">
        <v>44</v>
      </c>
      <c r="G162" s="106">
        <f>ROUND(+'Datos contribuyente'!AG235+'Datos contribuyente'!AK235,-3)</f>
        <v>0</v>
      </c>
      <c r="H162" s="384"/>
      <c r="I162" s="384"/>
      <c r="J162" s="381" t="s">
        <v>808</v>
      </c>
      <c r="K162" s="381"/>
      <c r="L162" s="381"/>
      <c r="M162" s="381"/>
      <c r="N162" s="105">
        <v>79</v>
      </c>
      <c r="O162" s="386">
        <f>ROUND(+'Datos contribuyente'!AI219+'Datos contribuyente'!AM219,-3)</f>
        <v>0</v>
      </c>
      <c r="P162" s="386"/>
      <c r="Q162" s="240"/>
      <c r="R162" s="240"/>
      <c r="S162" s="240"/>
      <c r="T162" s="241"/>
      <c r="U162" s="241"/>
      <c r="V162" s="241"/>
      <c r="W162" s="241"/>
      <c r="X162" s="241"/>
      <c r="Y162" s="241"/>
      <c r="Z162" s="241"/>
    </row>
    <row r="163" spans="1:26" s="78" customFormat="1" ht="27" hidden="1" customHeight="1" x14ac:dyDescent="0.25">
      <c r="A163" s="80"/>
      <c r="B163" s="384"/>
      <c r="C163" s="384"/>
      <c r="D163" s="385" t="s">
        <v>782</v>
      </c>
      <c r="E163" s="385"/>
      <c r="F163" s="103">
        <v>45</v>
      </c>
      <c r="G163" s="104">
        <f>ROUND(+'Datos contribuyente'!AG249+'Datos contribuyente'!AK249,-3)</f>
        <v>0</v>
      </c>
      <c r="H163" s="384"/>
      <c r="I163" s="384"/>
      <c r="J163" s="382" t="s">
        <v>48</v>
      </c>
      <c r="K163" s="382"/>
      <c r="L163" s="382"/>
      <c r="M163" s="382"/>
      <c r="N163" s="103">
        <v>80</v>
      </c>
      <c r="O163" s="387">
        <f>ROUND(+'Datos contribuyente'!AI458+'Datos contribuyente'!AM458,-3)</f>
        <v>0</v>
      </c>
      <c r="P163" s="387"/>
      <c r="Q163" s="240"/>
      <c r="R163" s="240"/>
      <c r="S163" s="240"/>
      <c r="T163" s="241"/>
      <c r="U163" s="241"/>
      <c r="V163" s="241"/>
      <c r="W163" s="241"/>
      <c r="X163" s="241"/>
      <c r="Y163" s="241"/>
      <c r="Z163" s="241"/>
    </row>
    <row r="164" spans="1:26" s="78" customFormat="1" ht="27" hidden="1" customHeight="1" x14ac:dyDescent="0.25">
      <c r="A164" s="80"/>
      <c r="B164" s="384"/>
      <c r="C164" s="384"/>
      <c r="D164" s="362" t="s">
        <v>783</v>
      </c>
      <c r="E164" s="362"/>
      <c r="F164" s="105">
        <v>46</v>
      </c>
      <c r="G164" s="106">
        <f>ROUND(+'Datos contribuyente'!AG263+'Datos contribuyente'!AK263,-3)</f>
        <v>0</v>
      </c>
      <c r="H164" s="384"/>
      <c r="I164" s="391"/>
      <c r="J164" s="383" t="s">
        <v>809</v>
      </c>
      <c r="K164" s="383"/>
      <c r="L164" s="383"/>
      <c r="M164" s="383"/>
      <c r="N164" s="117">
        <v>81</v>
      </c>
      <c r="O164" s="388">
        <f ca="1">ROUND(+O160+O161+O162-O163,-3)</f>
        <v>0</v>
      </c>
      <c r="P164" s="388"/>
      <c r="Q164" s="240"/>
      <c r="R164" s="240"/>
      <c r="S164" s="240"/>
      <c r="T164" s="241"/>
      <c r="U164" s="241"/>
      <c r="V164" s="241"/>
      <c r="W164" s="241"/>
      <c r="X164" s="241"/>
      <c r="Y164" s="241"/>
      <c r="Z164" s="241"/>
    </row>
    <row r="165" spans="1:26" s="78" customFormat="1" ht="27" hidden="1" customHeight="1" x14ac:dyDescent="0.25">
      <c r="A165" s="80"/>
      <c r="B165" s="384"/>
      <c r="C165" s="384"/>
      <c r="D165" s="385" t="s">
        <v>784</v>
      </c>
      <c r="E165" s="385"/>
      <c r="F165" s="103">
        <v>47</v>
      </c>
      <c r="G165" s="104">
        <f>ROUND(+'Datos contribuyente'!AG276+'Datos contribuyente'!AK276,-3)</f>
        <v>0</v>
      </c>
      <c r="H165" s="384"/>
      <c r="I165" s="393" t="s">
        <v>810</v>
      </c>
      <c r="J165" s="393"/>
      <c r="K165" s="393"/>
      <c r="L165" s="393"/>
      <c r="M165" s="393"/>
      <c r="N165" s="107">
        <v>82</v>
      </c>
      <c r="O165" s="392">
        <f ca="1">ROUND(+IF(O150-O164&gt;0,O150-O164,0),-3)</f>
        <v>0</v>
      </c>
      <c r="P165" s="392"/>
      <c r="Q165" s="240"/>
      <c r="R165" s="240"/>
      <c r="S165" s="240"/>
      <c r="T165" s="241"/>
      <c r="U165" s="241"/>
      <c r="V165" s="241"/>
      <c r="W165" s="241"/>
      <c r="X165" s="241"/>
      <c r="Y165" s="241"/>
      <c r="Z165" s="241"/>
    </row>
    <row r="166" spans="1:26" s="78" customFormat="1" ht="27" hidden="1" customHeight="1" x14ac:dyDescent="0.25">
      <c r="A166" s="80"/>
      <c r="B166" s="384"/>
      <c r="C166" s="384"/>
      <c r="D166" s="362" t="s">
        <v>785</v>
      </c>
      <c r="E166" s="362"/>
      <c r="F166" s="105">
        <v>48</v>
      </c>
      <c r="G166" s="106">
        <f>ROUND(+'Datos contribuyente'!AG289+'Datos contribuyente'!AK289,-3)</f>
        <v>0</v>
      </c>
      <c r="H166" s="384"/>
      <c r="I166" s="394" t="s">
        <v>811</v>
      </c>
      <c r="J166" s="394"/>
      <c r="K166" s="394"/>
      <c r="L166" s="394"/>
      <c r="M166" s="394"/>
      <c r="N166" s="102">
        <v>83</v>
      </c>
      <c r="O166" s="419">
        <f ca="1">ROUND(+IF(O164-O150&gt;0,O164-O150,0),-3)</f>
        <v>0</v>
      </c>
      <c r="P166" s="419"/>
      <c r="Q166" s="240"/>
      <c r="R166" s="240"/>
      <c r="S166" s="240"/>
      <c r="T166" s="241"/>
      <c r="U166" s="241"/>
      <c r="V166" s="241"/>
      <c r="W166" s="241"/>
      <c r="X166" s="241"/>
      <c r="Y166" s="241"/>
      <c r="Z166" s="241"/>
    </row>
    <row r="167" spans="1:26" s="78" customFormat="1" ht="27" hidden="1" customHeight="1" x14ac:dyDescent="0.25">
      <c r="A167" s="80"/>
      <c r="B167" s="384"/>
      <c r="C167" s="391"/>
      <c r="D167" s="418" t="s">
        <v>786</v>
      </c>
      <c r="E167" s="418"/>
      <c r="F167" s="112">
        <v>49</v>
      </c>
      <c r="G167" s="113">
        <f>ROUND(+'Datos contribuyente'!AG303+'Datos contribuyente'!AK303,-3)</f>
        <v>0</v>
      </c>
      <c r="H167" s="384"/>
      <c r="I167" s="382" t="s">
        <v>49</v>
      </c>
      <c r="J167" s="382"/>
      <c r="K167" s="382"/>
      <c r="L167" s="382"/>
      <c r="M167" s="382"/>
      <c r="N167" s="103">
        <v>84</v>
      </c>
      <c r="O167" s="387">
        <f ca="1">ROUND(+IF('Datos contribuyente'!E965="No",'Datos contribuyente'!K956,0),-3)</f>
        <v>0</v>
      </c>
      <c r="P167" s="387"/>
      <c r="Q167" s="240"/>
      <c r="R167" s="240"/>
      <c r="S167" s="240"/>
      <c r="T167" s="241"/>
      <c r="U167" s="241"/>
      <c r="V167" s="241"/>
      <c r="W167" s="241"/>
      <c r="X167" s="241"/>
      <c r="Y167" s="241"/>
      <c r="Z167" s="241"/>
    </row>
    <row r="168" spans="1:26" s="78" customFormat="1" ht="27" hidden="1" customHeight="1" x14ac:dyDescent="0.25">
      <c r="A168" s="79"/>
      <c r="B168" s="384"/>
      <c r="C168" s="390" t="s">
        <v>50</v>
      </c>
      <c r="D168" s="362" t="s">
        <v>781</v>
      </c>
      <c r="E168" s="362"/>
      <c r="F168" s="105">
        <v>50</v>
      </c>
      <c r="G168" s="106">
        <f>ROUND(+'Datos contribuyente'!AG317+'Datos contribuyente'!AK317,-3)</f>
        <v>0</v>
      </c>
      <c r="H168" s="384"/>
      <c r="I168" s="381" t="s">
        <v>51</v>
      </c>
      <c r="J168" s="381"/>
      <c r="K168" s="381"/>
      <c r="L168" s="381"/>
      <c r="M168" s="381"/>
      <c r="N168" s="105">
        <v>85</v>
      </c>
      <c r="O168" s="386">
        <f>ROUND(+'Datos contribuyente'!AI472+'Datos contribuyente'!AM472,-3)</f>
        <v>0</v>
      </c>
      <c r="P168" s="386"/>
      <c r="Q168" s="243"/>
      <c r="R168" s="240"/>
      <c r="S168" s="240"/>
      <c r="T168" s="241"/>
      <c r="U168" s="241"/>
      <c r="V168" s="241"/>
      <c r="W168" s="241"/>
      <c r="X168" s="241"/>
      <c r="Y168" s="241"/>
      <c r="Z168" s="241"/>
    </row>
    <row r="169" spans="1:26" s="78" customFormat="1" ht="27" hidden="1" customHeight="1" x14ac:dyDescent="0.25">
      <c r="A169" s="79"/>
      <c r="B169" s="384"/>
      <c r="C169" s="384"/>
      <c r="D169" s="385" t="s">
        <v>782</v>
      </c>
      <c r="E169" s="385"/>
      <c r="F169" s="103">
        <v>51</v>
      </c>
      <c r="G169" s="104">
        <f>ROUND(+'Datos contribuyente'!AG331+'Datos contribuyente'!AK331,-3)</f>
        <v>0</v>
      </c>
      <c r="H169" s="384"/>
      <c r="I169" s="393" t="s">
        <v>812</v>
      </c>
      <c r="J169" s="393"/>
      <c r="K169" s="393"/>
      <c r="L169" s="393"/>
      <c r="M169" s="393"/>
      <c r="N169" s="107">
        <v>86</v>
      </c>
      <c r="O169" s="392">
        <f ca="1">ROUND(+IF(O165-O167-O168&gt;0,O165-O167-O168,0),-3)</f>
        <v>0</v>
      </c>
      <c r="P169" s="392"/>
      <c r="Q169" s="243"/>
      <c r="R169" s="240"/>
      <c r="S169" s="240"/>
      <c r="T169" s="241"/>
      <c r="U169" s="241"/>
      <c r="V169" s="241"/>
      <c r="W169" s="241"/>
      <c r="X169" s="241"/>
      <c r="Y169" s="241"/>
      <c r="Z169" s="241"/>
    </row>
    <row r="170" spans="1:26" s="78" customFormat="1" ht="27" hidden="1" customHeight="1" x14ac:dyDescent="0.25">
      <c r="A170" s="79"/>
      <c r="B170" s="384"/>
      <c r="C170" s="384"/>
      <c r="D170" s="362" t="s">
        <v>787</v>
      </c>
      <c r="E170" s="362"/>
      <c r="F170" s="105">
        <v>52</v>
      </c>
      <c r="G170" s="106">
        <f>ROUND(+'Datos contribuyente'!AG345+'Datos contribuyente'!AK345,-3)</f>
        <v>0</v>
      </c>
      <c r="H170" s="384"/>
      <c r="I170" s="381" t="s">
        <v>52</v>
      </c>
      <c r="J170" s="381"/>
      <c r="K170" s="381"/>
      <c r="L170" s="381"/>
      <c r="M170" s="381"/>
      <c r="N170" s="105">
        <v>87</v>
      </c>
      <c r="O170" s="386">
        <f>ROUND(+'Datos contribuyente'!M906+'Datos contribuyente'!M936,-3)</f>
        <v>0</v>
      </c>
      <c r="P170" s="386"/>
      <c r="Q170" s="243"/>
      <c r="R170" s="240"/>
      <c r="S170" s="240"/>
      <c r="T170" s="241"/>
      <c r="U170" s="241"/>
      <c r="V170" s="241"/>
      <c r="W170" s="241"/>
      <c r="X170" s="241"/>
      <c r="Y170" s="241"/>
      <c r="Z170" s="241"/>
    </row>
    <row r="171" spans="1:26" s="78" customFormat="1" ht="27" hidden="1" customHeight="1" x14ac:dyDescent="0.25">
      <c r="A171" s="80"/>
      <c r="B171" s="384"/>
      <c r="C171" s="384"/>
      <c r="D171" s="385" t="s">
        <v>788</v>
      </c>
      <c r="E171" s="385"/>
      <c r="F171" s="103">
        <v>53</v>
      </c>
      <c r="G171" s="104">
        <f>ROUND(+'Datos contribuyente'!AG359+'Datos contribuyente'!AK359,-3)</f>
        <v>0</v>
      </c>
      <c r="H171" s="384"/>
      <c r="I171" s="393" t="s">
        <v>813</v>
      </c>
      <c r="J171" s="393"/>
      <c r="K171" s="393"/>
      <c r="L171" s="393"/>
      <c r="M171" s="393"/>
      <c r="N171" s="107">
        <v>88</v>
      </c>
      <c r="O171" s="392">
        <f ca="1">ROUND(+IF(O165-O167-O168+O170&gt;0,O165-O167-O168+O170,0),-3)</f>
        <v>0</v>
      </c>
      <c r="P171" s="392"/>
      <c r="Q171" s="243"/>
      <c r="R171" s="240"/>
      <c r="S171" s="240"/>
      <c r="T171" s="241"/>
      <c r="U171" s="241"/>
      <c r="V171" s="241"/>
      <c r="W171" s="241"/>
      <c r="X171" s="241"/>
      <c r="Y171" s="241"/>
      <c r="Z171" s="241"/>
    </row>
    <row r="172" spans="1:26" s="78" customFormat="1" ht="27" hidden="1" customHeight="1" x14ac:dyDescent="0.25">
      <c r="A172" s="80"/>
      <c r="B172" s="384"/>
      <c r="C172" s="391"/>
      <c r="D172" s="420" t="s">
        <v>789</v>
      </c>
      <c r="E172" s="420"/>
      <c r="F172" s="114">
        <v>54</v>
      </c>
      <c r="G172" s="115">
        <f>ROUND(+'Datos contribuyente'!AG372+'Datos contribuyente'!AK372,-3)</f>
        <v>0</v>
      </c>
      <c r="H172" s="391"/>
      <c r="I172" s="383" t="s">
        <v>1034</v>
      </c>
      <c r="J172" s="383"/>
      <c r="K172" s="383"/>
      <c r="L172" s="383"/>
      <c r="M172" s="383"/>
      <c r="N172" s="117">
        <v>89</v>
      </c>
      <c r="O172" s="388">
        <f ca="1">+IF(O166+O167+O168-O170-O169-O165&gt;0,O166+O167+O168-O170-O169-O165,0)</f>
        <v>0</v>
      </c>
      <c r="P172" s="388"/>
      <c r="Q172" s="240"/>
      <c r="R172" s="240"/>
      <c r="S172" s="240"/>
      <c r="T172" s="241"/>
      <c r="U172" s="241"/>
      <c r="V172" s="241"/>
      <c r="W172" s="241"/>
      <c r="X172" s="241"/>
      <c r="Y172" s="241"/>
      <c r="Z172" s="241"/>
    </row>
    <row r="173" spans="1:26" s="78" customFormat="1" ht="27" hidden="1" customHeight="1" x14ac:dyDescent="0.25">
      <c r="A173" s="80"/>
      <c r="B173" s="384"/>
      <c r="C173" s="395" t="s">
        <v>790</v>
      </c>
      <c r="D173" s="395"/>
      <c r="E173" s="395"/>
      <c r="F173" s="107">
        <v>55</v>
      </c>
      <c r="G173" s="108">
        <f>ROUND(+SUM(G162:G172),-3)</f>
        <v>0</v>
      </c>
      <c r="H173" s="390" t="s">
        <v>53</v>
      </c>
      <c r="I173" s="380" t="s">
        <v>54</v>
      </c>
      <c r="J173" s="380"/>
      <c r="K173" s="380"/>
      <c r="L173" s="380"/>
      <c r="M173" s="380"/>
      <c r="N173" s="116">
        <v>90</v>
      </c>
      <c r="O173" s="389">
        <f>ROUND(+'Datos contribuyente'!M953,-3)</f>
        <v>0</v>
      </c>
      <c r="P173" s="389"/>
      <c r="Q173" s="240"/>
      <c r="R173" s="240"/>
      <c r="S173" s="240"/>
      <c r="T173" s="241"/>
      <c r="U173" s="241"/>
      <c r="V173" s="241"/>
      <c r="W173" s="241"/>
      <c r="X173" s="241"/>
      <c r="Y173" s="241"/>
      <c r="Z173" s="241"/>
    </row>
    <row r="174" spans="1:26" s="78" customFormat="1" ht="27" hidden="1" customHeight="1" x14ac:dyDescent="0.25">
      <c r="A174" s="80"/>
      <c r="B174" s="384"/>
      <c r="C174" s="362" t="s">
        <v>791</v>
      </c>
      <c r="D174" s="362"/>
      <c r="E174" s="362"/>
      <c r="F174" s="105">
        <v>56</v>
      </c>
      <c r="G174" s="106">
        <f>ROUND(+'Datos contribuyente'!AG386+'Datos contribuyente'!AK386,-3)</f>
        <v>0</v>
      </c>
      <c r="H174" s="384"/>
      <c r="I174" s="381" t="s">
        <v>55</v>
      </c>
      <c r="J174" s="381"/>
      <c r="K174" s="381"/>
      <c r="L174" s="381"/>
      <c r="M174" s="381"/>
      <c r="N174" s="105">
        <v>91</v>
      </c>
      <c r="O174" s="386">
        <f ca="1">ROUND(+'Datos contribuyente'!M954,-3)</f>
        <v>0</v>
      </c>
      <c r="P174" s="386"/>
      <c r="Q174" s="240"/>
      <c r="R174" s="240"/>
      <c r="S174" s="240"/>
      <c r="T174" s="241"/>
      <c r="U174" s="241"/>
      <c r="V174" s="241"/>
      <c r="W174" s="241"/>
      <c r="X174" s="241"/>
      <c r="Y174" s="241"/>
      <c r="Z174" s="241"/>
    </row>
    <row r="175" spans="1:26" s="78" customFormat="1" ht="27" hidden="1" customHeight="1" x14ac:dyDescent="0.25">
      <c r="A175" s="80"/>
      <c r="B175" s="384"/>
      <c r="C175" s="409" t="s">
        <v>792</v>
      </c>
      <c r="D175" s="409"/>
      <c r="E175" s="409"/>
      <c r="F175" s="110">
        <v>57</v>
      </c>
      <c r="G175" s="111">
        <f>ROUND(+G173-G174,-3)</f>
        <v>0</v>
      </c>
      <c r="H175" s="384"/>
      <c r="I175" s="382" t="s">
        <v>56</v>
      </c>
      <c r="J175" s="382"/>
      <c r="K175" s="382"/>
      <c r="L175" s="382"/>
      <c r="M175" s="382"/>
      <c r="N175" s="103">
        <v>92</v>
      </c>
      <c r="O175" s="387">
        <f>ROUND(+'Datos contribuyente'!M955,-3)</f>
        <v>0</v>
      </c>
      <c r="P175" s="387"/>
      <c r="Q175" s="240"/>
      <c r="R175" s="240"/>
      <c r="S175" s="240"/>
      <c r="T175" s="241"/>
      <c r="U175" s="241"/>
      <c r="V175" s="241"/>
      <c r="W175" s="241"/>
      <c r="X175" s="241"/>
      <c r="Y175" s="241"/>
      <c r="Z175" s="241"/>
    </row>
    <row r="176" spans="1:26" s="78" customFormat="1" ht="27" hidden="1" customHeight="1" x14ac:dyDescent="0.25">
      <c r="A176" s="80"/>
      <c r="B176" s="399" t="s">
        <v>57</v>
      </c>
      <c r="C176" s="399" t="s">
        <v>794</v>
      </c>
      <c r="D176" s="402" t="s">
        <v>795</v>
      </c>
      <c r="E176" s="402"/>
      <c r="F176" s="118">
        <v>58</v>
      </c>
      <c r="G176" s="119">
        <f>ROUND(+'Datos contribuyente'!AI30+'Datos contribuyente'!AM30,-3)</f>
        <v>0</v>
      </c>
      <c r="H176" s="391"/>
      <c r="I176" s="383" t="s">
        <v>814</v>
      </c>
      <c r="J176" s="383"/>
      <c r="K176" s="383"/>
      <c r="L176" s="383"/>
      <c r="M176" s="383"/>
      <c r="N176" s="117">
        <v>93</v>
      </c>
      <c r="O176" s="388">
        <f ca="1">ROUND(+'Datos contribuyente'!M956,-3)</f>
        <v>0</v>
      </c>
      <c r="P176" s="388"/>
      <c r="Q176" s="240"/>
      <c r="R176" s="240"/>
      <c r="S176" s="240"/>
      <c r="T176" s="241"/>
      <c r="U176" s="241"/>
      <c r="V176" s="241"/>
      <c r="W176" s="241"/>
      <c r="X176" s="241"/>
      <c r="Y176" s="241"/>
      <c r="Z176" s="241"/>
    </row>
    <row r="177" spans="1:26" s="78" customFormat="1" ht="27" hidden="1" customHeight="1" x14ac:dyDescent="0.25">
      <c r="A177" s="80"/>
      <c r="B177" s="400"/>
      <c r="C177" s="400"/>
      <c r="D177" s="385" t="s">
        <v>796</v>
      </c>
      <c r="E177" s="385"/>
      <c r="F177" s="103">
        <v>59</v>
      </c>
      <c r="G177" s="104">
        <f>ROUND(+'Datos contribuyente'!AI44+'Datos contribuyente'!AM44,-3)</f>
        <v>0</v>
      </c>
      <c r="H177" s="399" t="s">
        <v>815</v>
      </c>
      <c r="I177" s="399"/>
      <c r="J177" s="403" t="s">
        <v>58</v>
      </c>
      <c r="K177" s="98">
        <v>1</v>
      </c>
      <c r="L177" s="132">
        <v>0</v>
      </c>
      <c r="M177" s="403" t="s">
        <v>58</v>
      </c>
      <c r="N177" s="101">
        <v>4</v>
      </c>
      <c r="O177" s="406">
        <v>0</v>
      </c>
      <c r="P177" s="406"/>
      <c r="Q177" s="240"/>
      <c r="R177" s="240"/>
      <c r="S177" s="240"/>
      <c r="T177" s="241"/>
      <c r="U177" s="241"/>
      <c r="V177" s="241"/>
      <c r="W177" s="241"/>
      <c r="X177" s="241"/>
      <c r="Y177" s="241"/>
      <c r="Z177" s="241"/>
    </row>
    <row r="178" spans="1:26" s="78" customFormat="1" ht="27" hidden="1" customHeight="1" x14ac:dyDescent="0.25">
      <c r="A178" s="80"/>
      <c r="B178" s="400"/>
      <c r="C178" s="400"/>
      <c r="D178" s="362" t="s">
        <v>765</v>
      </c>
      <c r="E178" s="362"/>
      <c r="F178" s="105">
        <v>60</v>
      </c>
      <c r="G178" s="109">
        <f>ROUND(+'Datos contribuyente'!AI58+'Datos contribuyente'!AM58,-3)</f>
        <v>0</v>
      </c>
      <c r="H178" s="400"/>
      <c r="I178" s="400"/>
      <c r="J178" s="404"/>
      <c r="K178" s="96">
        <v>2</v>
      </c>
      <c r="L178" s="133">
        <v>0</v>
      </c>
      <c r="M178" s="404"/>
      <c r="N178" s="101">
        <v>5</v>
      </c>
      <c r="O178" s="407">
        <v>0</v>
      </c>
      <c r="P178" s="407"/>
      <c r="Q178" s="240"/>
      <c r="R178" s="240"/>
      <c r="S178" s="240"/>
      <c r="T178" s="241"/>
      <c r="U178" s="241"/>
      <c r="V178" s="241"/>
      <c r="W178" s="241"/>
      <c r="X178" s="241"/>
      <c r="Y178" s="241"/>
      <c r="Z178" s="241"/>
    </row>
    <row r="179" spans="1:26" s="78" customFormat="1" ht="27" hidden="1" customHeight="1" x14ac:dyDescent="0.25">
      <c r="A179" s="80"/>
      <c r="B179" s="401"/>
      <c r="C179" s="401"/>
      <c r="D179" s="418" t="s">
        <v>797</v>
      </c>
      <c r="E179" s="418"/>
      <c r="F179" s="112">
        <v>61</v>
      </c>
      <c r="G179" s="113">
        <f>ROUND(+'Datos contribuyente'!AI124+'Datos contribuyente'!AM124,-3)</f>
        <v>0</v>
      </c>
      <c r="H179" s="401"/>
      <c r="I179" s="401"/>
      <c r="J179" s="405"/>
      <c r="K179" s="98">
        <v>3</v>
      </c>
      <c r="L179" s="128">
        <v>0</v>
      </c>
      <c r="M179" s="405"/>
      <c r="N179" s="101">
        <v>6</v>
      </c>
      <c r="O179" s="408">
        <v>0</v>
      </c>
      <c r="P179" s="408"/>
      <c r="Q179" s="240"/>
      <c r="R179" s="240"/>
      <c r="S179" s="240"/>
      <c r="T179" s="241"/>
      <c r="U179" s="241"/>
      <c r="V179" s="241"/>
      <c r="W179" s="241"/>
      <c r="X179" s="241"/>
      <c r="Y179" s="241"/>
      <c r="Z179" s="241"/>
    </row>
    <row r="180" spans="1:26" s="78" customFormat="1" ht="27" hidden="1" customHeight="1" x14ac:dyDescent="0.25">
      <c r="A180" s="80"/>
      <c r="B180" s="396" t="s">
        <v>59</v>
      </c>
      <c r="C180" s="397"/>
      <c r="D180" s="397"/>
      <c r="E180" s="397"/>
      <c r="F180" s="120"/>
      <c r="G180" s="97"/>
      <c r="H180" s="398" t="s">
        <v>816</v>
      </c>
      <c r="I180" s="398"/>
      <c r="J180" s="398"/>
      <c r="K180" s="398"/>
      <c r="L180" s="398"/>
      <c r="M180" s="376">
        <v>100</v>
      </c>
      <c r="N180" s="377"/>
      <c r="O180" s="421">
        <v>0</v>
      </c>
      <c r="P180" s="421"/>
      <c r="Q180" s="240"/>
      <c r="R180" s="240"/>
      <c r="S180" s="240"/>
      <c r="T180" s="241"/>
      <c r="U180" s="241"/>
      <c r="V180" s="241"/>
      <c r="W180" s="241"/>
      <c r="X180" s="241"/>
      <c r="Y180" s="241"/>
      <c r="Z180" s="241"/>
    </row>
    <row r="181" spans="1:26" hidden="1" x14ac:dyDescent="0.25"/>
    <row r="182" spans="1:26" s="10" customFormat="1" ht="36" hidden="1" customHeight="1" x14ac:dyDescent="0.3">
      <c r="B182" s="338" t="s">
        <v>825</v>
      </c>
      <c r="C182" s="338"/>
      <c r="D182" s="338"/>
      <c r="E182" s="338"/>
      <c r="F182" s="338"/>
      <c r="G182" s="338"/>
      <c r="H182" s="338"/>
      <c r="I182" s="338"/>
      <c r="J182" s="338"/>
      <c r="K182" s="338"/>
      <c r="L182" s="338"/>
      <c r="M182" s="338"/>
      <c r="N182" s="338"/>
      <c r="O182" s="338"/>
      <c r="P182" s="338"/>
    </row>
    <row r="183" spans="1:26" hidden="1" x14ac:dyDescent="0.25"/>
    <row r="184" spans="1:26" s="75" customFormat="1" ht="60" hidden="1" customHeight="1" x14ac:dyDescent="0.25">
      <c r="A184" s="74"/>
      <c r="B184" s="368"/>
      <c r="C184" s="368"/>
      <c r="D184" s="368"/>
      <c r="E184" s="378" t="s">
        <v>817</v>
      </c>
      <c r="F184" s="378"/>
      <c r="G184" s="378"/>
      <c r="H184" s="378"/>
      <c r="I184" s="378"/>
      <c r="J184" s="378"/>
      <c r="K184" s="378"/>
      <c r="L184" s="369" t="s">
        <v>31</v>
      </c>
      <c r="M184" s="369"/>
      <c r="N184" s="369"/>
      <c r="O184" s="379">
        <v>300</v>
      </c>
      <c r="P184" s="379"/>
      <c r="Q184" s="234"/>
      <c r="R184" s="235"/>
      <c r="S184" s="235"/>
      <c r="T184" s="236"/>
      <c r="U184" s="236"/>
      <c r="V184" s="236"/>
      <c r="W184" s="236"/>
      <c r="X184" s="236"/>
      <c r="Y184" s="236"/>
      <c r="Z184" s="236"/>
    </row>
    <row r="185" spans="1:26" s="77" customFormat="1" ht="27.6" hidden="1" customHeight="1" x14ac:dyDescent="0.25">
      <c r="A185" s="76"/>
      <c r="B185" s="370" t="s">
        <v>32</v>
      </c>
      <c r="C185" s="370"/>
      <c r="D185" s="121">
        <f>+'Datos contribuyente'!$I$6</f>
        <v>2025</v>
      </c>
      <c r="E185" s="100">
        <v>6</v>
      </c>
      <c r="F185" s="416" t="s">
        <v>33</v>
      </c>
      <c r="G185" s="417"/>
      <c r="H185" s="376">
        <v>5</v>
      </c>
      <c r="I185" s="377"/>
      <c r="J185" s="364" t="s">
        <v>34</v>
      </c>
      <c r="K185" s="364"/>
      <c r="L185" s="364"/>
      <c r="M185" s="364"/>
      <c r="N185" s="364"/>
      <c r="O185" s="364"/>
      <c r="P185" s="364"/>
      <c r="Q185" s="237"/>
      <c r="R185" s="238"/>
      <c r="S185" s="238"/>
      <c r="T185" s="239"/>
      <c r="U185" s="239"/>
      <c r="V185" s="239"/>
      <c r="W185" s="239"/>
      <c r="X185" s="239"/>
      <c r="Y185" s="239"/>
      <c r="Z185" s="239"/>
    </row>
    <row r="186" spans="1:26" s="77" customFormat="1" ht="27.6" hidden="1" customHeight="1" x14ac:dyDescent="0.25">
      <c r="A186" s="76"/>
      <c r="B186" s="363" t="s">
        <v>770</v>
      </c>
      <c r="C186" s="363"/>
      <c r="D186" s="364" t="s">
        <v>35</v>
      </c>
      <c r="E186" s="364"/>
      <c r="F186" s="410" t="s">
        <v>36</v>
      </c>
      <c r="G186" s="411"/>
      <c r="H186" s="411"/>
      <c r="I186" s="411"/>
      <c r="J186" s="411"/>
      <c r="K186" s="411"/>
      <c r="L186" s="411"/>
      <c r="M186" s="412"/>
      <c r="N186" s="364" t="s">
        <v>37</v>
      </c>
      <c r="O186" s="364"/>
      <c r="P186" s="364"/>
      <c r="Q186" s="237"/>
      <c r="R186" s="238"/>
      <c r="S186" s="238"/>
      <c r="T186" s="239"/>
      <c r="U186" s="239"/>
      <c r="V186" s="239"/>
      <c r="W186" s="239"/>
      <c r="X186" s="239"/>
      <c r="Y186" s="239"/>
      <c r="Z186" s="239"/>
    </row>
    <row r="187" spans="1:26" s="77" customFormat="1" ht="27.6" hidden="1" customHeight="1" x14ac:dyDescent="0.25">
      <c r="A187" s="99"/>
      <c r="B187" s="363"/>
      <c r="C187" s="363"/>
      <c r="D187" s="365">
        <f>+'Datos contribuyente'!$E$6</f>
        <v>0</v>
      </c>
      <c r="E187" s="366"/>
      <c r="F187" s="413" t="s">
        <v>38</v>
      </c>
      <c r="G187" s="414"/>
      <c r="H187" s="414"/>
      <c r="I187" s="414"/>
      <c r="J187" s="414"/>
      <c r="K187" s="414"/>
      <c r="L187" s="414"/>
      <c r="M187" s="415"/>
      <c r="N187" s="367"/>
      <c r="O187" s="367"/>
      <c r="P187" s="367"/>
      <c r="Q187" s="238"/>
      <c r="R187" s="238"/>
      <c r="S187" s="238"/>
      <c r="T187" s="239"/>
      <c r="U187" s="239"/>
      <c r="V187" s="239"/>
      <c r="W187" s="239"/>
      <c r="X187" s="239"/>
      <c r="Y187" s="239"/>
      <c r="Z187" s="239"/>
    </row>
    <row r="188" spans="1:26" s="77" customFormat="1" ht="27.6" hidden="1" customHeight="1" x14ac:dyDescent="0.25">
      <c r="A188" s="99"/>
      <c r="B188" s="363"/>
      <c r="C188" s="363"/>
      <c r="D188" s="371" t="s">
        <v>818</v>
      </c>
      <c r="E188" s="372"/>
      <c r="F188" s="373">
        <f>+'Datos contribuyente'!$B$6</f>
        <v>0</v>
      </c>
      <c r="G188" s="374"/>
      <c r="H188" s="374"/>
      <c r="I188" s="374"/>
      <c r="J188" s="374"/>
      <c r="K188" s="374"/>
      <c r="L188" s="374"/>
      <c r="M188" s="374"/>
      <c r="N188" s="374"/>
      <c r="O188" s="374"/>
      <c r="P188" s="375"/>
      <c r="Q188" s="238"/>
      <c r="R188" s="238"/>
      <c r="S188" s="238"/>
      <c r="T188" s="239"/>
      <c r="U188" s="239"/>
      <c r="V188" s="239"/>
      <c r="W188" s="239"/>
      <c r="X188" s="239"/>
      <c r="Y188" s="239"/>
      <c r="Z188" s="239"/>
    </row>
    <row r="189" spans="1:26" s="78" customFormat="1" ht="27" hidden="1" customHeight="1" x14ac:dyDescent="0.25">
      <c r="A189" s="80"/>
      <c r="B189" s="384" t="s">
        <v>771</v>
      </c>
      <c r="C189" s="385" t="s">
        <v>761</v>
      </c>
      <c r="D189" s="385"/>
      <c r="E189" s="385"/>
      <c r="F189" s="103">
        <v>27</v>
      </c>
      <c r="G189" s="104">
        <f>ROUND(+'Datos contribuyente'!AO30+'Datos contribuyente'!AS30,-3)</f>
        <v>0</v>
      </c>
      <c r="H189" s="390" t="s">
        <v>39</v>
      </c>
      <c r="I189" s="390" t="s">
        <v>40</v>
      </c>
      <c r="J189" s="380" t="s">
        <v>41</v>
      </c>
      <c r="K189" s="380"/>
      <c r="L189" s="380"/>
      <c r="M189" s="380"/>
      <c r="N189" s="116">
        <v>62</v>
      </c>
      <c r="O189" s="389">
        <f>ROUND(+'Datos contribuyente'!AQ151+'Datos contribuyente'!AU151,-3)</f>
        <v>0</v>
      </c>
      <c r="P189" s="389"/>
      <c r="Q189" s="240"/>
      <c r="R189" s="240"/>
      <c r="S189" s="240"/>
      <c r="T189" s="241"/>
      <c r="U189" s="241"/>
      <c r="V189" s="241"/>
      <c r="W189" s="241"/>
      <c r="X189" s="241"/>
      <c r="Y189" s="241"/>
      <c r="Z189" s="241"/>
    </row>
    <row r="190" spans="1:26" s="78" customFormat="1" ht="27" hidden="1" customHeight="1" x14ac:dyDescent="0.25">
      <c r="A190" s="80"/>
      <c r="B190" s="384"/>
      <c r="C190" s="362" t="s">
        <v>762</v>
      </c>
      <c r="D190" s="362"/>
      <c r="E190" s="362"/>
      <c r="F190" s="105">
        <v>28</v>
      </c>
      <c r="G190" s="106">
        <f>ROUND(+'Datos contribuyente'!AO44+'Datos contribuyente'!AS44,-3)</f>
        <v>0</v>
      </c>
      <c r="H190" s="384"/>
      <c r="I190" s="384"/>
      <c r="J190" s="381" t="s">
        <v>42</v>
      </c>
      <c r="K190" s="381"/>
      <c r="L190" s="381"/>
      <c r="M190" s="381"/>
      <c r="N190" s="105">
        <v>63</v>
      </c>
      <c r="O190" s="386">
        <f>ROUND(+'Datos contribuyente'!AQ165+'Datos contribuyente'!AU165,-3)</f>
        <v>0</v>
      </c>
      <c r="P190" s="386"/>
      <c r="Q190" s="240"/>
      <c r="R190" s="240"/>
      <c r="S190" s="240"/>
      <c r="T190" s="241"/>
      <c r="U190" s="241"/>
      <c r="V190" s="241"/>
      <c r="W190" s="241"/>
      <c r="X190" s="241"/>
      <c r="Y190" s="241"/>
      <c r="Z190" s="241"/>
    </row>
    <row r="191" spans="1:26" s="78" customFormat="1" ht="27" hidden="1" customHeight="1" x14ac:dyDescent="0.25">
      <c r="A191" s="80"/>
      <c r="B191" s="384"/>
      <c r="C191" s="385" t="s">
        <v>763</v>
      </c>
      <c r="D191" s="385"/>
      <c r="E191" s="385"/>
      <c r="F191" s="103">
        <v>29</v>
      </c>
      <c r="G191" s="104">
        <f>ROUND(+'Datos contribuyente'!AO58+'Datos contribuyente'!AS58,-3)</f>
        <v>0</v>
      </c>
      <c r="H191" s="384"/>
      <c r="I191" s="384"/>
      <c r="J191" s="382" t="s">
        <v>43</v>
      </c>
      <c r="K191" s="382"/>
      <c r="L191" s="382"/>
      <c r="M191" s="382"/>
      <c r="N191" s="103">
        <v>64</v>
      </c>
      <c r="O191" s="387">
        <f>ROUND(+'Datos contribuyente'!AQ179+'Datos contribuyente'!AU179,-3)</f>
        <v>0</v>
      </c>
      <c r="P191" s="387"/>
      <c r="Q191" s="240"/>
      <c r="R191" s="240"/>
      <c r="S191" s="240"/>
      <c r="T191" s="241"/>
      <c r="U191" s="241"/>
      <c r="V191" s="241"/>
      <c r="W191" s="241"/>
      <c r="X191" s="241"/>
      <c r="Y191" s="241"/>
      <c r="Z191" s="241"/>
    </row>
    <row r="192" spans="1:26" s="78" customFormat="1" ht="27" hidden="1" customHeight="1" x14ac:dyDescent="0.25">
      <c r="A192" s="80"/>
      <c r="B192" s="384"/>
      <c r="C192" s="362" t="s">
        <v>766</v>
      </c>
      <c r="D192" s="362"/>
      <c r="E192" s="362"/>
      <c r="F192" s="105">
        <v>30</v>
      </c>
      <c r="G192" s="106">
        <f>ROUND(+'Datos contribuyente'!AO71+'Datos contribuyente'!AS71,-3)</f>
        <v>0</v>
      </c>
      <c r="H192" s="384"/>
      <c r="I192" s="384"/>
      <c r="J192" s="381" t="s">
        <v>798</v>
      </c>
      <c r="K192" s="381"/>
      <c r="L192" s="381"/>
      <c r="M192" s="381"/>
      <c r="N192" s="105">
        <v>65</v>
      </c>
      <c r="O192" s="386">
        <f>ROUND(+'Datos contribuyente'!AQ402+'Datos contribuyente'!AU402,-3)</f>
        <v>0</v>
      </c>
      <c r="P192" s="386">
        <v>0</v>
      </c>
      <c r="Q192" s="240"/>
      <c r="R192" s="240"/>
      <c r="S192" s="240"/>
      <c r="T192" s="241"/>
      <c r="U192" s="241"/>
      <c r="V192" s="241"/>
      <c r="W192" s="241"/>
      <c r="X192" s="241"/>
      <c r="Y192" s="241"/>
      <c r="Z192" s="241"/>
    </row>
    <row r="193" spans="1:26" s="78" customFormat="1" ht="27" hidden="1" customHeight="1" x14ac:dyDescent="0.25">
      <c r="A193" s="80"/>
      <c r="B193" s="384"/>
      <c r="C193" s="385" t="s">
        <v>767</v>
      </c>
      <c r="D193" s="385"/>
      <c r="E193" s="385"/>
      <c r="F193" s="103">
        <v>31</v>
      </c>
      <c r="G193" s="104">
        <f>ROUND(+'Datos contribuyente'!AO84+'Datos contribuyente'!AS84,-3)</f>
        <v>0</v>
      </c>
      <c r="H193" s="384"/>
      <c r="I193" s="384"/>
      <c r="J193" s="382" t="s">
        <v>764</v>
      </c>
      <c r="K193" s="382"/>
      <c r="L193" s="382"/>
      <c r="M193" s="382"/>
      <c r="N193" s="103">
        <v>66</v>
      </c>
      <c r="O193" s="387">
        <f>ROUND(IF('Datos contribuyente'!D640="No",+'Datos contribuyente'!AQ386+'Datos contribuyente'!AU386,+'Datos contribuyente'!AQ386+'Datos contribuyente'!AU386-'Datos contribuyente'!G667),-3)</f>
        <v>0</v>
      </c>
      <c r="P193" s="387"/>
      <c r="Q193" s="240"/>
      <c r="R193" s="240"/>
      <c r="S193" s="240"/>
      <c r="T193" s="241"/>
      <c r="U193" s="241"/>
      <c r="V193" s="241"/>
      <c r="W193" s="241"/>
      <c r="X193" s="241"/>
      <c r="Y193" s="241"/>
      <c r="Z193" s="241"/>
    </row>
    <row r="194" spans="1:26" s="78" customFormat="1" ht="27" hidden="1" customHeight="1" x14ac:dyDescent="0.25">
      <c r="A194" s="80"/>
      <c r="B194" s="384"/>
      <c r="C194" s="362" t="s">
        <v>768</v>
      </c>
      <c r="D194" s="362"/>
      <c r="E194" s="362"/>
      <c r="F194" s="105">
        <v>32</v>
      </c>
      <c r="G194" s="106">
        <f>ROUND(+'Datos contribuyente'!AO97+'Datos contribuyente'!AS97,-3)</f>
        <v>0</v>
      </c>
      <c r="H194" s="384"/>
      <c r="I194" s="391"/>
      <c r="J194" s="383" t="s">
        <v>799</v>
      </c>
      <c r="K194" s="383"/>
      <c r="L194" s="383"/>
      <c r="M194" s="383"/>
      <c r="N194" s="117">
        <v>67</v>
      </c>
      <c r="O194" s="388">
        <f>ROUND(+SUM(G220:G223,O189:P193),-3)</f>
        <v>0</v>
      </c>
      <c r="P194" s="388"/>
      <c r="Q194" s="240"/>
      <c r="R194" s="240"/>
      <c r="S194" s="240"/>
      <c r="T194" s="241"/>
      <c r="U194" s="241"/>
      <c r="V194" s="241"/>
      <c r="W194" s="241"/>
      <c r="X194" s="241"/>
      <c r="Y194" s="241"/>
      <c r="Z194" s="241"/>
    </row>
    <row r="195" spans="1:26" s="78" customFormat="1" ht="27" hidden="1" customHeight="1" x14ac:dyDescent="0.25">
      <c r="A195" s="80"/>
      <c r="B195" s="384"/>
      <c r="C195" s="385" t="s">
        <v>769</v>
      </c>
      <c r="D195" s="385"/>
      <c r="E195" s="385"/>
      <c r="F195" s="103">
        <v>33</v>
      </c>
      <c r="G195" s="104">
        <f>ROUND(+'Datos contribuyente'!AO110+'Datos contribuyente'!AS110,-3)</f>
        <v>0</v>
      </c>
      <c r="H195" s="384"/>
      <c r="I195" s="390" t="s">
        <v>44</v>
      </c>
      <c r="J195" s="380" t="s">
        <v>800</v>
      </c>
      <c r="K195" s="380"/>
      <c r="L195" s="380"/>
      <c r="M195" s="380"/>
      <c r="N195" s="116">
        <v>68</v>
      </c>
      <c r="O195" s="389">
        <f>ROUND(IF('Datos contribuyente'!D640="No",+'Datos contribuyente'!AQ235+'Datos contribuyente'!AU235,+'Datos contribuyente'!AQ235+'Datos contribuyente'!AU235-'Datos contribuyente'!G668),-3)</f>
        <v>0</v>
      </c>
      <c r="P195" s="389">
        <f>+IF(P192-P193-P194&gt;0,P192-P193-P194,0)</f>
        <v>0</v>
      </c>
      <c r="Q195" s="240"/>
      <c r="R195" s="240"/>
      <c r="S195" s="240"/>
      <c r="T195" s="241"/>
      <c r="U195" s="241"/>
      <c r="V195" s="241"/>
      <c r="W195" s="241"/>
      <c r="X195" s="241"/>
      <c r="Y195" s="241"/>
      <c r="Z195" s="241"/>
    </row>
    <row r="196" spans="1:26" s="78" customFormat="1" ht="27" hidden="1" customHeight="1" x14ac:dyDescent="0.25">
      <c r="A196" s="80"/>
      <c r="B196" s="384"/>
      <c r="C196" s="362" t="s">
        <v>772</v>
      </c>
      <c r="D196" s="362"/>
      <c r="E196" s="362"/>
      <c r="F196" s="105">
        <v>34</v>
      </c>
      <c r="G196" s="106">
        <f>ROUND(+'Datos contribuyente'!AO124+'Datos contribuyente'!AS124,-3)</f>
        <v>0</v>
      </c>
      <c r="H196" s="384"/>
      <c r="I196" s="384"/>
      <c r="J196" s="381" t="s">
        <v>801</v>
      </c>
      <c r="K196" s="381"/>
      <c r="L196" s="381"/>
      <c r="M196" s="381"/>
      <c r="N196" s="105">
        <v>69</v>
      </c>
      <c r="O196" s="386">
        <f>ROUND(IF('Datos contribuyente'!D640="No",+'Datos contribuyente'!AQ249+'Datos contribuyente'!AU249,+'Datos contribuyente'!AQ249+'Datos contribuyente'!AU249-'Datos contribuyente'!G669),-3)</f>
        <v>0</v>
      </c>
      <c r="P196" s="386"/>
      <c r="Q196" s="240"/>
      <c r="R196" s="240"/>
      <c r="S196" s="240"/>
      <c r="T196" s="241"/>
      <c r="U196" s="241"/>
      <c r="V196" s="241"/>
      <c r="W196" s="241"/>
      <c r="X196" s="241"/>
      <c r="Y196" s="241"/>
      <c r="Z196" s="241"/>
    </row>
    <row r="197" spans="1:26" s="78" customFormat="1" ht="27" hidden="1" customHeight="1" x14ac:dyDescent="0.25">
      <c r="A197" s="80"/>
      <c r="B197" s="384"/>
      <c r="C197" s="385" t="s">
        <v>773</v>
      </c>
      <c r="D197" s="385"/>
      <c r="E197" s="385"/>
      <c r="F197" s="103">
        <v>35</v>
      </c>
      <c r="G197" s="104">
        <f>ROUND(+'Datos contribuyente'!AO137+'Datos contribuyente'!AS137,-3)</f>
        <v>0</v>
      </c>
      <c r="H197" s="384"/>
      <c r="I197" s="384"/>
      <c r="J197" s="382" t="s">
        <v>783</v>
      </c>
      <c r="K197" s="382"/>
      <c r="L197" s="382"/>
      <c r="M197" s="382"/>
      <c r="N197" s="103">
        <v>70</v>
      </c>
      <c r="O197" s="387">
        <f>ROUND(IF('Datos contribuyente'!D640="No",+'Datos contribuyente'!AQ263+'Datos contribuyente'!AU263,+'Datos contribuyente'!AQ263+'Datos contribuyente'!AU263-'Datos contribuyente'!G670),-3)</f>
        <v>0</v>
      </c>
      <c r="P197" s="387"/>
      <c r="Q197" s="240"/>
      <c r="R197" s="240"/>
      <c r="S197" s="240"/>
      <c r="T197" s="241"/>
      <c r="U197" s="241"/>
      <c r="V197" s="241"/>
      <c r="W197" s="241"/>
      <c r="X197" s="241"/>
      <c r="Y197" s="241"/>
      <c r="Z197" s="241"/>
    </row>
    <row r="198" spans="1:26" s="78" customFormat="1" ht="27" hidden="1" customHeight="1" x14ac:dyDescent="0.25">
      <c r="A198" s="80"/>
      <c r="B198" s="384"/>
      <c r="C198" s="362" t="s">
        <v>821</v>
      </c>
      <c r="D198" s="362"/>
      <c r="E198" s="362"/>
      <c r="F198" s="105">
        <v>36</v>
      </c>
      <c r="G198" s="106">
        <f>ROUND(+'Datos contribuyente'!AO151+'Datos contribuyente'!AS151,-3)</f>
        <v>0</v>
      </c>
      <c r="H198" s="384"/>
      <c r="I198" s="384"/>
      <c r="J198" s="381" t="s">
        <v>802</v>
      </c>
      <c r="K198" s="381"/>
      <c r="L198" s="381"/>
      <c r="M198" s="381"/>
      <c r="N198" s="105">
        <v>71</v>
      </c>
      <c r="O198" s="386">
        <f>ROUND(IF('Datos contribuyente'!D640="No",+'Datos contribuyente'!AQ317+'Datos contribuyente'!AU317,+'Datos contribuyente'!AQ317+'Datos contribuyente'!AU317-'Datos contribuyente'!G671),-3)</f>
        <v>0</v>
      </c>
      <c r="P198" s="386"/>
      <c r="Q198" s="240"/>
      <c r="R198" s="240"/>
      <c r="S198" s="240"/>
      <c r="T198" s="241"/>
      <c r="U198" s="241"/>
      <c r="V198" s="241"/>
      <c r="W198" s="241"/>
      <c r="X198" s="241"/>
      <c r="Y198" s="241"/>
      <c r="Z198" s="241"/>
    </row>
    <row r="199" spans="1:26" s="78" customFormat="1" ht="27" hidden="1" customHeight="1" x14ac:dyDescent="0.25">
      <c r="A199" s="80"/>
      <c r="B199" s="384"/>
      <c r="C199" s="385" t="s">
        <v>774</v>
      </c>
      <c r="D199" s="385"/>
      <c r="E199" s="385"/>
      <c r="F199" s="103">
        <v>37</v>
      </c>
      <c r="G199" s="104">
        <f>ROUND(+'Datos contribuyente'!AO165+'Datos contribuyente'!AS165,-3)</f>
        <v>0</v>
      </c>
      <c r="H199" s="384"/>
      <c r="I199" s="384"/>
      <c r="J199" s="382" t="s">
        <v>803</v>
      </c>
      <c r="K199" s="382"/>
      <c r="L199" s="382"/>
      <c r="M199" s="382"/>
      <c r="N199" s="103">
        <v>72</v>
      </c>
      <c r="O199" s="387">
        <f>ROUND(IF('Datos contribuyente'!D640="No",+'Datos contribuyente'!AQ331+'Datos contribuyente'!AU331,+'Datos contribuyente'!AQ331+'Datos contribuyente'!AU331-'Datos contribuyente'!G672),-3)</f>
        <v>0</v>
      </c>
      <c r="P199" s="387"/>
      <c r="Q199" s="240"/>
      <c r="R199" s="240"/>
      <c r="S199" s="240"/>
      <c r="T199" s="241"/>
      <c r="U199" s="241"/>
      <c r="V199" s="241"/>
      <c r="W199" s="241"/>
      <c r="X199" s="241"/>
      <c r="Y199" s="241"/>
      <c r="Z199" s="241"/>
    </row>
    <row r="200" spans="1:26" s="78" customFormat="1" ht="27" hidden="1" customHeight="1" x14ac:dyDescent="0.25">
      <c r="A200" s="80"/>
      <c r="B200" s="384"/>
      <c r="C200" s="362" t="s">
        <v>775</v>
      </c>
      <c r="D200" s="362"/>
      <c r="E200" s="362"/>
      <c r="F200" s="105">
        <v>38</v>
      </c>
      <c r="G200" s="106">
        <f>ROUND(+'Datos contribuyente'!AO179+'Datos contribuyente'!AS179,-3)</f>
        <v>0</v>
      </c>
      <c r="H200" s="384"/>
      <c r="I200" s="384"/>
      <c r="J200" s="381" t="s">
        <v>45</v>
      </c>
      <c r="K200" s="381"/>
      <c r="L200" s="381"/>
      <c r="M200" s="381"/>
      <c r="N200" s="105">
        <v>73</v>
      </c>
      <c r="O200" s="386">
        <f>ROUND(IF('Datos contribuyente'!D640="No",+'Datos contribuyente'!AQ416+'Datos contribuyente'!AU416,+'Datos contribuyente'!AQ416+'Datos contribuyente'!AU416-'Datos contribuyente'!G673),-3)</f>
        <v>0</v>
      </c>
      <c r="P200" s="386"/>
      <c r="Q200" s="240"/>
      <c r="R200" s="240"/>
      <c r="S200" s="240"/>
      <c r="T200" s="241"/>
      <c r="U200" s="241"/>
      <c r="V200" s="241"/>
      <c r="W200" s="241"/>
      <c r="X200" s="241"/>
      <c r="Y200" s="241"/>
      <c r="Z200" s="241"/>
    </row>
    <row r="201" spans="1:26" s="78" customFormat="1" ht="27" hidden="1" customHeight="1" x14ac:dyDescent="0.25">
      <c r="A201" s="80"/>
      <c r="B201" s="384"/>
      <c r="C201" s="385" t="s">
        <v>776</v>
      </c>
      <c r="D201" s="385"/>
      <c r="E201" s="385"/>
      <c r="F201" s="103">
        <v>39</v>
      </c>
      <c r="G201" s="104">
        <f>ROUND(+'Datos contribuyente'!AO192+'Datos contribuyente'!AS192,-3)</f>
        <v>0</v>
      </c>
      <c r="H201" s="384"/>
      <c r="I201" s="384"/>
      <c r="J201" s="382" t="s">
        <v>804</v>
      </c>
      <c r="K201" s="382"/>
      <c r="L201" s="382"/>
      <c r="M201" s="382"/>
      <c r="N201" s="103">
        <v>74</v>
      </c>
      <c r="O201" s="387">
        <f ca="1">ROUND(IF('Datos contribuyente'!D640="No",+SUMIF('Datos contribuyente'!AP296:AQ302,5%,'Datos contribuyente'!AQ296:AQ302)+SUMIF('Datos contribuyente'!AT296:AU302,5%,'Datos contribuyente'!AU296:AU302)+'Datos contribuyente'!AQ345+'Datos contribuyente'!AU345,+SUMIF('Datos contribuyente'!AP296:AQ302,5%,'Datos contribuyente'!AQ296:AQ302)+SUMIF('Datos contribuyente'!AT296:AU302,5%,'Datos contribuyente'!AU296:AU302)+'Datos contribuyente'!AQ345+'Datos contribuyente'!AU345-'Datos contribuyente'!G674),-3)</f>
        <v>0</v>
      </c>
      <c r="P201" s="387"/>
      <c r="Q201" s="240"/>
      <c r="R201" s="240"/>
      <c r="S201" s="240"/>
      <c r="T201" s="241"/>
      <c r="U201" s="241"/>
      <c r="V201" s="241"/>
      <c r="W201" s="241"/>
      <c r="X201" s="241"/>
      <c r="Y201" s="241"/>
      <c r="Z201" s="241"/>
    </row>
    <row r="202" spans="1:26" s="78" customFormat="1" ht="27" hidden="1" customHeight="1" x14ac:dyDescent="0.25">
      <c r="A202" s="80"/>
      <c r="B202" s="384"/>
      <c r="C202" s="362" t="s">
        <v>777</v>
      </c>
      <c r="D202" s="362"/>
      <c r="E202" s="362"/>
      <c r="F202" s="105">
        <v>40</v>
      </c>
      <c r="G202" s="106">
        <f>ROUND(+'Datos contribuyente'!AO205+'Datos contribuyente'!AS205,-3)</f>
        <v>0</v>
      </c>
      <c r="H202" s="384"/>
      <c r="I202" s="384"/>
      <c r="J202" s="381" t="s">
        <v>805</v>
      </c>
      <c r="K202" s="381"/>
      <c r="L202" s="381"/>
      <c r="M202" s="381"/>
      <c r="N202" s="105">
        <v>75</v>
      </c>
      <c r="O202" s="386">
        <f ca="1">ROUND(IF('Datos contribuyente'!D640="No",+SUMIF('Datos contribuyente'!AP296:AQ302,19%,'Datos contribuyente'!AQ296:AQ302)+SUMIF('Datos contribuyente'!AT296:AU302,19%,'Datos contribuyente'!AU296:AU302)+'Datos contribuyente'!AQ359+'Datos contribuyente'!AU359,+SUMIF('Datos contribuyente'!AP296:AQ302,19%,'Datos contribuyente'!AQ296:AQ302)+SUMIF('Datos contribuyente'!AT296:AU302,19%,'Datos contribuyente'!AU296:AU302)+'Datos contribuyente'!AQ359+'Datos contribuyente'!AU359-'Datos contribuyente'!G675),-3)</f>
        <v>0</v>
      </c>
      <c r="P202" s="386"/>
      <c r="Q202" s="240"/>
      <c r="R202" s="240"/>
      <c r="S202" s="240"/>
      <c r="T202" s="241"/>
      <c r="U202" s="241"/>
      <c r="V202" s="241"/>
      <c r="W202" s="241"/>
      <c r="X202" s="241"/>
      <c r="Y202" s="241"/>
      <c r="Z202" s="241"/>
    </row>
    <row r="203" spans="1:26" s="78" customFormat="1" ht="27" hidden="1" customHeight="1" x14ac:dyDescent="0.25">
      <c r="A203" s="80"/>
      <c r="B203" s="384"/>
      <c r="C203" s="395" t="s">
        <v>779</v>
      </c>
      <c r="D203" s="395"/>
      <c r="E203" s="395"/>
      <c r="F203" s="107">
        <v>41</v>
      </c>
      <c r="G203" s="108">
        <f>ROUND(+SUM(G189:G202),-3)</f>
        <v>0</v>
      </c>
      <c r="H203" s="384"/>
      <c r="I203" s="384"/>
      <c r="J203" s="382" t="s">
        <v>806</v>
      </c>
      <c r="K203" s="382"/>
      <c r="L203" s="382"/>
      <c r="M203" s="382"/>
      <c r="N203" s="103">
        <v>76</v>
      </c>
      <c r="O203" s="387">
        <f>ROUND(+'Datos contribuyente'!AQ430+'Datos contribuyente'!AU430,-3)</f>
        <v>0</v>
      </c>
      <c r="P203" s="387"/>
      <c r="Q203" s="240"/>
      <c r="R203" s="240"/>
      <c r="S203" s="240"/>
      <c r="T203" s="241"/>
      <c r="U203" s="241"/>
      <c r="V203" s="241"/>
      <c r="W203" s="241"/>
      <c r="X203" s="241"/>
      <c r="Y203" s="241"/>
      <c r="Z203" s="241"/>
    </row>
    <row r="204" spans="1:26" s="78" customFormat="1" ht="27" hidden="1" customHeight="1" x14ac:dyDescent="0.25">
      <c r="A204" s="80"/>
      <c r="B204" s="384"/>
      <c r="C204" s="362" t="s">
        <v>778</v>
      </c>
      <c r="D204" s="362"/>
      <c r="E204" s="362"/>
      <c r="F204" s="105">
        <v>42</v>
      </c>
      <c r="G204" s="106">
        <f>ROUND(+'Datos contribuyente'!AO219+'Datos contribuyente'!AS219,-3)</f>
        <v>0</v>
      </c>
      <c r="H204" s="384"/>
      <c r="I204" s="384"/>
      <c r="J204" s="383" t="s">
        <v>807</v>
      </c>
      <c r="K204" s="383"/>
      <c r="L204" s="383"/>
      <c r="M204" s="383"/>
      <c r="N204" s="117">
        <v>77</v>
      </c>
      <c r="O204" s="388">
        <f ca="1">ROUND(+SUM(O195:P203),-3)</f>
        <v>0</v>
      </c>
      <c r="P204" s="388"/>
      <c r="Q204" s="240"/>
      <c r="R204" s="240"/>
      <c r="S204" s="240"/>
      <c r="T204" s="241"/>
      <c r="U204" s="241"/>
      <c r="V204" s="241"/>
      <c r="W204" s="241"/>
      <c r="X204" s="241"/>
      <c r="Y204" s="241"/>
      <c r="Z204" s="241"/>
    </row>
    <row r="205" spans="1:26" s="78" customFormat="1" ht="27" hidden="1" customHeight="1" x14ac:dyDescent="0.25">
      <c r="A205" s="80"/>
      <c r="B205" s="384"/>
      <c r="C205" s="418" t="s">
        <v>780</v>
      </c>
      <c r="D205" s="418"/>
      <c r="E205" s="418"/>
      <c r="F205" s="110">
        <v>43</v>
      </c>
      <c r="G205" s="111">
        <f>ROUND(+G203-G204,-3)</f>
        <v>0</v>
      </c>
      <c r="H205" s="384"/>
      <c r="I205" s="384"/>
      <c r="J205" s="382" t="s">
        <v>46</v>
      </c>
      <c r="K205" s="382"/>
      <c r="L205" s="382"/>
      <c r="M205" s="382"/>
      <c r="N205" s="103">
        <v>78</v>
      </c>
      <c r="O205" s="387">
        <f>ROUND(+'Datos contribuyente'!AQ444+'Datos contribuyente'!AU444,-3)</f>
        <v>0</v>
      </c>
      <c r="P205" s="387"/>
      <c r="Q205" s="240"/>
      <c r="R205" s="240"/>
      <c r="S205" s="240"/>
      <c r="T205" s="241"/>
      <c r="U205" s="241"/>
      <c r="V205" s="241"/>
      <c r="W205" s="241"/>
      <c r="X205" s="241"/>
      <c r="Y205" s="241"/>
      <c r="Z205" s="241"/>
    </row>
    <row r="206" spans="1:26" s="78" customFormat="1" ht="27" hidden="1" customHeight="1" x14ac:dyDescent="0.25">
      <c r="A206" s="80"/>
      <c r="B206" s="384" t="s">
        <v>793</v>
      </c>
      <c r="C206" s="390" t="s">
        <v>47</v>
      </c>
      <c r="D206" s="362" t="s">
        <v>781</v>
      </c>
      <c r="E206" s="362"/>
      <c r="F206" s="105">
        <v>44</v>
      </c>
      <c r="G206" s="106">
        <f>ROUND(+'Datos contribuyente'!AO235+'Datos contribuyente'!AS235,-3)</f>
        <v>0</v>
      </c>
      <c r="H206" s="384"/>
      <c r="I206" s="384"/>
      <c r="J206" s="381" t="s">
        <v>808</v>
      </c>
      <c r="K206" s="381"/>
      <c r="L206" s="381"/>
      <c r="M206" s="381"/>
      <c r="N206" s="105">
        <v>79</v>
      </c>
      <c r="O206" s="386">
        <f>ROUND(+'Datos contribuyente'!AQ219+'Datos contribuyente'!AU219,-3)</f>
        <v>0</v>
      </c>
      <c r="P206" s="386"/>
      <c r="Q206" s="240"/>
      <c r="R206" s="240"/>
      <c r="S206" s="240"/>
      <c r="T206" s="241"/>
      <c r="U206" s="241"/>
      <c r="V206" s="241"/>
      <c r="W206" s="241"/>
      <c r="X206" s="241"/>
      <c r="Y206" s="241"/>
      <c r="Z206" s="241"/>
    </row>
    <row r="207" spans="1:26" s="78" customFormat="1" ht="27" hidden="1" customHeight="1" x14ac:dyDescent="0.25">
      <c r="A207" s="80"/>
      <c r="B207" s="384"/>
      <c r="C207" s="384"/>
      <c r="D207" s="385" t="s">
        <v>782</v>
      </c>
      <c r="E207" s="385"/>
      <c r="F207" s="103">
        <v>45</v>
      </c>
      <c r="G207" s="104">
        <f>ROUND(+'Datos contribuyente'!AO249+'Datos contribuyente'!AS249,-3)</f>
        <v>0</v>
      </c>
      <c r="H207" s="384"/>
      <c r="I207" s="384"/>
      <c r="J207" s="382" t="s">
        <v>48</v>
      </c>
      <c r="K207" s="382"/>
      <c r="L207" s="382"/>
      <c r="M207" s="382"/>
      <c r="N207" s="103">
        <v>80</v>
      </c>
      <c r="O207" s="387">
        <f>ROUND(+'Datos contribuyente'!AQ458+'Datos contribuyente'!AU458,-3)</f>
        <v>0</v>
      </c>
      <c r="P207" s="387"/>
      <c r="Q207" s="240"/>
      <c r="R207" s="240"/>
      <c r="S207" s="240"/>
      <c r="T207" s="241"/>
      <c r="U207" s="241"/>
      <c r="V207" s="241"/>
      <c r="W207" s="241"/>
      <c r="X207" s="241"/>
      <c r="Y207" s="241"/>
      <c r="Z207" s="241"/>
    </row>
    <row r="208" spans="1:26" s="78" customFormat="1" ht="27" hidden="1" customHeight="1" x14ac:dyDescent="0.25">
      <c r="A208" s="80"/>
      <c r="B208" s="384"/>
      <c r="C208" s="384"/>
      <c r="D208" s="362" t="s">
        <v>783</v>
      </c>
      <c r="E208" s="362"/>
      <c r="F208" s="105">
        <v>46</v>
      </c>
      <c r="G208" s="106">
        <f>ROUND(+'Datos contribuyente'!AO263+'Datos contribuyente'!AS263,-3)</f>
        <v>0</v>
      </c>
      <c r="H208" s="384"/>
      <c r="I208" s="391"/>
      <c r="J208" s="383" t="s">
        <v>809</v>
      </c>
      <c r="K208" s="383"/>
      <c r="L208" s="383"/>
      <c r="M208" s="383"/>
      <c r="N208" s="117">
        <v>81</v>
      </c>
      <c r="O208" s="388">
        <f ca="1">ROUND(+O204+O205+O206-O207,-3)</f>
        <v>0</v>
      </c>
      <c r="P208" s="388"/>
      <c r="Q208" s="240"/>
      <c r="R208" s="240"/>
      <c r="S208" s="240"/>
      <c r="T208" s="241"/>
      <c r="U208" s="241"/>
      <c r="V208" s="241"/>
      <c r="W208" s="241"/>
      <c r="X208" s="241"/>
      <c r="Y208" s="241"/>
      <c r="Z208" s="241"/>
    </row>
    <row r="209" spans="1:26" s="78" customFormat="1" ht="27" hidden="1" customHeight="1" x14ac:dyDescent="0.25">
      <c r="A209" s="80"/>
      <c r="B209" s="384"/>
      <c r="C209" s="384"/>
      <c r="D209" s="385" t="s">
        <v>784</v>
      </c>
      <c r="E209" s="385"/>
      <c r="F209" s="103">
        <v>47</v>
      </c>
      <c r="G209" s="104">
        <f>ROUND(+'Datos contribuyente'!AO276+'Datos contribuyente'!AS276,-3)</f>
        <v>0</v>
      </c>
      <c r="H209" s="384"/>
      <c r="I209" s="393" t="s">
        <v>810</v>
      </c>
      <c r="J209" s="393"/>
      <c r="K209" s="393"/>
      <c r="L209" s="393"/>
      <c r="M209" s="393"/>
      <c r="N209" s="107">
        <v>82</v>
      </c>
      <c r="O209" s="392">
        <f ca="1">ROUND(+IF(O194-O208&gt;0,O194-O208,0),-3)</f>
        <v>0</v>
      </c>
      <c r="P209" s="392"/>
      <c r="Q209" s="240"/>
      <c r="R209" s="240"/>
      <c r="S209" s="240"/>
      <c r="T209" s="241"/>
      <c r="U209" s="241"/>
      <c r="V209" s="241"/>
      <c r="W209" s="241"/>
      <c r="X209" s="241"/>
      <c r="Y209" s="241"/>
      <c r="Z209" s="241"/>
    </row>
    <row r="210" spans="1:26" s="78" customFormat="1" ht="27" hidden="1" customHeight="1" x14ac:dyDescent="0.25">
      <c r="A210" s="80"/>
      <c r="B210" s="384"/>
      <c r="C210" s="384"/>
      <c r="D210" s="362" t="s">
        <v>785</v>
      </c>
      <c r="E210" s="362"/>
      <c r="F210" s="105">
        <v>48</v>
      </c>
      <c r="G210" s="106">
        <f>ROUND(+'Datos contribuyente'!AO289+'Datos contribuyente'!AS289,-3)</f>
        <v>0</v>
      </c>
      <c r="H210" s="384"/>
      <c r="I210" s="394" t="s">
        <v>811</v>
      </c>
      <c r="J210" s="394"/>
      <c r="K210" s="394"/>
      <c r="L210" s="394"/>
      <c r="M210" s="394"/>
      <c r="N210" s="102">
        <v>83</v>
      </c>
      <c r="O210" s="419">
        <f ca="1">ROUND(+IF(O208-O194&gt;0,O208-O194,0),-3)</f>
        <v>0</v>
      </c>
      <c r="P210" s="419"/>
      <c r="Q210" s="240"/>
      <c r="R210" s="240"/>
      <c r="S210" s="240"/>
      <c r="T210" s="241"/>
      <c r="U210" s="241"/>
      <c r="V210" s="241"/>
      <c r="W210" s="241"/>
      <c r="X210" s="241"/>
      <c r="Y210" s="241"/>
      <c r="Z210" s="241"/>
    </row>
    <row r="211" spans="1:26" s="78" customFormat="1" ht="27" hidden="1" customHeight="1" x14ac:dyDescent="0.25">
      <c r="A211" s="80"/>
      <c r="B211" s="384"/>
      <c r="C211" s="391"/>
      <c r="D211" s="418" t="s">
        <v>786</v>
      </c>
      <c r="E211" s="418"/>
      <c r="F211" s="112">
        <v>49</v>
      </c>
      <c r="G211" s="113">
        <f>ROUND(+'Datos contribuyente'!AO303+'Datos contribuyente'!AS303,-3)</f>
        <v>0</v>
      </c>
      <c r="H211" s="384"/>
      <c r="I211" s="382" t="s">
        <v>49</v>
      </c>
      <c r="J211" s="382"/>
      <c r="K211" s="382"/>
      <c r="L211" s="382"/>
      <c r="M211" s="382"/>
      <c r="N211" s="103">
        <v>84</v>
      </c>
      <c r="O211" s="387">
        <f ca="1">ROUND(+IF('Datos contribuyente'!E966="No",'Datos contribuyente'!M956,0),-3)</f>
        <v>0</v>
      </c>
      <c r="P211" s="387"/>
      <c r="Q211" s="240"/>
      <c r="R211" s="240"/>
      <c r="S211" s="240"/>
      <c r="T211" s="241"/>
      <c r="U211" s="241"/>
      <c r="V211" s="241"/>
      <c r="W211" s="241"/>
      <c r="X211" s="241"/>
      <c r="Y211" s="241"/>
      <c r="Z211" s="241"/>
    </row>
    <row r="212" spans="1:26" s="78" customFormat="1" ht="27" hidden="1" customHeight="1" x14ac:dyDescent="0.25">
      <c r="A212" s="79"/>
      <c r="B212" s="384"/>
      <c r="C212" s="390" t="s">
        <v>50</v>
      </c>
      <c r="D212" s="362" t="s">
        <v>781</v>
      </c>
      <c r="E212" s="362"/>
      <c r="F212" s="105">
        <v>50</v>
      </c>
      <c r="G212" s="106">
        <f>ROUND(+'Datos contribuyente'!AO317+'Datos contribuyente'!AS317,-3)</f>
        <v>0</v>
      </c>
      <c r="H212" s="384"/>
      <c r="I212" s="381" t="s">
        <v>51</v>
      </c>
      <c r="J212" s="381"/>
      <c r="K212" s="381"/>
      <c r="L212" s="381"/>
      <c r="M212" s="381"/>
      <c r="N212" s="105">
        <v>85</v>
      </c>
      <c r="O212" s="386">
        <f>ROUND(+'Datos contribuyente'!AQ472+'Datos contribuyente'!AU472,-3)</f>
        <v>0</v>
      </c>
      <c r="P212" s="386"/>
      <c r="Q212" s="243"/>
      <c r="R212" s="240"/>
      <c r="S212" s="240"/>
      <c r="T212" s="241"/>
      <c r="U212" s="241"/>
      <c r="V212" s="241"/>
      <c r="W212" s="241"/>
      <c r="X212" s="241"/>
      <c r="Y212" s="241"/>
      <c r="Z212" s="241"/>
    </row>
    <row r="213" spans="1:26" s="78" customFormat="1" ht="27" hidden="1" customHeight="1" x14ac:dyDescent="0.25">
      <c r="A213" s="79"/>
      <c r="B213" s="384"/>
      <c r="C213" s="384"/>
      <c r="D213" s="385" t="s">
        <v>782</v>
      </c>
      <c r="E213" s="385"/>
      <c r="F213" s="103">
        <v>51</v>
      </c>
      <c r="G213" s="104">
        <f>ROUND(+'Datos contribuyente'!AO331+'Datos contribuyente'!AS331,-3)</f>
        <v>0</v>
      </c>
      <c r="H213" s="384"/>
      <c r="I213" s="393" t="s">
        <v>812</v>
      </c>
      <c r="J213" s="393"/>
      <c r="K213" s="393"/>
      <c r="L213" s="393"/>
      <c r="M213" s="393"/>
      <c r="N213" s="107">
        <v>86</v>
      </c>
      <c r="O213" s="392">
        <f ca="1">ROUND(+IF(O209-O211-O212&gt;0,O209-O211-O212,0),-3)</f>
        <v>0</v>
      </c>
      <c r="P213" s="392"/>
      <c r="Q213" s="243"/>
      <c r="R213" s="240"/>
      <c r="S213" s="240"/>
      <c r="T213" s="241"/>
      <c r="U213" s="241"/>
      <c r="V213" s="241"/>
      <c r="W213" s="241"/>
      <c r="X213" s="241"/>
      <c r="Y213" s="241"/>
      <c r="Z213" s="241"/>
    </row>
    <row r="214" spans="1:26" s="78" customFormat="1" ht="27" hidden="1" customHeight="1" x14ac:dyDescent="0.25">
      <c r="A214" s="79"/>
      <c r="B214" s="384"/>
      <c r="C214" s="384"/>
      <c r="D214" s="362" t="s">
        <v>787</v>
      </c>
      <c r="E214" s="362"/>
      <c r="F214" s="105">
        <v>52</v>
      </c>
      <c r="G214" s="106">
        <f>ROUND(+'Datos contribuyente'!AO345+'Datos contribuyente'!AS345,-3)</f>
        <v>0</v>
      </c>
      <c r="H214" s="384"/>
      <c r="I214" s="381" t="s">
        <v>52</v>
      </c>
      <c r="J214" s="381"/>
      <c r="K214" s="381"/>
      <c r="L214" s="381"/>
      <c r="M214" s="381"/>
      <c r="N214" s="105">
        <v>87</v>
      </c>
      <c r="O214" s="386">
        <f>ROUND(+'Datos contribuyente'!O906+'Datos contribuyente'!O936,-3)</f>
        <v>0</v>
      </c>
      <c r="P214" s="386"/>
      <c r="Q214" s="243"/>
      <c r="R214" s="240"/>
      <c r="S214" s="240"/>
      <c r="T214" s="241"/>
      <c r="U214" s="241"/>
      <c r="V214" s="241"/>
      <c r="W214" s="241"/>
      <c r="X214" s="241"/>
      <c r="Y214" s="241"/>
      <c r="Z214" s="241"/>
    </row>
    <row r="215" spans="1:26" s="78" customFormat="1" ht="27" hidden="1" customHeight="1" x14ac:dyDescent="0.25">
      <c r="A215" s="80"/>
      <c r="B215" s="384"/>
      <c r="C215" s="384"/>
      <c r="D215" s="385" t="s">
        <v>788</v>
      </c>
      <c r="E215" s="385"/>
      <c r="F215" s="103">
        <v>53</v>
      </c>
      <c r="G215" s="104">
        <f>ROUND(+'Datos contribuyente'!AO359+'Datos contribuyente'!AS359,-3)</f>
        <v>0</v>
      </c>
      <c r="H215" s="384"/>
      <c r="I215" s="393" t="s">
        <v>813</v>
      </c>
      <c r="J215" s="393"/>
      <c r="K215" s="393"/>
      <c r="L215" s="393"/>
      <c r="M215" s="393"/>
      <c r="N215" s="107">
        <v>88</v>
      </c>
      <c r="O215" s="392">
        <f ca="1">ROUND(+IF(O209-O211-O212+O214&gt;0,O209-O211-O212+O214,0),-3)</f>
        <v>0</v>
      </c>
      <c r="P215" s="392"/>
      <c r="Q215" s="243"/>
      <c r="R215" s="240"/>
      <c r="S215" s="240"/>
      <c r="T215" s="241"/>
      <c r="U215" s="241"/>
      <c r="V215" s="241"/>
      <c r="W215" s="241"/>
      <c r="X215" s="241"/>
      <c r="Y215" s="241"/>
      <c r="Z215" s="241"/>
    </row>
    <row r="216" spans="1:26" s="78" customFormat="1" ht="27" hidden="1" customHeight="1" x14ac:dyDescent="0.25">
      <c r="A216" s="80"/>
      <c r="B216" s="384"/>
      <c r="C216" s="391"/>
      <c r="D216" s="420" t="s">
        <v>789</v>
      </c>
      <c r="E216" s="420"/>
      <c r="F216" s="114">
        <v>54</v>
      </c>
      <c r="G216" s="115">
        <f>ROUND(+'Datos contribuyente'!AO372+'Datos contribuyente'!AS372,-3)</f>
        <v>0</v>
      </c>
      <c r="H216" s="391"/>
      <c r="I216" s="383" t="s">
        <v>1034</v>
      </c>
      <c r="J216" s="383"/>
      <c r="K216" s="383"/>
      <c r="L216" s="383"/>
      <c r="M216" s="383"/>
      <c r="N216" s="117">
        <v>89</v>
      </c>
      <c r="O216" s="388">
        <f ca="1">+IF(O210+O211+O212-O214-O213-O209&gt;0,O210+O211+O212-O214-O213-O209,0)</f>
        <v>0</v>
      </c>
      <c r="P216" s="388"/>
      <c r="Q216" s="240"/>
      <c r="R216" s="240"/>
      <c r="S216" s="240"/>
      <c r="T216" s="241"/>
      <c r="U216" s="241"/>
      <c r="V216" s="241"/>
      <c r="W216" s="241"/>
      <c r="X216" s="241"/>
      <c r="Y216" s="241"/>
      <c r="Z216" s="241"/>
    </row>
    <row r="217" spans="1:26" s="78" customFormat="1" ht="27" hidden="1" customHeight="1" x14ac:dyDescent="0.25">
      <c r="A217" s="80"/>
      <c r="B217" s="384"/>
      <c r="C217" s="395" t="s">
        <v>790</v>
      </c>
      <c r="D217" s="395"/>
      <c r="E217" s="395"/>
      <c r="F217" s="107">
        <v>55</v>
      </c>
      <c r="G217" s="108">
        <f>ROUND(+SUM(G206:G216),-3)</f>
        <v>0</v>
      </c>
      <c r="H217" s="390" t="s">
        <v>53</v>
      </c>
      <c r="I217" s="380" t="s">
        <v>54</v>
      </c>
      <c r="J217" s="380"/>
      <c r="K217" s="380"/>
      <c r="L217" s="380"/>
      <c r="M217" s="380"/>
      <c r="N217" s="116">
        <v>90</v>
      </c>
      <c r="O217" s="389">
        <f>ROUND(+'Datos contribuyente'!O953,-3)</f>
        <v>0</v>
      </c>
      <c r="P217" s="389"/>
      <c r="Q217" s="240"/>
      <c r="R217" s="240"/>
      <c r="S217" s="240"/>
      <c r="T217" s="241"/>
      <c r="U217" s="241"/>
      <c r="V217" s="241"/>
      <c r="W217" s="241"/>
      <c r="X217" s="241"/>
      <c r="Y217" s="241"/>
      <c r="Z217" s="241"/>
    </row>
    <row r="218" spans="1:26" s="78" customFormat="1" ht="27" hidden="1" customHeight="1" x14ac:dyDescent="0.25">
      <c r="A218" s="80"/>
      <c r="B218" s="384"/>
      <c r="C218" s="362" t="s">
        <v>791</v>
      </c>
      <c r="D218" s="362"/>
      <c r="E218" s="362"/>
      <c r="F218" s="105">
        <v>56</v>
      </c>
      <c r="G218" s="106">
        <f>ROUND(+'Datos contribuyente'!AO386+'Datos contribuyente'!AS386,-3)</f>
        <v>0</v>
      </c>
      <c r="H218" s="384"/>
      <c r="I218" s="381" t="s">
        <v>55</v>
      </c>
      <c r="J218" s="381"/>
      <c r="K218" s="381"/>
      <c r="L218" s="381"/>
      <c r="M218" s="381"/>
      <c r="N218" s="105">
        <v>91</v>
      </c>
      <c r="O218" s="386">
        <f ca="1">ROUND(+'Datos contribuyente'!O954,-3)</f>
        <v>0</v>
      </c>
      <c r="P218" s="386"/>
      <c r="Q218" s="240"/>
      <c r="R218" s="240"/>
      <c r="S218" s="240"/>
      <c r="T218" s="241"/>
      <c r="U218" s="241"/>
      <c r="V218" s="241"/>
      <c r="W218" s="241"/>
      <c r="X218" s="241"/>
      <c r="Y218" s="241"/>
      <c r="Z218" s="241"/>
    </row>
    <row r="219" spans="1:26" s="78" customFormat="1" ht="27" hidden="1" customHeight="1" x14ac:dyDescent="0.25">
      <c r="A219" s="80"/>
      <c r="B219" s="384"/>
      <c r="C219" s="409" t="s">
        <v>792</v>
      </c>
      <c r="D219" s="409"/>
      <c r="E219" s="409"/>
      <c r="F219" s="110">
        <v>57</v>
      </c>
      <c r="G219" s="111">
        <f>ROUND(+G217-G218,-3)</f>
        <v>0</v>
      </c>
      <c r="H219" s="384"/>
      <c r="I219" s="382" t="s">
        <v>56</v>
      </c>
      <c r="J219" s="382"/>
      <c r="K219" s="382"/>
      <c r="L219" s="382"/>
      <c r="M219" s="382"/>
      <c r="N219" s="103">
        <v>92</v>
      </c>
      <c r="O219" s="387">
        <f>ROUND(+'Datos contribuyente'!O955,-3)</f>
        <v>0</v>
      </c>
      <c r="P219" s="387"/>
      <c r="Q219" s="240"/>
      <c r="R219" s="240"/>
      <c r="S219" s="240"/>
      <c r="T219" s="241"/>
      <c r="U219" s="241"/>
      <c r="V219" s="241"/>
      <c r="W219" s="241"/>
      <c r="X219" s="241"/>
      <c r="Y219" s="241"/>
      <c r="Z219" s="241"/>
    </row>
    <row r="220" spans="1:26" s="78" customFormat="1" ht="27" hidden="1" customHeight="1" x14ac:dyDescent="0.25">
      <c r="A220" s="80"/>
      <c r="B220" s="399" t="s">
        <v>57</v>
      </c>
      <c r="C220" s="399" t="s">
        <v>794</v>
      </c>
      <c r="D220" s="402" t="s">
        <v>795</v>
      </c>
      <c r="E220" s="402"/>
      <c r="F220" s="118">
        <v>58</v>
      </c>
      <c r="G220" s="119">
        <f>ROUND(+'Datos contribuyente'!AQ30+'Datos contribuyente'!AU30,-3)</f>
        <v>0</v>
      </c>
      <c r="H220" s="391"/>
      <c r="I220" s="383" t="s">
        <v>814</v>
      </c>
      <c r="J220" s="383"/>
      <c r="K220" s="383"/>
      <c r="L220" s="383"/>
      <c r="M220" s="383"/>
      <c r="N220" s="117">
        <v>93</v>
      </c>
      <c r="O220" s="388">
        <f ca="1">ROUND(+'Datos contribuyente'!O956,-3)</f>
        <v>0</v>
      </c>
      <c r="P220" s="388"/>
      <c r="Q220" s="240"/>
      <c r="R220" s="240"/>
      <c r="S220" s="240"/>
      <c r="T220" s="241"/>
      <c r="U220" s="241"/>
      <c r="V220" s="241"/>
      <c r="W220" s="241"/>
      <c r="X220" s="241"/>
      <c r="Y220" s="241"/>
      <c r="Z220" s="241"/>
    </row>
    <row r="221" spans="1:26" s="78" customFormat="1" ht="27" hidden="1" customHeight="1" x14ac:dyDescent="0.25">
      <c r="A221" s="80"/>
      <c r="B221" s="400"/>
      <c r="C221" s="400"/>
      <c r="D221" s="385" t="s">
        <v>796</v>
      </c>
      <c r="E221" s="385"/>
      <c r="F221" s="103">
        <v>59</v>
      </c>
      <c r="G221" s="104">
        <f>ROUND(+'Datos contribuyente'!AQ44+'Datos contribuyente'!AU44,-3)</f>
        <v>0</v>
      </c>
      <c r="H221" s="399" t="s">
        <v>815</v>
      </c>
      <c r="I221" s="399"/>
      <c r="J221" s="403" t="s">
        <v>58</v>
      </c>
      <c r="K221" s="98">
        <v>1</v>
      </c>
      <c r="L221" s="132">
        <v>0</v>
      </c>
      <c r="M221" s="403" t="s">
        <v>58</v>
      </c>
      <c r="N221" s="101">
        <v>4</v>
      </c>
      <c r="O221" s="406">
        <v>0</v>
      </c>
      <c r="P221" s="406"/>
      <c r="Q221" s="240"/>
      <c r="R221" s="240"/>
      <c r="S221" s="240"/>
      <c r="T221" s="241"/>
      <c r="U221" s="241"/>
      <c r="V221" s="241"/>
      <c r="W221" s="241"/>
      <c r="X221" s="241"/>
      <c r="Y221" s="241"/>
      <c r="Z221" s="241"/>
    </row>
    <row r="222" spans="1:26" s="78" customFormat="1" ht="27" hidden="1" customHeight="1" x14ac:dyDescent="0.25">
      <c r="A222" s="80"/>
      <c r="B222" s="400"/>
      <c r="C222" s="400"/>
      <c r="D222" s="362" t="s">
        <v>765</v>
      </c>
      <c r="E222" s="362"/>
      <c r="F222" s="105">
        <v>60</v>
      </c>
      <c r="G222" s="109">
        <f>ROUND(+'Datos contribuyente'!AQ58+'Datos contribuyente'!AU58,-3)</f>
        <v>0</v>
      </c>
      <c r="H222" s="400"/>
      <c r="I222" s="400"/>
      <c r="J222" s="404"/>
      <c r="K222" s="96">
        <v>2</v>
      </c>
      <c r="L222" s="133">
        <v>0</v>
      </c>
      <c r="M222" s="404"/>
      <c r="N222" s="101">
        <v>5</v>
      </c>
      <c r="O222" s="407">
        <v>0</v>
      </c>
      <c r="P222" s="407"/>
      <c r="Q222" s="240"/>
      <c r="R222" s="240"/>
      <c r="S222" s="240"/>
      <c r="T222" s="241"/>
      <c r="U222" s="241"/>
      <c r="V222" s="241"/>
      <c r="W222" s="241"/>
      <c r="X222" s="241"/>
      <c r="Y222" s="241"/>
      <c r="Z222" s="241"/>
    </row>
    <row r="223" spans="1:26" s="78" customFormat="1" ht="27" hidden="1" customHeight="1" x14ac:dyDescent="0.25">
      <c r="A223" s="80"/>
      <c r="B223" s="401"/>
      <c r="C223" s="401"/>
      <c r="D223" s="418" t="s">
        <v>797</v>
      </c>
      <c r="E223" s="418"/>
      <c r="F223" s="112">
        <v>61</v>
      </c>
      <c r="G223" s="113">
        <f>ROUND(+'Datos contribuyente'!AQ124+'Datos contribuyente'!AU124,-3)</f>
        <v>0</v>
      </c>
      <c r="H223" s="401"/>
      <c r="I223" s="401"/>
      <c r="J223" s="405"/>
      <c r="K223" s="98">
        <v>3</v>
      </c>
      <c r="L223" s="128">
        <v>0</v>
      </c>
      <c r="M223" s="405"/>
      <c r="N223" s="101">
        <v>6</v>
      </c>
      <c r="O223" s="408">
        <v>0</v>
      </c>
      <c r="P223" s="408"/>
      <c r="Q223" s="240"/>
      <c r="R223" s="240"/>
      <c r="S223" s="240"/>
      <c r="T223" s="241"/>
      <c r="U223" s="241"/>
      <c r="V223" s="241"/>
      <c r="W223" s="241"/>
      <c r="X223" s="241"/>
      <c r="Y223" s="241"/>
      <c r="Z223" s="241"/>
    </row>
    <row r="224" spans="1:26" s="78" customFormat="1" ht="27" hidden="1" customHeight="1" x14ac:dyDescent="0.25">
      <c r="A224" s="80"/>
      <c r="B224" s="396" t="s">
        <v>59</v>
      </c>
      <c r="C224" s="397"/>
      <c r="D224" s="397"/>
      <c r="E224" s="397"/>
      <c r="F224" s="120"/>
      <c r="G224" s="97"/>
      <c r="H224" s="398" t="s">
        <v>816</v>
      </c>
      <c r="I224" s="398"/>
      <c r="J224" s="398"/>
      <c r="K224" s="398"/>
      <c r="L224" s="398"/>
      <c r="M224" s="376">
        <v>100</v>
      </c>
      <c r="N224" s="377"/>
      <c r="O224" s="421">
        <v>0</v>
      </c>
      <c r="P224" s="421"/>
      <c r="Q224" s="240"/>
      <c r="R224" s="240"/>
      <c r="S224" s="240"/>
      <c r="T224" s="241"/>
      <c r="U224" s="241"/>
      <c r="V224" s="241"/>
      <c r="W224" s="241"/>
      <c r="X224" s="241"/>
      <c r="Y224" s="241"/>
      <c r="Z224" s="241"/>
    </row>
    <row r="225" spans="1:26" hidden="1" x14ac:dyDescent="0.25"/>
    <row r="226" spans="1:26" s="10" customFormat="1" ht="36" hidden="1" customHeight="1" x14ac:dyDescent="0.3">
      <c r="B226" s="338" t="s">
        <v>826</v>
      </c>
      <c r="C226" s="338"/>
      <c r="D226" s="338"/>
      <c r="E226" s="338"/>
      <c r="F226" s="338"/>
      <c r="G226" s="338"/>
      <c r="H226" s="338"/>
      <c r="I226" s="338"/>
      <c r="J226" s="338"/>
      <c r="K226" s="338"/>
      <c r="L226" s="338"/>
      <c r="M226" s="338"/>
      <c r="N226" s="338"/>
      <c r="O226" s="338"/>
      <c r="P226" s="338"/>
    </row>
    <row r="227" spans="1:26" hidden="1" x14ac:dyDescent="0.25"/>
    <row r="228" spans="1:26" s="75" customFormat="1" ht="60" hidden="1" customHeight="1" x14ac:dyDescent="0.25">
      <c r="A228" s="74"/>
      <c r="B228" s="368"/>
      <c r="C228" s="368"/>
      <c r="D228" s="368"/>
      <c r="E228" s="378" t="s">
        <v>817</v>
      </c>
      <c r="F228" s="378"/>
      <c r="G228" s="378"/>
      <c r="H228" s="378"/>
      <c r="I228" s="378"/>
      <c r="J228" s="378"/>
      <c r="K228" s="378"/>
      <c r="L228" s="369" t="s">
        <v>31</v>
      </c>
      <c r="M228" s="369"/>
      <c r="N228" s="369"/>
      <c r="O228" s="379">
        <v>300</v>
      </c>
      <c r="P228" s="379"/>
      <c r="Q228" s="234"/>
      <c r="R228" s="235"/>
      <c r="S228" s="235"/>
      <c r="T228" s="236"/>
      <c r="U228" s="236"/>
      <c r="V228" s="236"/>
      <c r="W228" s="236"/>
      <c r="X228" s="236"/>
      <c r="Y228" s="236"/>
      <c r="Z228" s="236"/>
    </row>
    <row r="229" spans="1:26" s="77" customFormat="1" ht="27.6" hidden="1" customHeight="1" x14ac:dyDescent="0.25">
      <c r="A229" s="76"/>
      <c r="B229" s="370" t="s">
        <v>32</v>
      </c>
      <c r="C229" s="370"/>
      <c r="D229" s="121">
        <f>+'Datos contribuyente'!$I$6</f>
        <v>2025</v>
      </c>
      <c r="E229" s="100">
        <v>6</v>
      </c>
      <c r="F229" s="416" t="s">
        <v>33</v>
      </c>
      <c r="G229" s="417"/>
      <c r="H229" s="376">
        <v>6</v>
      </c>
      <c r="I229" s="377"/>
      <c r="J229" s="364" t="s">
        <v>34</v>
      </c>
      <c r="K229" s="364"/>
      <c r="L229" s="364"/>
      <c r="M229" s="364"/>
      <c r="N229" s="364"/>
      <c r="O229" s="364"/>
      <c r="P229" s="364"/>
      <c r="Q229" s="237"/>
      <c r="R229" s="238"/>
      <c r="S229" s="238"/>
      <c r="T229" s="239"/>
      <c r="U229" s="239"/>
      <c r="V229" s="239"/>
      <c r="W229" s="239"/>
      <c r="X229" s="239"/>
      <c r="Y229" s="239"/>
      <c r="Z229" s="239"/>
    </row>
    <row r="230" spans="1:26" s="77" customFormat="1" ht="27.6" hidden="1" customHeight="1" x14ac:dyDescent="0.25">
      <c r="A230" s="76"/>
      <c r="B230" s="363" t="s">
        <v>770</v>
      </c>
      <c r="C230" s="363"/>
      <c r="D230" s="364" t="s">
        <v>35</v>
      </c>
      <c r="E230" s="364"/>
      <c r="F230" s="410" t="s">
        <v>36</v>
      </c>
      <c r="G230" s="411"/>
      <c r="H230" s="411"/>
      <c r="I230" s="411"/>
      <c r="J230" s="411"/>
      <c r="K230" s="411"/>
      <c r="L230" s="411"/>
      <c r="M230" s="412"/>
      <c r="N230" s="364" t="s">
        <v>37</v>
      </c>
      <c r="O230" s="364"/>
      <c r="P230" s="364"/>
      <c r="Q230" s="237"/>
      <c r="R230" s="238"/>
      <c r="S230" s="238"/>
      <c r="T230" s="239"/>
      <c r="U230" s="239"/>
      <c r="V230" s="239"/>
      <c r="W230" s="239"/>
      <c r="X230" s="239"/>
      <c r="Y230" s="239"/>
      <c r="Z230" s="239"/>
    </row>
    <row r="231" spans="1:26" s="77" customFormat="1" ht="27.6" hidden="1" customHeight="1" x14ac:dyDescent="0.25">
      <c r="A231" s="99"/>
      <c r="B231" s="363"/>
      <c r="C231" s="363"/>
      <c r="D231" s="365">
        <f>+'Datos contribuyente'!$E$6</f>
        <v>0</v>
      </c>
      <c r="E231" s="366"/>
      <c r="F231" s="413" t="s">
        <v>38</v>
      </c>
      <c r="G231" s="414"/>
      <c r="H231" s="414"/>
      <c r="I231" s="414"/>
      <c r="J231" s="414"/>
      <c r="K231" s="414"/>
      <c r="L231" s="414"/>
      <c r="M231" s="415"/>
      <c r="N231" s="367"/>
      <c r="O231" s="367"/>
      <c r="P231" s="367"/>
      <c r="Q231" s="238"/>
      <c r="R231" s="238"/>
      <c r="S231" s="238"/>
      <c r="T231" s="239"/>
      <c r="U231" s="239"/>
      <c r="V231" s="239"/>
      <c r="W231" s="239"/>
      <c r="X231" s="239"/>
      <c r="Y231" s="239"/>
      <c r="Z231" s="239"/>
    </row>
    <row r="232" spans="1:26" s="77" customFormat="1" ht="27.6" hidden="1" customHeight="1" x14ac:dyDescent="0.25">
      <c r="A232" s="99"/>
      <c r="B232" s="363"/>
      <c r="C232" s="363"/>
      <c r="D232" s="371" t="s">
        <v>818</v>
      </c>
      <c r="E232" s="372"/>
      <c r="F232" s="373">
        <f>+'Datos contribuyente'!$B$6</f>
        <v>0</v>
      </c>
      <c r="G232" s="374"/>
      <c r="H232" s="374"/>
      <c r="I232" s="374"/>
      <c r="J232" s="374"/>
      <c r="K232" s="374"/>
      <c r="L232" s="374"/>
      <c r="M232" s="374"/>
      <c r="N232" s="374"/>
      <c r="O232" s="374"/>
      <c r="P232" s="375"/>
      <c r="Q232" s="238"/>
      <c r="R232" s="238"/>
      <c r="S232" s="238"/>
      <c r="T232" s="239"/>
      <c r="U232" s="239"/>
      <c r="V232" s="239"/>
      <c r="W232" s="239"/>
      <c r="X232" s="239"/>
      <c r="Y232" s="239"/>
      <c r="Z232" s="239"/>
    </row>
    <row r="233" spans="1:26" s="78" customFormat="1" ht="27" hidden="1" customHeight="1" x14ac:dyDescent="0.25">
      <c r="A233" s="80"/>
      <c r="B233" s="384" t="s">
        <v>771</v>
      </c>
      <c r="C233" s="385" t="s">
        <v>761</v>
      </c>
      <c r="D233" s="385"/>
      <c r="E233" s="385"/>
      <c r="F233" s="103">
        <v>27</v>
      </c>
      <c r="G233" s="104">
        <f>ROUND(+'Datos contribuyente'!AW30+'Datos contribuyente'!BA30,-3)</f>
        <v>0</v>
      </c>
      <c r="H233" s="390" t="s">
        <v>39</v>
      </c>
      <c r="I233" s="390" t="s">
        <v>40</v>
      </c>
      <c r="J233" s="380" t="s">
        <v>41</v>
      </c>
      <c r="K233" s="380"/>
      <c r="L233" s="380"/>
      <c r="M233" s="380"/>
      <c r="N233" s="116">
        <v>62</v>
      </c>
      <c r="O233" s="389">
        <f>ROUND(+'Datos contribuyente'!AY151+'Datos contribuyente'!BC151,-3)</f>
        <v>0</v>
      </c>
      <c r="P233" s="389"/>
      <c r="Q233" s="240"/>
      <c r="R233" s="240"/>
      <c r="S233" s="240"/>
      <c r="T233" s="241"/>
      <c r="U233" s="241"/>
      <c r="V233" s="241"/>
      <c r="W233" s="241"/>
      <c r="X233" s="241"/>
      <c r="Y233" s="241"/>
      <c r="Z233" s="241"/>
    </row>
    <row r="234" spans="1:26" s="78" customFormat="1" ht="27" hidden="1" customHeight="1" x14ac:dyDescent="0.25">
      <c r="A234" s="80"/>
      <c r="B234" s="384"/>
      <c r="C234" s="362" t="s">
        <v>762</v>
      </c>
      <c r="D234" s="362"/>
      <c r="E234" s="362"/>
      <c r="F234" s="105">
        <v>28</v>
      </c>
      <c r="G234" s="106">
        <f>ROUND(+'Datos contribuyente'!AW44+'Datos contribuyente'!BA44,-3)</f>
        <v>0</v>
      </c>
      <c r="H234" s="384"/>
      <c r="I234" s="384"/>
      <c r="J234" s="381" t="s">
        <v>42</v>
      </c>
      <c r="K234" s="381"/>
      <c r="L234" s="381"/>
      <c r="M234" s="381"/>
      <c r="N234" s="105">
        <v>63</v>
      </c>
      <c r="O234" s="386">
        <f>ROUND(+'Datos contribuyente'!AY165+'Datos contribuyente'!BC165,-3)</f>
        <v>0</v>
      </c>
      <c r="P234" s="386"/>
      <c r="Q234" s="240"/>
      <c r="R234" s="240"/>
      <c r="S234" s="240"/>
      <c r="T234" s="241"/>
      <c r="U234" s="241"/>
      <c r="V234" s="241"/>
      <c r="W234" s="241"/>
      <c r="X234" s="241"/>
      <c r="Y234" s="241"/>
      <c r="Z234" s="241"/>
    </row>
    <row r="235" spans="1:26" s="78" customFormat="1" ht="27" hidden="1" customHeight="1" x14ac:dyDescent="0.25">
      <c r="A235" s="80"/>
      <c r="B235" s="384"/>
      <c r="C235" s="385" t="s">
        <v>763</v>
      </c>
      <c r="D235" s="385"/>
      <c r="E235" s="385"/>
      <c r="F235" s="103">
        <v>29</v>
      </c>
      <c r="G235" s="104">
        <f>ROUND(+'Datos contribuyente'!AW58+'Datos contribuyente'!BA58,-3)</f>
        <v>0</v>
      </c>
      <c r="H235" s="384"/>
      <c r="I235" s="384"/>
      <c r="J235" s="382" t="s">
        <v>43</v>
      </c>
      <c r="K235" s="382"/>
      <c r="L235" s="382"/>
      <c r="M235" s="382"/>
      <c r="N235" s="103">
        <v>64</v>
      </c>
      <c r="O235" s="387">
        <f>ROUND(+'Datos contribuyente'!AY179+'Datos contribuyente'!BC179,-3)</f>
        <v>0</v>
      </c>
      <c r="P235" s="387"/>
      <c r="Q235" s="240"/>
      <c r="R235" s="240"/>
      <c r="S235" s="240"/>
      <c r="T235" s="241"/>
      <c r="U235" s="241"/>
      <c r="V235" s="241"/>
      <c r="W235" s="241"/>
      <c r="X235" s="241"/>
      <c r="Y235" s="241"/>
      <c r="Z235" s="241"/>
    </row>
    <row r="236" spans="1:26" s="78" customFormat="1" ht="27" hidden="1" customHeight="1" x14ac:dyDescent="0.25">
      <c r="A236" s="80"/>
      <c r="B236" s="384"/>
      <c r="C236" s="362" t="s">
        <v>766</v>
      </c>
      <c r="D236" s="362"/>
      <c r="E236" s="362"/>
      <c r="F236" s="105">
        <v>30</v>
      </c>
      <c r="G236" s="106">
        <f>ROUND(+'Datos contribuyente'!AW71+'Datos contribuyente'!BA71,-3)</f>
        <v>0</v>
      </c>
      <c r="H236" s="384"/>
      <c r="I236" s="384"/>
      <c r="J236" s="381" t="s">
        <v>798</v>
      </c>
      <c r="K236" s="381"/>
      <c r="L236" s="381"/>
      <c r="M236" s="381"/>
      <c r="N236" s="105">
        <v>65</v>
      </c>
      <c r="O236" s="386">
        <f>ROUND(+'Datos contribuyente'!AY402+'Datos contribuyente'!BC402,-3)</f>
        <v>0</v>
      </c>
      <c r="P236" s="386">
        <v>0</v>
      </c>
      <c r="Q236" s="240"/>
      <c r="R236" s="240"/>
      <c r="S236" s="240"/>
      <c r="T236" s="241"/>
      <c r="U236" s="241"/>
      <c r="V236" s="241"/>
      <c r="W236" s="241"/>
      <c r="X236" s="241"/>
      <c r="Y236" s="241"/>
      <c r="Z236" s="241"/>
    </row>
    <row r="237" spans="1:26" s="78" customFormat="1" ht="27" hidden="1" customHeight="1" x14ac:dyDescent="0.25">
      <c r="A237" s="80"/>
      <c r="B237" s="384"/>
      <c r="C237" s="385" t="s">
        <v>767</v>
      </c>
      <c r="D237" s="385"/>
      <c r="E237" s="385"/>
      <c r="F237" s="103">
        <v>31</v>
      </c>
      <c r="G237" s="104">
        <f>ROUND(+'Datos contribuyente'!AW84+'Datos contribuyente'!BA84,-3)</f>
        <v>0</v>
      </c>
      <c r="H237" s="384"/>
      <c r="I237" s="384"/>
      <c r="J237" s="382" t="s">
        <v>764</v>
      </c>
      <c r="K237" s="382"/>
      <c r="L237" s="382"/>
      <c r="M237" s="382"/>
      <c r="N237" s="103">
        <v>66</v>
      </c>
      <c r="O237" s="387">
        <f>ROUND(IF('Datos contribuyente'!D680="No",+'Datos contribuyente'!AY386+'Datos contribuyente'!BC386,+'Datos contribuyente'!AY386+'Datos contribuyente'!BC386-'Datos contribuyente'!G707),-3)</f>
        <v>0</v>
      </c>
      <c r="P237" s="387"/>
      <c r="Q237" s="240"/>
      <c r="R237" s="240"/>
      <c r="S237" s="240"/>
      <c r="T237" s="241"/>
      <c r="U237" s="241"/>
      <c r="V237" s="241"/>
      <c r="W237" s="241"/>
      <c r="X237" s="241"/>
      <c r="Y237" s="241"/>
      <c r="Z237" s="241"/>
    </row>
    <row r="238" spans="1:26" s="78" customFormat="1" ht="27" hidden="1" customHeight="1" x14ac:dyDescent="0.25">
      <c r="A238" s="80"/>
      <c r="B238" s="384"/>
      <c r="C238" s="362" t="s">
        <v>768</v>
      </c>
      <c r="D238" s="362"/>
      <c r="E238" s="362"/>
      <c r="F238" s="105">
        <v>32</v>
      </c>
      <c r="G238" s="106">
        <f>ROUND(+'Datos contribuyente'!AW97+'Datos contribuyente'!BA97,-3)</f>
        <v>0</v>
      </c>
      <c r="H238" s="384"/>
      <c r="I238" s="391"/>
      <c r="J238" s="383" t="s">
        <v>799</v>
      </c>
      <c r="K238" s="383"/>
      <c r="L238" s="383"/>
      <c r="M238" s="383"/>
      <c r="N238" s="117">
        <v>67</v>
      </c>
      <c r="O238" s="388">
        <f>ROUND(+SUM(G264:G267,O233:P237),-3)</f>
        <v>0</v>
      </c>
      <c r="P238" s="388"/>
      <c r="Q238" s="240"/>
      <c r="R238" s="240"/>
      <c r="S238" s="240"/>
      <c r="T238" s="241"/>
      <c r="U238" s="241"/>
      <c r="V238" s="241"/>
      <c r="W238" s="241"/>
      <c r="X238" s="241"/>
      <c r="Y238" s="241"/>
      <c r="Z238" s="241"/>
    </row>
    <row r="239" spans="1:26" s="78" customFormat="1" ht="27" hidden="1" customHeight="1" x14ac:dyDescent="0.25">
      <c r="A239" s="80"/>
      <c r="B239" s="384"/>
      <c r="C239" s="385" t="s">
        <v>769</v>
      </c>
      <c r="D239" s="385"/>
      <c r="E239" s="385"/>
      <c r="F239" s="103">
        <v>33</v>
      </c>
      <c r="G239" s="104">
        <f>ROUND(+'Datos contribuyente'!AW110+'Datos contribuyente'!BA110,-3)</f>
        <v>0</v>
      </c>
      <c r="H239" s="384"/>
      <c r="I239" s="390" t="s">
        <v>44</v>
      </c>
      <c r="J239" s="380" t="s">
        <v>800</v>
      </c>
      <c r="K239" s="380"/>
      <c r="L239" s="380"/>
      <c r="M239" s="380"/>
      <c r="N239" s="116">
        <v>68</v>
      </c>
      <c r="O239" s="389">
        <f>ROUND(IF('Datos contribuyente'!D680="No",+'Datos contribuyente'!AY235+'Datos contribuyente'!BC235,+'Datos contribuyente'!AY235+'Datos contribuyente'!BC235-'Datos contribuyente'!G708),-3)</f>
        <v>0</v>
      </c>
      <c r="P239" s="389">
        <f>+IF(P236-P237-P238&gt;0,P236-P237-P238,0)</f>
        <v>0</v>
      </c>
      <c r="Q239" s="240"/>
      <c r="R239" s="240"/>
      <c r="S239" s="240"/>
      <c r="T239" s="241"/>
      <c r="U239" s="241"/>
      <c r="V239" s="241"/>
      <c r="W239" s="241"/>
      <c r="X239" s="241"/>
      <c r="Y239" s="241"/>
      <c r="Z239" s="241"/>
    </row>
    <row r="240" spans="1:26" s="78" customFormat="1" ht="27" hidden="1" customHeight="1" x14ac:dyDescent="0.25">
      <c r="A240" s="80"/>
      <c r="B240" s="384"/>
      <c r="C240" s="362" t="s">
        <v>772</v>
      </c>
      <c r="D240" s="362"/>
      <c r="E240" s="362"/>
      <c r="F240" s="105">
        <v>34</v>
      </c>
      <c r="G240" s="106">
        <f>ROUND(+'Datos contribuyente'!AW124+'Datos contribuyente'!BA124,-3)</f>
        <v>0</v>
      </c>
      <c r="H240" s="384"/>
      <c r="I240" s="384"/>
      <c r="J240" s="381" t="s">
        <v>801</v>
      </c>
      <c r="K240" s="381"/>
      <c r="L240" s="381"/>
      <c r="M240" s="381"/>
      <c r="N240" s="105">
        <v>69</v>
      </c>
      <c r="O240" s="386">
        <f>ROUND(IF('Datos contribuyente'!D680="No",+'Datos contribuyente'!AY249+'Datos contribuyente'!BC249,+'Datos contribuyente'!AY249+'Datos contribuyente'!BC249-'Datos contribuyente'!G709),-3)</f>
        <v>0</v>
      </c>
      <c r="P240" s="386"/>
      <c r="Q240" s="240"/>
      <c r="R240" s="240"/>
      <c r="S240" s="240"/>
      <c r="T240" s="241"/>
      <c r="U240" s="241"/>
      <c r="V240" s="241"/>
      <c r="W240" s="241"/>
      <c r="X240" s="241"/>
      <c r="Y240" s="241"/>
      <c r="Z240" s="241"/>
    </row>
    <row r="241" spans="1:26" s="78" customFormat="1" ht="27" hidden="1" customHeight="1" x14ac:dyDescent="0.25">
      <c r="A241" s="80"/>
      <c r="B241" s="384"/>
      <c r="C241" s="385" t="s">
        <v>773</v>
      </c>
      <c r="D241" s="385"/>
      <c r="E241" s="385"/>
      <c r="F241" s="103">
        <v>35</v>
      </c>
      <c r="G241" s="104">
        <f>ROUND(+'Datos contribuyente'!AW137+'Datos contribuyente'!BA137,-3)</f>
        <v>0</v>
      </c>
      <c r="H241" s="384"/>
      <c r="I241" s="384"/>
      <c r="J241" s="382" t="s">
        <v>783</v>
      </c>
      <c r="K241" s="382"/>
      <c r="L241" s="382"/>
      <c r="M241" s="382"/>
      <c r="N241" s="103">
        <v>70</v>
      </c>
      <c r="O241" s="387">
        <f>ROUND(IF('Datos contribuyente'!D680="No",+'Datos contribuyente'!AY263+'Datos contribuyente'!BC263,+'Datos contribuyente'!AY263+'Datos contribuyente'!BC263-'Datos contribuyente'!G710),-3)</f>
        <v>0</v>
      </c>
      <c r="P241" s="387"/>
      <c r="Q241" s="240"/>
      <c r="R241" s="240"/>
      <c r="S241" s="240"/>
      <c r="T241" s="241"/>
      <c r="U241" s="241"/>
      <c r="V241" s="241"/>
      <c r="W241" s="241"/>
      <c r="X241" s="241"/>
      <c r="Y241" s="241"/>
      <c r="Z241" s="241"/>
    </row>
    <row r="242" spans="1:26" s="78" customFormat="1" ht="27" hidden="1" customHeight="1" x14ac:dyDescent="0.25">
      <c r="A242" s="80"/>
      <c r="B242" s="384"/>
      <c r="C242" s="362" t="s">
        <v>821</v>
      </c>
      <c r="D242" s="362"/>
      <c r="E242" s="362"/>
      <c r="F242" s="105">
        <v>36</v>
      </c>
      <c r="G242" s="106">
        <f>ROUND(+'Datos contribuyente'!AW151+'Datos contribuyente'!BA151,-3)</f>
        <v>0</v>
      </c>
      <c r="H242" s="384"/>
      <c r="I242" s="384"/>
      <c r="J242" s="381" t="s">
        <v>802</v>
      </c>
      <c r="K242" s="381"/>
      <c r="L242" s="381"/>
      <c r="M242" s="381"/>
      <c r="N242" s="105">
        <v>71</v>
      </c>
      <c r="O242" s="386">
        <f>ROUND(IF('Datos contribuyente'!D680="No",+'Datos contribuyente'!AY317+'Datos contribuyente'!BC317,+'Datos contribuyente'!AY317+'Datos contribuyente'!BC317-'Datos contribuyente'!G711),-3)</f>
        <v>0</v>
      </c>
      <c r="P242" s="386"/>
      <c r="Q242" s="240"/>
      <c r="R242" s="240"/>
      <c r="S242" s="240"/>
      <c r="T242" s="241"/>
      <c r="U242" s="241"/>
      <c r="V242" s="241"/>
      <c r="W242" s="241"/>
      <c r="X242" s="241"/>
      <c r="Y242" s="241"/>
      <c r="Z242" s="241"/>
    </row>
    <row r="243" spans="1:26" s="78" customFormat="1" ht="27" hidden="1" customHeight="1" x14ac:dyDescent="0.25">
      <c r="A243" s="80"/>
      <c r="B243" s="384"/>
      <c r="C243" s="385" t="s">
        <v>774</v>
      </c>
      <c r="D243" s="385"/>
      <c r="E243" s="385"/>
      <c r="F243" s="103">
        <v>37</v>
      </c>
      <c r="G243" s="104">
        <f>ROUND(+'Datos contribuyente'!AW165+'Datos contribuyente'!BA165,-3)</f>
        <v>0</v>
      </c>
      <c r="H243" s="384"/>
      <c r="I243" s="384"/>
      <c r="J243" s="382" t="s">
        <v>803</v>
      </c>
      <c r="K243" s="382"/>
      <c r="L243" s="382"/>
      <c r="M243" s="382"/>
      <c r="N243" s="103">
        <v>72</v>
      </c>
      <c r="O243" s="387">
        <f>ROUND(IF('Datos contribuyente'!D680="No",+'Datos contribuyente'!AY331+'Datos contribuyente'!BC331,+'Datos contribuyente'!AY331+'Datos contribuyente'!BC331-'Datos contribuyente'!G712),-3)</f>
        <v>0</v>
      </c>
      <c r="P243" s="387"/>
      <c r="Q243" s="240"/>
      <c r="R243" s="240"/>
      <c r="S243" s="240"/>
      <c r="T243" s="241"/>
      <c r="U243" s="241"/>
      <c r="V243" s="241"/>
      <c r="W243" s="241"/>
      <c r="X243" s="241"/>
      <c r="Y243" s="241"/>
      <c r="Z243" s="241"/>
    </row>
    <row r="244" spans="1:26" s="78" customFormat="1" ht="27" hidden="1" customHeight="1" x14ac:dyDescent="0.25">
      <c r="A244" s="80"/>
      <c r="B244" s="384"/>
      <c r="C244" s="362" t="s">
        <v>775</v>
      </c>
      <c r="D244" s="362"/>
      <c r="E244" s="362"/>
      <c r="F244" s="105">
        <v>38</v>
      </c>
      <c r="G244" s="106">
        <f>ROUND(+'Datos contribuyente'!AW179+'Datos contribuyente'!BA179,-3)</f>
        <v>0</v>
      </c>
      <c r="H244" s="384"/>
      <c r="I244" s="384"/>
      <c r="J244" s="381" t="s">
        <v>45</v>
      </c>
      <c r="K244" s="381"/>
      <c r="L244" s="381"/>
      <c r="M244" s="381"/>
      <c r="N244" s="105">
        <v>73</v>
      </c>
      <c r="O244" s="386">
        <f>ROUND(IF('Datos contribuyente'!D680="No",+'Datos contribuyente'!AY416+'Datos contribuyente'!BC416,+'Datos contribuyente'!AY416+'Datos contribuyente'!BC416-'Datos contribuyente'!G713),-3)</f>
        <v>0</v>
      </c>
      <c r="P244" s="386"/>
      <c r="Q244" s="240"/>
      <c r="R244" s="240"/>
      <c r="S244" s="240"/>
      <c r="T244" s="241"/>
      <c r="U244" s="241"/>
      <c r="V244" s="241"/>
      <c r="W244" s="241"/>
      <c r="X244" s="241"/>
      <c r="Y244" s="241"/>
      <c r="Z244" s="241"/>
    </row>
    <row r="245" spans="1:26" s="78" customFormat="1" ht="27" hidden="1" customHeight="1" x14ac:dyDescent="0.25">
      <c r="A245" s="80"/>
      <c r="B245" s="384"/>
      <c r="C245" s="385" t="s">
        <v>776</v>
      </c>
      <c r="D245" s="385"/>
      <c r="E245" s="385"/>
      <c r="F245" s="103">
        <v>39</v>
      </c>
      <c r="G245" s="104">
        <f>ROUND(+'Datos contribuyente'!AW192+'Datos contribuyente'!BA192,-3)</f>
        <v>0</v>
      </c>
      <c r="H245" s="384"/>
      <c r="I245" s="384"/>
      <c r="J245" s="382" t="s">
        <v>804</v>
      </c>
      <c r="K245" s="382"/>
      <c r="L245" s="382"/>
      <c r="M245" s="382"/>
      <c r="N245" s="103">
        <v>74</v>
      </c>
      <c r="O245" s="387">
        <f ca="1">ROUND(IF('Datos contribuyente'!D680="No",+SUMIF('Datos contribuyente'!AX296:AY302,5%,'Datos contribuyente'!AY296:AY302)+SUMIF('Datos contribuyente'!BB296:BC302,5%,'Datos contribuyente'!BC296:BC302)+'Datos contribuyente'!AY345+'Datos contribuyente'!BC345,+SUMIF('Datos contribuyente'!AX296:AY302,5%,'Datos contribuyente'!AY296:AY302)+SUMIF('Datos contribuyente'!BB296:BC302,5%,'Datos contribuyente'!BC296:BC302)+'Datos contribuyente'!AY345+'Datos contribuyente'!BC345-'Datos contribuyente'!G714),-3)</f>
        <v>0</v>
      </c>
      <c r="P245" s="387"/>
      <c r="Q245" s="240"/>
      <c r="R245" s="240"/>
      <c r="S245" s="240"/>
      <c r="T245" s="241"/>
      <c r="U245" s="241"/>
      <c r="V245" s="241"/>
      <c r="W245" s="241"/>
      <c r="X245" s="241"/>
      <c r="Y245" s="241"/>
      <c r="Z245" s="241"/>
    </row>
    <row r="246" spans="1:26" s="78" customFormat="1" ht="27" hidden="1" customHeight="1" x14ac:dyDescent="0.25">
      <c r="A246" s="80"/>
      <c r="B246" s="384"/>
      <c r="C246" s="362" t="s">
        <v>777</v>
      </c>
      <c r="D246" s="362"/>
      <c r="E246" s="362"/>
      <c r="F246" s="105">
        <v>40</v>
      </c>
      <c r="G246" s="106">
        <f>ROUND(+'Datos contribuyente'!AW205+'Datos contribuyente'!BA205,-3)</f>
        <v>0</v>
      </c>
      <c r="H246" s="384"/>
      <c r="I246" s="384"/>
      <c r="J246" s="381" t="s">
        <v>805</v>
      </c>
      <c r="K246" s="381"/>
      <c r="L246" s="381"/>
      <c r="M246" s="381"/>
      <c r="N246" s="105">
        <v>75</v>
      </c>
      <c r="O246" s="386">
        <f ca="1">ROUND(IF('Datos contribuyente'!D680="No",+SUMIF('Datos contribuyente'!AX296:AY302,19%,'Datos contribuyente'!AY296:AY302)+SUMIF('Datos contribuyente'!BB296:BC302,19%,'Datos contribuyente'!BC296:BC302)+'Datos contribuyente'!AY359+'Datos contribuyente'!BC359,+SUMIF('Datos contribuyente'!AX296:AY302,19%,'Datos contribuyente'!AY296:AY302)+SUMIF('Datos contribuyente'!BB296:BC302,19%,'Datos contribuyente'!BC296:BC302)+'Datos contribuyente'!AY359+'Datos contribuyente'!BC359-'Datos contribuyente'!G715),-3)</f>
        <v>0</v>
      </c>
      <c r="P246" s="386"/>
      <c r="Q246" s="240"/>
      <c r="R246" s="240"/>
      <c r="S246" s="240"/>
      <c r="T246" s="241"/>
      <c r="U246" s="241"/>
      <c r="V246" s="241"/>
      <c r="W246" s="241"/>
      <c r="X246" s="241"/>
      <c r="Y246" s="241"/>
      <c r="Z246" s="241"/>
    </row>
    <row r="247" spans="1:26" s="78" customFormat="1" ht="27" hidden="1" customHeight="1" x14ac:dyDescent="0.25">
      <c r="A247" s="80"/>
      <c r="B247" s="384"/>
      <c r="C247" s="395" t="s">
        <v>779</v>
      </c>
      <c r="D247" s="395"/>
      <c r="E247" s="395"/>
      <c r="F247" s="107">
        <v>41</v>
      </c>
      <c r="G247" s="108">
        <f>ROUND(+SUM(G233:G246),-3)</f>
        <v>0</v>
      </c>
      <c r="H247" s="384"/>
      <c r="I247" s="384"/>
      <c r="J247" s="382" t="s">
        <v>806</v>
      </c>
      <c r="K247" s="382"/>
      <c r="L247" s="382"/>
      <c r="M247" s="382"/>
      <c r="N247" s="103">
        <v>76</v>
      </c>
      <c r="O247" s="387">
        <f>ROUND(+'Datos contribuyente'!AY430+'Datos contribuyente'!BC430,-3)</f>
        <v>0</v>
      </c>
      <c r="P247" s="387"/>
      <c r="Q247" s="240"/>
      <c r="R247" s="240"/>
      <c r="S247" s="240"/>
      <c r="T247" s="241"/>
      <c r="U247" s="241"/>
      <c r="V247" s="241"/>
      <c r="W247" s="241"/>
      <c r="X247" s="241"/>
      <c r="Y247" s="241"/>
      <c r="Z247" s="241"/>
    </row>
    <row r="248" spans="1:26" s="78" customFormat="1" ht="27" hidden="1" customHeight="1" x14ac:dyDescent="0.25">
      <c r="A248" s="80"/>
      <c r="B248" s="384"/>
      <c r="C248" s="362" t="s">
        <v>778</v>
      </c>
      <c r="D248" s="362"/>
      <c r="E248" s="362"/>
      <c r="F248" s="105">
        <v>42</v>
      </c>
      <c r="G248" s="106">
        <f>ROUND(+'Datos contribuyente'!AW219+'Datos contribuyente'!BA219,-3)</f>
        <v>0</v>
      </c>
      <c r="H248" s="384"/>
      <c r="I248" s="384"/>
      <c r="J248" s="383" t="s">
        <v>807</v>
      </c>
      <c r="K248" s="383"/>
      <c r="L248" s="383"/>
      <c r="M248" s="383"/>
      <c r="N248" s="117">
        <v>77</v>
      </c>
      <c r="O248" s="388">
        <f ca="1">ROUND(+SUM(O239:P247),-3)</f>
        <v>0</v>
      </c>
      <c r="P248" s="388"/>
      <c r="Q248" s="240"/>
      <c r="R248" s="240"/>
      <c r="S248" s="240"/>
      <c r="T248" s="241"/>
      <c r="U248" s="241"/>
      <c r="V248" s="241"/>
      <c r="W248" s="241"/>
      <c r="X248" s="241"/>
      <c r="Y248" s="241"/>
      <c r="Z248" s="241"/>
    </row>
    <row r="249" spans="1:26" s="78" customFormat="1" ht="27" hidden="1" customHeight="1" x14ac:dyDescent="0.25">
      <c r="A249" s="80"/>
      <c r="B249" s="384"/>
      <c r="C249" s="418" t="s">
        <v>780</v>
      </c>
      <c r="D249" s="418"/>
      <c r="E249" s="418"/>
      <c r="F249" s="110">
        <v>43</v>
      </c>
      <c r="G249" s="111">
        <f>ROUND(+G247-G248,-3)</f>
        <v>0</v>
      </c>
      <c r="H249" s="384"/>
      <c r="I249" s="384"/>
      <c r="J249" s="382" t="s">
        <v>46</v>
      </c>
      <c r="K249" s="382"/>
      <c r="L249" s="382"/>
      <c r="M249" s="382"/>
      <c r="N249" s="103">
        <v>78</v>
      </c>
      <c r="O249" s="387">
        <f>ROUND(+'Datos contribuyente'!AY444+'Datos contribuyente'!BC444,-3)</f>
        <v>0</v>
      </c>
      <c r="P249" s="387"/>
      <c r="Q249" s="240"/>
      <c r="R249" s="240"/>
      <c r="S249" s="240"/>
      <c r="T249" s="241"/>
      <c r="U249" s="241"/>
      <c r="V249" s="241"/>
      <c r="W249" s="241"/>
      <c r="X249" s="241"/>
      <c r="Y249" s="241"/>
      <c r="Z249" s="241"/>
    </row>
    <row r="250" spans="1:26" s="78" customFormat="1" ht="27" hidden="1" customHeight="1" x14ac:dyDescent="0.25">
      <c r="A250" s="80"/>
      <c r="B250" s="384" t="s">
        <v>793</v>
      </c>
      <c r="C250" s="390" t="s">
        <v>47</v>
      </c>
      <c r="D250" s="362" t="s">
        <v>781</v>
      </c>
      <c r="E250" s="362"/>
      <c r="F250" s="105">
        <v>44</v>
      </c>
      <c r="G250" s="106">
        <f>ROUND(+'Datos contribuyente'!AW235+'Datos contribuyente'!BA235,-3)</f>
        <v>0</v>
      </c>
      <c r="H250" s="384"/>
      <c r="I250" s="384"/>
      <c r="J250" s="381" t="s">
        <v>808</v>
      </c>
      <c r="K250" s="381"/>
      <c r="L250" s="381"/>
      <c r="M250" s="381"/>
      <c r="N250" s="105">
        <v>79</v>
      </c>
      <c r="O250" s="386">
        <f>ROUND(+'Datos contribuyente'!AY219+'Datos contribuyente'!BC219,-3)</f>
        <v>0</v>
      </c>
      <c r="P250" s="386"/>
      <c r="Q250" s="240"/>
      <c r="R250" s="240"/>
      <c r="S250" s="240"/>
      <c r="T250" s="241"/>
      <c r="U250" s="241"/>
      <c r="V250" s="241"/>
      <c r="W250" s="241"/>
      <c r="X250" s="241"/>
      <c r="Y250" s="241"/>
      <c r="Z250" s="241"/>
    </row>
    <row r="251" spans="1:26" s="78" customFormat="1" ht="27" hidden="1" customHeight="1" x14ac:dyDescent="0.25">
      <c r="A251" s="80"/>
      <c r="B251" s="384"/>
      <c r="C251" s="384"/>
      <c r="D251" s="385" t="s">
        <v>782</v>
      </c>
      <c r="E251" s="385"/>
      <c r="F251" s="103">
        <v>45</v>
      </c>
      <c r="G251" s="104">
        <f>ROUND(+'Datos contribuyente'!AW249+'Datos contribuyente'!BA249,-3)</f>
        <v>0</v>
      </c>
      <c r="H251" s="384"/>
      <c r="I251" s="384"/>
      <c r="J251" s="382" t="s">
        <v>48</v>
      </c>
      <c r="K251" s="382"/>
      <c r="L251" s="382"/>
      <c r="M251" s="382"/>
      <c r="N251" s="103">
        <v>80</v>
      </c>
      <c r="O251" s="387">
        <f>ROUND(+'Datos contribuyente'!AY458+'Datos contribuyente'!BC458,-3)</f>
        <v>0</v>
      </c>
      <c r="P251" s="387"/>
      <c r="Q251" s="240"/>
      <c r="R251" s="240"/>
      <c r="S251" s="240"/>
      <c r="T251" s="241"/>
      <c r="U251" s="241"/>
      <c r="V251" s="241"/>
      <c r="W251" s="241"/>
      <c r="X251" s="241"/>
      <c r="Y251" s="241"/>
      <c r="Z251" s="241"/>
    </row>
    <row r="252" spans="1:26" s="78" customFormat="1" ht="27" hidden="1" customHeight="1" x14ac:dyDescent="0.25">
      <c r="A252" s="80"/>
      <c r="B252" s="384"/>
      <c r="C252" s="384"/>
      <c r="D252" s="362" t="s">
        <v>783</v>
      </c>
      <c r="E252" s="362"/>
      <c r="F252" s="105">
        <v>46</v>
      </c>
      <c r="G252" s="106">
        <f>ROUND(+'Datos contribuyente'!AW263+'Datos contribuyente'!BA263,-3)</f>
        <v>0</v>
      </c>
      <c r="H252" s="384"/>
      <c r="I252" s="391"/>
      <c r="J252" s="383" t="s">
        <v>809</v>
      </c>
      <c r="K252" s="383"/>
      <c r="L252" s="383"/>
      <c r="M252" s="383"/>
      <c r="N252" s="117">
        <v>81</v>
      </c>
      <c r="O252" s="388">
        <f ca="1">ROUND(+O248+O249+O250-O251,-3)</f>
        <v>0</v>
      </c>
      <c r="P252" s="388"/>
      <c r="Q252" s="240"/>
      <c r="R252" s="240"/>
      <c r="S252" s="240"/>
      <c r="T252" s="241"/>
      <c r="U252" s="241"/>
      <c r="V252" s="241"/>
      <c r="W252" s="241"/>
      <c r="X252" s="241"/>
      <c r="Y252" s="241"/>
      <c r="Z252" s="241"/>
    </row>
    <row r="253" spans="1:26" s="78" customFormat="1" ht="27" hidden="1" customHeight="1" x14ac:dyDescent="0.25">
      <c r="A253" s="80"/>
      <c r="B253" s="384"/>
      <c r="C253" s="384"/>
      <c r="D253" s="385" t="s">
        <v>784</v>
      </c>
      <c r="E253" s="385"/>
      <c r="F253" s="103">
        <v>47</v>
      </c>
      <c r="G253" s="104">
        <f>ROUND(+'Datos contribuyente'!AW276+'Datos contribuyente'!BA276,-3)</f>
        <v>0</v>
      </c>
      <c r="H253" s="384"/>
      <c r="I253" s="393" t="s">
        <v>810</v>
      </c>
      <c r="J253" s="393"/>
      <c r="K253" s="393"/>
      <c r="L253" s="393"/>
      <c r="M253" s="393"/>
      <c r="N253" s="107">
        <v>82</v>
      </c>
      <c r="O253" s="392">
        <f ca="1">ROUND(+IF(O238-O252&gt;0,O238-O252,0),-3)</f>
        <v>0</v>
      </c>
      <c r="P253" s="392"/>
      <c r="Q253" s="240"/>
      <c r="R253" s="240"/>
      <c r="S253" s="240"/>
      <c r="T253" s="241"/>
      <c r="U253" s="241"/>
      <c r="V253" s="241"/>
      <c r="W253" s="241"/>
      <c r="X253" s="241"/>
      <c r="Y253" s="241"/>
      <c r="Z253" s="241"/>
    </row>
    <row r="254" spans="1:26" s="78" customFormat="1" ht="27" hidden="1" customHeight="1" x14ac:dyDescent="0.25">
      <c r="A254" s="80"/>
      <c r="B254" s="384"/>
      <c r="C254" s="384"/>
      <c r="D254" s="362" t="s">
        <v>785</v>
      </c>
      <c r="E254" s="362"/>
      <c r="F254" s="105">
        <v>48</v>
      </c>
      <c r="G254" s="106">
        <f>ROUND(+'Datos contribuyente'!AW289+'Datos contribuyente'!BA289,-3)</f>
        <v>0</v>
      </c>
      <c r="H254" s="384"/>
      <c r="I254" s="394" t="s">
        <v>811</v>
      </c>
      <c r="J254" s="394"/>
      <c r="K254" s="394"/>
      <c r="L254" s="394"/>
      <c r="M254" s="394"/>
      <c r="N254" s="102">
        <v>83</v>
      </c>
      <c r="O254" s="419">
        <f ca="1">ROUND(+IF(O252-O238&gt;0,O252-O238,0),-3)</f>
        <v>0</v>
      </c>
      <c r="P254" s="419"/>
      <c r="Q254" s="240"/>
      <c r="R254" s="240"/>
      <c r="S254" s="240"/>
      <c r="T254" s="241"/>
      <c r="U254" s="241"/>
      <c r="V254" s="241"/>
      <c r="W254" s="241"/>
      <c r="X254" s="241"/>
      <c r="Y254" s="241"/>
      <c r="Z254" s="241"/>
    </row>
    <row r="255" spans="1:26" s="78" customFormat="1" ht="27" hidden="1" customHeight="1" x14ac:dyDescent="0.25">
      <c r="A255" s="80"/>
      <c r="B255" s="384"/>
      <c r="C255" s="391"/>
      <c r="D255" s="418" t="s">
        <v>786</v>
      </c>
      <c r="E255" s="418"/>
      <c r="F255" s="112">
        <v>49</v>
      </c>
      <c r="G255" s="113">
        <f>ROUND(+'Datos contribuyente'!AW303+'Datos contribuyente'!BA303,-3)</f>
        <v>0</v>
      </c>
      <c r="H255" s="384"/>
      <c r="I255" s="382" t="s">
        <v>49</v>
      </c>
      <c r="J255" s="382"/>
      <c r="K255" s="382"/>
      <c r="L255" s="382"/>
      <c r="M255" s="382"/>
      <c r="N255" s="103">
        <v>84</v>
      </c>
      <c r="O255" s="387">
        <f ca="1">ROUND(+IF('Datos contribuyente'!E967="No",'Datos contribuyente'!O956,0),-3)</f>
        <v>0</v>
      </c>
      <c r="P255" s="387"/>
      <c r="Q255" s="240"/>
      <c r="R255" s="240"/>
      <c r="S255" s="240"/>
      <c r="T255" s="241"/>
      <c r="U255" s="241"/>
      <c r="V255" s="241"/>
      <c r="W255" s="241"/>
      <c r="X255" s="241"/>
      <c r="Y255" s="241"/>
      <c r="Z255" s="241"/>
    </row>
    <row r="256" spans="1:26" s="78" customFormat="1" ht="27" hidden="1" customHeight="1" x14ac:dyDescent="0.25">
      <c r="A256" s="79"/>
      <c r="B256" s="384"/>
      <c r="C256" s="390" t="s">
        <v>50</v>
      </c>
      <c r="D256" s="362" t="s">
        <v>781</v>
      </c>
      <c r="E256" s="362"/>
      <c r="F256" s="105">
        <v>50</v>
      </c>
      <c r="G256" s="106">
        <f>ROUND(+'Datos contribuyente'!AW317+'Datos contribuyente'!BA317,-3)</f>
        <v>0</v>
      </c>
      <c r="H256" s="384"/>
      <c r="I256" s="381" t="s">
        <v>51</v>
      </c>
      <c r="J256" s="381"/>
      <c r="K256" s="381"/>
      <c r="L256" s="381"/>
      <c r="M256" s="381"/>
      <c r="N256" s="105">
        <v>85</v>
      </c>
      <c r="O256" s="386">
        <f>ROUND(+'Datos contribuyente'!AY472+'Datos contribuyente'!BC472,-3)</f>
        <v>0</v>
      </c>
      <c r="P256" s="386"/>
      <c r="Q256" s="243"/>
      <c r="R256" s="240"/>
      <c r="S256" s="240"/>
      <c r="T256" s="241"/>
      <c r="U256" s="241"/>
      <c r="V256" s="241"/>
      <c r="W256" s="241"/>
      <c r="X256" s="241"/>
      <c r="Y256" s="241"/>
      <c r="Z256" s="241"/>
    </row>
    <row r="257" spans="1:26" s="78" customFormat="1" ht="27" hidden="1" customHeight="1" x14ac:dyDescent="0.25">
      <c r="A257" s="79"/>
      <c r="B257" s="384"/>
      <c r="C257" s="384"/>
      <c r="D257" s="385" t="s">
        <v>782</v>
      </c>
      <c r="E257" s="385"/>
      <c r="F257" s="103">
        <v>51</v>
      </c>
      <c r="G257" s="104">
        <f>ROUND(+'Datos contribuyente'!AW331+'Datos contribuyente'!BA331,-3)</f>
        <v>0</v>
      </c>
      <c r="H257" s="384"/>
      <c r="I257" s="393" t="s">
        <v>812</v>
      </c>
      <c r="J257" s="393"/>
      <c r="K257" s="393"/>
      <c r="L257" s="393"/>
      <c r="M257" s="393"/>
      <c r="N257" s="107">
        <v>86</v>
      </c>
      <c r="O257" s="392">
        <f ca="1">ROUND(+IF(O253-O255-O256&gt;0,O253-O255-O256,0),-3)</f>
        <v>0</v>
      </c>
      <c r="P257" s="392"/>
      <c r="Q257" s="243"/>
      <c r="R257" s="240"/>
      <c r="S257" s="240"/>
      <c r="T257" s="241"/>
      <c r="U257" s="241"/>
      <c r="V257" s="241"/>
      <c r="W257" s="241"/>
      <c r="X257" s="241"/>
      <c r="Y257" s="241"/>
      <c r="Z257" s="241"/>
    </row>
    <row r="258" spans="1:26" s="78" customFormat="1" ht="27" hidden="1" customHeight="1" x14ac:dyDescent="0.25">
      <c r="A258" s="79"/>
      <c r="B258" s="384"/>
      <c r="C258" s="384"/>
      <c r="D258" s="362" t="s">
        <v>787</v>
      </c>
      <c r="E258" s="362"/>
      <c r="F258" s="105">
        <v>52</v>
      </c>
      <c r="G258" s="106">
        <f>ROUND(+'Datos contribuyente'!AW345+'Datos contribuyente'!BA345,-3)</f>
        <v>0</v>
      </c>
      <c r="H258" s="384"/>
      <c r="I258" s="381" t="s">
        <v>52</v>
      </c>
      <c r="J258" s="381"/>
      <c r="K258" s="381"/>
      <c r="L258" s="381"/>
      <c r="M258" s="381"/>
      <c r="N258" s="105">
        <v>87</v>
      </c>
      <c r="O258" s="386">
        <f>ROUND(+'Datos contribuyente'!Q906+'Datos contribuyente'!Q936,-3)</f>
        <v>0</v>
      </c>
      <c r="P258" s="386"/>
      <c r="Q258" s="243"/>
      <c r="R258" s="240"/>
      <c r="S258" s="240"/>
      <c r="T258" s="241"/>
      <c r="U258" s="241"/>
      <c r="V258" s="241"/>
      <c r="W258" s="241"/>
      <c r="X258" s="241"/>
      <c r="Y258" s="241"/>
      <c r="Z258" s="241"/>
    </row>
    <row r="259" spans="1:26" s="78" customFormat="1" ht="27" hidden="1" customHeight="1" x14ac:dyDescent="0.25">
      <c r="A259" s="80"/>
      <c r="B259" s="384"/>
      <c r="C259" s="384"/>
      <c r="D259" s="385" t="s">
        <v>788</v>
      </c>
      <c r="E259" s="385"/>
      <c r="F259" s="103">
        <v>53</v>
      </c>
      <c r="G259" s="104">
        <f>ROUND(+'Datos contribuyente'!AW359+'Datos contribuyente'!BA359,-3)</f>
        <v>0</v>
      </c>
      <c r="H259" s="384"/>
      <c r="I259" s="393" t="s">
        <v>813</v>
      </c>
      <c r="J259" s="393"/>
      <c r="K259" s="393"/>
      <c r="L259" s="393"/>
      <c r="M259" s="393"/>
      <c r="N259" s="107">
        <v>88</v>
      </c>
      <c r="O259" s="392">
        <f ca="1">ROUND(+IF(O253-O255-O256+O258&gt;0,O253-O255-O256+O258,0),-3)</f>
        <v>0</v>
      </c>
      <c r="P259" s="392"/>
      <c r="Q259" s="243"/>
      <c r="R259" s="240"/>
      <c r="S259" s="240"/>
      <c r="T259" s="241"/>
      <c r="U259" s="241"/>
      <c r="V259" s="241"/>
      <c r="W259" s="241"/>
      <c r="X259" s="241"/>
      <c r="Y259" s="241"/>
      <c r="Z259" s="241"/>
    </row>
    <row r="260" spans="1:26" s="78" customFormat="1" ht="27" hidden="1" customHeight="1" x14ac:dyDescent="0.25">
      <c r="A260" s="80"/>
      <c r="B260" s="384"/>
      <c r="C260" s="391"/>
      <c r="D260" s="420" t="s">
        <v>789</v>
      </c>
      <c r="E260" s="420"/>
      <c r="F260" s="114">
        <v>54</v>
      </c>
      <c r="G260" s="115">
        <f>ROUND(+'Datos contribuyente'!AW372+'Datos contribuyente'!BA372,-3)</f>
        <v>0</v>
      </c>
      <c r="H260" s="391"/>
      <c r="I260" s="383" t="s">
        <v>1034</v>
      </c>
      <c r="J260" s="383"/>
      <c r="K260" s="383"/>
      <c r="L260" s="383"/>
      <c r="M260" s="383"/>
      <c r="N260" s="117">
        <v>89</v>
      </c>
      <c r="O260" s="388">
        <f ca="1">+IF(O254+O255+O256-O258-O257-O253&gt;0,O254+O255+O256-O258-O257-O253,0)</f>
        <v>0</v>
      </c>
      <c r="P260" s="388"/>
      <c r="Q260" s="240"/>
      <c r="R260" s="240"/>
      <c r="S260" s="240"/>
      <c r="T260" s="241"/>
      <c r="U260" s="241"/>
      <c r="V260" s="241"/>
      <c r="W260" s="241"/>
      <c r="X260" s="241"/>
      <c r="Y260" s="241"/>
      <c r="Z260" s="241"/>
    </row>
    <row r="261" spans="1:26" s="78" customFormat="1" ht="27" hidden="1" customHeight="1" x14ac:dyDescent="0.25">
      <c r="A261" s="80"/>
      <c r="B261" s="384"/>
      <c r="C261" s="395" t="s">
        <v>790</v>
      </c>
      <c r="D261" s="395"/>
      <c r="E261" s="395"/>
      <c r="F261" s="107">
        <v>55</v>
      </c>
      <c r="G261" s="108">
        <f>ROUND(+SUM(G250:G260),-3)</f>
        <v>0</v>
      </c>
      <c r="H261" s="390" t="s">
        <v>53</v>
      </c>
      <c r="I261" s="380" t="s">
        <v>54</v>
      </c>
      <c r="J261" s="380"/>
      <c r="K261" s="380"/>
      <c r="L261" s="380"/>
      <c r="M261" s="380"/>
      <c r="N261" s="116">
        <v>90</v>
      </c>
      <c r="O261" s="389">
        <f>ROUND(+'Datos contribuyente'!Q953,-3)</f>
        <v>0</v>
      </c>
      <c r="P261" s="389"/>
      <c r="Q261" s="240"/>
      <c r="R261" s="240"/>
      <c r="S261" s="240"/>
      <c r="T261" s="241"/>
      <c r="U261" s="241"/>
      <c r="V261" s="241"/>
      <c r="W261" s="241"/>
      <c r="X261" s="241"/>
      <c r="Y261" s="241"/>
      <c r="Z261" s="241"/>
    </row>
    <row r="262" spans="1:26" s="78" customFormat="1" ht="27" hidden="1" customHeight="1" x14ac:dyDescent="0.25">
      <c r="A262" s="80"/>
      <c r="B262" s="384"/>
      <c r="C262" s="362" t="s">
        <v>791</v>
      </c>
      <c r="D262" s="362"/>
      <c r="E262" s="362"/>
      <c r="F262" s="105">
        <v>56</v>
      </c>
      <c r="G262" s="106">
        <f>ROUND(+'Datos contribuyente'!AW386+'Datos contribuyente'!BA386,-3)</f>
        <v>0</v>
      </c>
      <c r="H262" s="384"/>
      <c r="I262" s="381" t="s">
        <v>55</v>
      </c>
      <c r="J262" s="381"/>
      <c r="K262" s="381"/>
      <c r="L262" s="381"/>
      <c r="M262" s="381"/>
      <c r="N262" s="105">
        <v>91</v>
      </c>
      <c r="O262" s="386">
        <f ca="1">ROUND(+'Datos contribuyente'!Q954,-3)</f>
        <v>0</v>
      </c>
      <c r="P262" s="386"/>
      <c r="Q262" s="240"/>
      <c r="R262" s="240"/>
      <c r="S262" s="240"/>
      <c r="T262" s="241"/>
      <c r="U262" s="241"/>
      <c r="V262" s="241"/>
      <c r="W262" s="241"/>
      <c r="X262" s="241"/>
      <c r="Y262" s="241"/>
      <c r="Z262" s="241"/>
    </row>
    <row r="263" spans="1:26" s="78" customFormat="1" ht="27" hidden="1" customHeight="1" x14ac:dyDescent="0.25">
      <c r="A263" s="80"/>
      <c r="B263" s="384"/>
      <c r="C263" s="409" t="s">
        <v>792</v>
      </c>
      <c r="D263" s="409"/>
      <c r="E263" s="409"/>
      <c r="F263" s="110">
        <v>57</v>
      </c>
      <c r="G263" s="111">
        <f>ROUND(+G261-G262,-3)</f>
        <v>0</v>
      </c>
      <c r="H263" s="384"/>
      <c r="I263" s="382" t="s">
        <v>56</v>
      </c>
      <c r="J263" s="382"/>
      <c r="K263" s="382"/>
      <c r="L263" s="382"/>
      <c r="M263" s="382"/>
      <c r="N263" s="103">
        <v>92</v>
      </c>
      <c r="O263" s="387">
        <f>ROUND(+'Datos contribuyente'!Q955,-3)</f>
        <v>0</v>
      </c>
      <c r="P263" s="387"/>
      <c r="Q263" s="240"/>
      <c r="R263" s="240"/>
      <c r="S263" s="240"/>
      <c r="T263" s="241"/>
      <c r="U263" s="241"/>
      <c r="V263" s="241"/>
      <c r="W263" s="241"/>
      <c r="X263" s="241"/>
      <c r="Y263" s="241"/>
      <c r="Z263" s="241"/>
    </row>
    <row r="264" spans="1:26" s="78" customFormat="1" ht="27" hidden="1" customHeight="1" x14ac:dyDescent="0.25">
      <c r="A264" s="80"/>
      <c r="B264" s="399" t="s">
        <v>57</v>
      </c>
      <c r="C264" s="399" t="s">
        <v>794</v>
      </c>
      <c r="D264" s="402" t="s">
        <v>795</v>
      </c>
      <c r="E264" s="402"/>
      <c r="F264" s="118">
        <v>58</v>
      </c>
      <c r="G264" s="119">
        <f>ROUND(+'Datos contribuyente'!AY30+'Datos contribuyente'!BC30,-3)</f>
        <v>0</v>
      </c>
      <c r="H264" s="391"/>
      <c r="I264" s="383" t="s">
        <v>814</v>
      </c>
      <c r="J264" s="383"/>
      <c r="K264" s="383"/>
      <c r="L264" s="383"/>
      <c r="M264" s="383"/>
      <c r="N264" s="117">
        <v>93</v>
      </c>
      <c r="O264" s="388">
        <f ca="1">ROUND(+'Datos contribuyente'!Q956,-3)</f>
        <v>0</v>
      </c>
      <c r="P264" s="388"/>
      <c r="Q264" s="240"/>
      <c r="R264" s="240"/>
      <c r="S264" s="240"/>
      <c r="T264" s="241"/>
      <c r="U264" s="241"/>
      <c r="V264" s="241"/>
      <c r="W264" s="241"/>
      <c r="X264" s="241"/>
      <c r="Y264" s="241"/>
      <c r="Z264" s="241"/>
    </row>
    <row r="265" spans="1:26" s="78" customFormat="1" ht="27" hidden="1" customHeight="1" x14ac:dyDescent="0.25">
      <c r="A265" s="80"/>
      <c r="B265" s="400"/>
      <c r="C265" s="400"/>
      <c r="D265" s="385" t="s">
        <v>796</v>
      </c>
      <c r="E265" s="385"/>
      <c r="F265" s="103">
        <v>59</v>
      </c>
      <c r="G265" s="104">
        <f>ROUND(+'Datos contribuyente'!AY44+'Datos contribuyente'!BC44,-3)</f>
        <v>0</v>
      </c>
      <c r="H265" s="399" t="s">
        <v>815</v>
      </c>
      <c r="I265" s="399"/>
      <c r="J265" s="403" t="s">
        <v>58</v>
      </c>
      <c r="K265" s="98">
        <v>1</v>
      </c>
      <c r="L265" s="132">
        <v>0</v>
      </c>
      <c r="M265" s="403" t="s">
        <v>58</v>
      </c>
      <c r="N265" s="101">
        <v>4</v>
      </c>
      <c r="O265" s="406">
        <v>0</v>
      </c>
      <c r="P265" s="406"/>
      <c r="Q265" s="240"/>
      <c r="R265" s="240"/>
      <c r="S265" s="240"/>
      <c r="T265" s="241"/>
      <c r="U265" s="241"/>
      <c r="V265" s="241"/>
      <c r="W265" s="241"/>
      <c r="X265" s="241"/>
      <c r="Y265" s="241"/>
      <c r="Z265" s="241"/>
    </row>
    <row r="266" spans="1:26" s="78" customFormat="1" ht="27" hidden="1" customHeight="1" x14ac:dyDescent="0.25">
      <c r="A266" s="80"/>
      <c r="B266" s="400"/>
      <c r="C266" s="400"/>
      <c r="D266" s="362" t="s">
        <v>765</v>
      </c>
      <c r="E266" s="362"/>
      <c r="F266" s="105">
        <v>60</v>
      </c>
      <c r="G266" s="109">
        <f>ROUND(+'Datos contribuyente'!AY58+'Datos contribuyente'!BC58,-3)</f>
        <v>0</v>
      </c>
      <c r="H266" s="400"/>
      <c r="I266" s="400"/>
      <c r="J266" s="404"/>
      <c r="K266" s="96">
        <v>2</v>
      </c>
      <c r="L266" s="133">
        <v>0</v>
      </c>
      <c r="M266" s="404"/>
      <c r="N266" s="101">
        <v>5</v>
      </c>
      <c r="O266" s="407">
        <v>0</v>
      </c>
      <c r="P266" s="407"/>
      <c r="Q266" s="240"/>
      <c r="R266" s="240"/>
      <c r="S266" s="240"/>
      <c r="T266" s="241"/>
      <c r="U266" s="241"/>
      <c r="V266" s="241"/>
      <c r="W266" s="241"/>
      <c r="X266" s="241"/>
      <c r="Y266" s="241"/>
      <c r="Z266" s="241"/>
    </row>
    <row r="267" spans="1:26" s="78" customFormat="1" ht="27" hidden="1" customHeight="1" x14ac:dyDescent="0.25">
      <c r="A267" s="80"/>
      <c r="B267" s="401"/>
      <c r="C267" s="401"/>
      <c r="D267" s="418" t="s">
        <v>797</v>
      </c>
      <c r="E267" s="418"/>
      <c r="F267" s="112">
        <v>61</v>
      </c>
      <c r="G267" s="113">
        <f>ROUND(+'Datos contribuyente'!AY124+'Datos contribuyente'!BC124,-3)</f>
        <v>0</v>
      </c>
      <c r="H267" s="401"/>
      <c r="I267" s="401"/>
      <c r="J267" s="405"/>
      <c r="K267" s="98">
        <v>3</v>
      </c>
      <c r="L267" s="128">
        <v>0</v>
      </c>
      <c r="M267" s="405"/>
      <c r="N267" s="101">
        <v>6</v>
      </c>
      <c r="O267" s="408">
        <v>0</v>
      </c>
      <c r="P267" s="408"/>
      <c r="Q267" s="240"/>
      <c r="R267" s="240"/>
      <c r="S267" s="240"/>
      <c r="T267" s="241"/>
      <c r="U267" s="241"/>
      <c r="V267" s="241"/>
      <c r="W267" s="241"/>
      <c r="X267" s="241"/>
      <c r="Y267" s="241"/>
      <c r="Z267" s="241"/>
    </row>
    <row r="268" spans="1:26" s="78" customFormat="1" ht="27" hidden="1" customHeight="1" x14ac:dyDescent="0.25">
      <c r="A268" s="80"/>
      <c r="B268" s="396" t="s">
        <v>59</v>
      </c>
      <c r="C268" s="397"/>
      <c r="D268" s="397"/>
      <c r="E268" s="397"/>
      <c r="F268" s="120"/>
      <c r="G268" s="97"/>
      <c r="H268" s="398" t="s">
        <v>816</v>
      </c>
      <c r="I268" s="398"/>
      <c r="J268" s="398"/>
      <c r="K268" s="398"/>
      <c r="L268" s="398"/>
      <c r="M268" s="376">
        <v>100</v>
      </c>
      <c r="N268" s="377"/>
      <c r="O268" s="421">
        <v>0</v>
      </c>
      <c r="P268" s="421"/>
      <c r="Q268" s="240"/>
      <c r="R268" s="240"/>
      <c r="S268" s="240"/>
      <c r="T268" s="241"/>
      <c r="U268" s="241"/>
      <c r="V268" s="241"/>
      <c r="W268" s="241"/>
      <c r="X268" s="241"/>
      <c r="Y268" s="241"/>
      <c r="Z268" s="241"/>
    </row>
    <row r="269" spans="1:26" hidden="1" x14ac:dyDescent="0.25"/>
    <row r="270" spans="1:26" s="10" customFormat="1" ht="36" customHeight="1" x14ac:dyDescent="0.3">
      <c r="B270" s="422" t="s">
        <v>945</v>
      </c>
      <c r="C270" s="422"/>
      <c r="D270" s="422"/>
      <c r="E270" s="422"/>
      <c r="F270" s="422"/>
      <c r="G270" s="422"/>
      <c r="H270" s="422"/>
      <c r="I270" s="422"/>
      <c r="J270" s="422"/>
      <c r="K270" s="422"/>
      <c r="L270" s="422"/>
      <c r="M270" s="422"/>
      <c r="N270" s="422"/>
      <c r="O270" s="422"/>
      <c r="P270" s="422"/>
    </row>
    <row r="272" spans="1:26" s="10" customFormat="1" ht="36" hidden="1" customHeight="1" x14ac:dyDescent="0.3">
      <c r="B272" s="423" t="s">
        <v>946</v>
      </c>
      <c r="C272" s="423"/>
      <c r="D272" s="423"/>
      <c r="E272" s="423"/>
      <c r="F272" s="423"/>
      <c r="G272" s="423"/>
      <c r="H272" s="423"/>
      <c r="I272" s="423"/>
      <c r="J272" s="423"/>
      <c r="K272" s="423"/>
      <c r="L272" s="423"/>
      <c r="M272" s="423"/>
      <c r="N272" s="423"/>
      <c r="O272" s="423"/>
      <c r="P272" s="423"/>
    </row>
    <row r="273" spans="1:26" hidden="1" x14ac:dyDescent="0.25">
      <c r="G273" s="134"/>
    </row>
    <row r="274" spans="1:26" s="75" customFormat="1" ht="60" hidden="1" customHeight="1" x14ac:dyDescent="0.25">
      <c r="A274" s="74"/>
      <c r="B274" s="368"/>
      <c r="C274" s="368"/>
      <c r="D274" s="368"/>
      <c r="E274" s="378" t="s">
        <v>817</v>
      </c>
      <c r="F274" s="378"/>
      <c r="G274" s="378"/>
      <c r="H274" s="378"/>
      <c r="I274" s="378"/>
      <c r="J274" s="378"/>
      <c r="K274" s="378"/>
      <c r="L274" s="369" t="s">
        <v>31</v>
      </c>
      <c r="M274" s="369"/>
      <c r="N274" s="369"/>
      <c r="O274" s="379">
        <v>300</v>
      </c>
      <c r="P274" s="379"/>
      <c r="Q274" s="234"/>
      <c r="R274" s="235"/>
      <c r="S274" s="235"/>
      <c r="T274" s="236"/>
      <c r="U274" s="236"/>
      <c r="V274" s="236"/>
      <c r="W274" s="236"/>
      <c r="X274" s="236"/>
      <c r="Y274" s="236"/>
      <c r="Z274" s="236"/>
    </row>
    <row r="275" spans="1:26" s="77" customFormat="1" ht="27.6" hidden="1" customHeight="1" x14ac:dyDescent="0.25">
      <c r="A275" s="76"/>
      <c r="B275" s="370" t="s">
        <v>32</v>
      </c>
      <c r="C275" s="370"/>
      <c r="D275" s="121">
        <f>+'Datos contribuyente'!$I$6</f>
        <v>2025</v>
      </c>
      <c r="E275" s="100">
        <v>6</v>
      </c>
      <c r="F275" s="416" t="s">
        <v>33</v>
      </c>
      <c r="G275" s="417"/>
      <c r="H275" s="376">
        <v>1</v>
      </c>
      <c r="I275" s="377"/>
      <c r="J275" s="364" t="s">
        <v>34</v>
      </c>
      <c r="K275" s="364"/>
      <c r="L275" s="364"/>
      <c r="M275" s="364"/>
      <c r="N275" s="364"/>
      <c r="O275" s="364"/>
      <c r="P275" s="364"/>
      <c r="Q275" s="237"/>
      <c r="R275" s="238"/>
      <c r="S275" s="238"/>
      <c r="T275" s="239"/>
      <c r="U275" s="239"/>
      <c r="V275" s="239"/>
      <c r="W275" s="239"/>
      <c r="X275" s="239"/>
      <c r="Y275" s="239"/>
      <c r="Z275" s="239"/>
    </row>
    <row r="276" spans="1:26" s="77" customFormat="1" ht="27.6" hidden="1" customHeight="1" x14ac:dyDescent="0.25">
      <c r="A276" s="76"/>
      <c r="B276" s="363" t="s">
        <v>770</v>
      </c>
      <c r="C276" s="363"/>
      <c r="D276" s="364" t="s">
        <v>35</v>
      </c>
      <c r="E276" s="364"/>
      <c r="F276" s="410" t="s">
        <v>36</v>
      </c>
      <c r="G276" s="411"/>
      <c r="H276" s="411"/>
      <c r="I276" s="411"/>
      <c r="J276" s="411"/>
      <c r="K276" s="411"/>
      <c r="L276" s="411"/>
      <c r="M276" s="412"/>
      <c r="N276" s="364" t="s">
        <v>37</v>
      </c>
      <c r="O276" s="364"/>
      <c r="P276" s="364"/>
      <c r="Q276" s="237"/>
      <c r="R276" s="238"/>
      <c r="S276" s="238"/>
      <c r="T276" s="239"/>
      <c r="U276" s="239"/>
      <c r="V276" s="239"/>
      <c r="W276" s="239"/>
      <c r="X276" s="239"/>
      <c r="Y276" s="239"/>
      <c r="Z276" s="239"/>
    </row>
    <row r="277" spans="1:26" s="77" customFormat="1" ht="27.6" hidden="1" customHeight="1" x14ac:dyDescent="0.25">
      <c r="A277" s="99"/>
      <c r="B277" s="363"/>
      <c r="C277" s="363"/>
      <c r="D277" s="365">
        <f>+'Datos contribuyente'!$E$6</f>
        <v>0</v>
      </c>
      <c r="E277" s="366"/>
      <c r="F277" s="413" t="s">
        <v>38</v>
      </c>
      <c r="G277" s="414"/>
      <c r="H277" s="414"/>
      <c r="I277" s="414"/>
      <c r="J277" s="414"/>
      <c r="K277" s="414"/>
      <c r="L277" s="414"/>
      <c r="M277" s="415"/>
      <c r="N277" s="367"/>
      <c r="O277" s="367"/>
      <c r="P277" s="367"/>
      <c r="Q277" s="238"/>
      <c r="R277" s="238"/>
      <c r="S277" s="238"/>
      <c r="T277" s="239"/>
      <c r="U277" s="239"/>
      <c r="V277" s="239"/>
      <c r="W277" s="239"/>
      <c r="X277" s="239"/>
      <c r="Y277" s="239"/>
      <c r="Z277" s="239"/>
    </row>
    <row r="278" spans="1:26" s="77" customFormat="1" ht="27.6" hidden="1" customHeight="1" x14ac:dyDescent="0.25">
      <c r="A278" s="99"/>
      <c r="B278" s="363"/>
      <c r="C278" s="363"/>
      <c r="D278" s="371" t="s">
        <v>818</v>
      </c>
      <c r="E278" s="372"/>
      <c r="F278" s="373">
        <f>+'Datos contribuyente'!$B$6</f>
        <v>0</v>
      </c>
      <c r="G278" s="374"/>
      <c r="H278" s="374"/>
      <c r="I278" s="374"/>
      <c r="J278" s="374"/>
      <c r="K278" s="374"/>
      <c r="L278" s="374"/>
      <c r="M278" s="374"/>
      <c r="N278" s="374"/>
      <c r="O278" s="374"/>
      <c r="P278" s="375"/>
      <c r="Q278" s="238"/>
      <c r="R278" s="238"/>
      <c r="S278" s="238"/>
      <c r="T278" s="239"/>
      <c r="U278" s="239"/>
      <c r="V278" s="239"/>
      <c r="W278" s="239"/>
      <c r="X278" s="239"/>
      <c r="Y278" s="239"/>
      <c r="Z278" s="239"/>
    </row>
    <row r="279" spans="1:26" s="78" customFormat="1" ht="27" hidden="1" customHeight="1" x14ac:dyDescent="0.25">
      <c r="A279" s="80"/>
      <c r="B279" s="384" t="s">
        <v>771</v>
      </c>
      <c r="C279" s="385" t="s">
        <v>761</v>
      </c>
      <c r="D279" s="385"/>
      <c r="E279" s="385"/>
      <c r="F279" s="103">
        <v>27</v>
      </c>
      <c r="G279" s="104">
        <f>ROUND(+'Datos contribuyente'!I30+'Datos contribuyente'!M30+'Datos contribuyente'!Q30+'Datos contribuyente'!U30,-3)</f>
        <v>0</v>
      </c>
      <c r="H279" s="390" t="s">
        <v>39</v>
      </c>
      <c r="I279" s="390" t="s">
        <v>40</v>
      </c>
      <c r="J279" s="380" t="s">
        <v>41</v>
      </c>
      <c r="K279" s="380"/>
      <c r="L279" s="380"/>
      <c r="M279" s="380"/>
      <c r="N279" s="116">
        <v>62</v>
      </c>
      <c r="O279" s="389">
        <f>ROUND(+'Datos contribuyente'!K151+'Datos contribuyente'!O151+'Datos contribuyente'!S151+'Datos contribuyente'!W151,-3)</f>
        <v>0</v>
      </c>
      <c r="P279" s="389"/>
      <c r="Q279" s="240"/>
      <c r="R279" s="240"/>
      <c r="S279" s="240"/>
      <c r="T279" s="241"/>
      <c r="U279" s="241"/>
      <c r="V279" s="241"/>
      <c r="W279" s="241"/>
      <c r="X279" s="241"/>
      <c r="Y279" s="241"/>
      <c r="Z279" s="241"/>
    </row>
    <row r="280" spans="1:26" s="78" customFormat="1" ht="27" hidden="1" customHeight="1" x14ac:dyDescent="0.25">
      <c r="A280" s="80"/>
      <c r="B280" s="384"/>
      <c r="C280" s="362" t="s">
        <v>762</v>
      </c>
      <c r="D280" s="362"/>
      <c r="E280" s="362"/>
      <c r="F280" s="105">
        <v>28</v>
      </c>
      <c r="G280" s="106">
        <f>ROUND(+'Datos contribuyente'!I44+'Datos contribuyente'!M44+'Datos contribuyente'!Q44+'Datos contribuyente'!U44,-3)</f>
        <v>0</v>
      </c>
      <c r="H280" s="384"/>
      <c r="I280" s="384"/>
      <c r="J280" s="381" t="s">
        <v>42</v>
      </c>
      <c r="K280" s="381"/>
      <c r="L280" s="381"/>
      <c r="M280" s="381"/>
      <c r="N280" s="105">
        <v>63</v>
      </c>
      <c r="O280" s="386">
        <f>ROUND(+'Datos contribuyente'!K165+'Datos contribuyente'!O165+'Datos contribuyente'!S165+'Datos contribuyente'!W165,-4)</f>
        <v>0</v>
      </c>
      <c r="P280" s="386"/>
      <c r="Q280" s="240"/>
      <c r="R280" s="240"/>
      <c r="S280" s="240"/>
      <c r="T280" s="241"/>
      <c r="U280" s="241"/>
      <c r="V280" s="241"/>
      <c r="W280" s="241"/>
      <c r="X280" s="241"/>
      <c r="Y280" s="241"/>
      <c r="Z280" s="241"/>
    </row>
    <row r="281" spans="1:26" s="78" customFormat="1" ht="27" hidden="1" customHeight="1" x14ac:dyDescent="0.25">
      <c r="A281" s="80"/>
      <c r="B281" s="384"/>
      <c r="C281" s="385" t="s">
        <v>763</v>
      </c>
      <c r="D281" s="385"/>
      <c r="E281" s="385"/>
      <c r="F281" s="103">
        <v>29</v>
      </c>
      <c r="G281" s="104">
        <f>ROUND(+'Datos contribuyente'!I58+'Datos contribuyente'!M58+'Datos contribuyente'!Q58+'Datos contribuyente'!U58,-3)</f>
        <v>0</v>
      </c>
      <c r="H281" s="384"/>
      <c r="I281" s="384"/>
      <c r="J281" s="382" t="s">
        <v>43</v>
      </c>
      <c r="K281" s="382"/>
      <c r="L281" s="382"/>
      <c r="M281" s="382"/>
      <c r="N281" s="103">
        <v>64</v>
      </c>
      <c r="O281" s="387">
        <f>ROUND(+'Datos contribuyente'!K179+'Datos contribuyente'!O179+'Datos contribuyente'!S179+'Datos contribuyente'!W179,-3)</f>
        <v>0</v>
      </c>
      <c r="P281" s="387"/>
      <c r="Q281" s="240"/>
      <c r="R281" s="240"/>
      <c r="S281" s="240"/>
      <c r="T281" s="241"/>
      <c r="U281" s="241"/>
      <c r="V281" s="241"/>
      <c r="W281" s="241"/>
      <c r="X281" s="241"/>
      <c r="Y281" s="241"/>
      <c r="Z281" s="241"/>
    </row>
    <row r="282" spans="1:26" s="78" customFormat="1" ht="27" hidden="1" customHeight="1" x14ac:dyDescent="0.25">
      <c r="A282" s="80"/>
      <c r="B282" s="384"/>
      <c r="C282" s="362" t="s">
        <v>766</v>
      </c>
      <c r="D282" s="362"/>
      <c r="E282" s="362"/>
      <c r="F282" s="105">
        <v>30</v>
      </c>
      <c r="G282" s="106">
        <f>ROUND(+'Datos contribuyente'!I71+'Datos contribuyente'!M71+'Datos contribuyente'!Q71+'Datos contribuyente'!U71,-3)</f>
        <v>0</v>
      </c>
      <c r="H282" s="384"/>
      <c r="I282" s="384"/>
      <c r="J282" s="381" t="s">
        <v>798</v>
      </c>
      <c r="K282" s="381"/>
      <c r="L282" s="381"/>
      <c r="M282" s="381"/>
      <c r="N282" s="105">
        <v>65</v>
      </c>
      <c r="O282" s="386">
        <f>ROUND(+'Datos contribuyente'!K402+'Datos contribuyente'!O402+'Datos contribuyente'!S402+'Datos contribuyente'!W402,-3)</f>
        <v>0</v>
      </c>
      <c r="P282" s="386"/>
      <c r="Q282" s="240"/>
      <c r="R282" s="240"/>
      <c r="S282" s="240"/>
      <c r="T282" s="241"/>
      <c r="U282" s="241"/>
      <c r="V282" s="241"/>
      <c r="W282" s="241"/>
      <c r="X282" s="241"/>
      <c r="Y282" s="241"/>
      <c r="Z282" s="241"/>
    </row>
    <row r="283" spans="1:26" s="78" customFormat="1" ht="27" hidden="1" customHeight="1" x14ac:dyDescent="0.25">
      <c r="A283" s="80"/>
      <c r="B283" s="384"/>
      <c r="C283" s="385" t="s">
        <v>767</v>
      </c>
      <c r="D283" s="385"/>
      <c r="E283" s="385"/>
      <c r="F283" s="103">
        <v>31</v>
      </c>
      <c r="G283" s="104">
        <f>ROUND(+'Datos contribuyente'!I84+'Datos contribuyente'!M84+'Datos contribuyente'!Q84+'Datos contribuyente'!U84,-3)</f>
        <v>0</v>
      </c>
      <c r="H283" s="384"/>
      <c r="I283" s="384"/>
      <c r="J283" s="382" t="s">
        <v>764</v>
      </c>
      <c r="K283" s="382"/>
      <c r="L283" s="382"/>
      <c r="M283" s="382"/>
      <c r="N283" s="103">
        <v>66</v>
      </c>
      <c r="O283" s="387">
        <f>ROUND(IF('Datos contribuyente'!$D$722="No",+'Datos contribuyente'!E749,'Datos contribuyente'!E749-'Datos contribuyente'!G749),-3)</f>
        <v>0</v>
      </c>
      <c r="P283" s="387"/>
      <c r="Q283" s="240"/>
      <c r="R283" s="240"/>
      <c r="S283" s="240"/>
      <c r="T283" s="241"/>
      <c r="U283" s="241"/>
      <c r="V283" s="241"/>
      <c r="W283" s="241"/>
      <c r="X283" s="241"/>
      <c r="Y283" s="241"/>
      <c r="Z283" s="241"/>
    </row>
    <row r="284" spans="1:26" s="78" customFormat="1" ht="27" hidden="1" customHeight="1" x14ac:dyDescent="0.25">
      <c r="A284" s="80"/>
      <c r="B284" s="384"/>
      <c r="C284" s="362" t="s">
        <v>768</v>
      </c>
      <c r="D284" s="362"/>
      <c r="E284" s="362"/>
      <c r="F284" s="105">
        <v>32</v>
      </c>
      <c r="G284" s="106">
        <f>ROUND(+'Datos contribuyente'!I97+'Datos contribuyente'!M97+'Datos contribuyente'!Q97+'Datos contribuyente'!U97,-3)</f>
        <v>0</v>
      </c>
      <c r="H284" s="384"/>
      <c r="I284" s="391"/>
      <c r="J284" s="383" t="s">
        <v>799</v>
      </c>
      <c r="K284" s="383"/>
      <c r="L284" s="383"/>
      <c r="M284" s="383"/>
      <c r="N284" s="117">
        <v>67</v>
      </c>
      <c r="O284" s="388">
        <f>ROUND(+SUM(G310:G313,O279:P283),-3)</f>
        <v>0</v>
      </c>
      <c r="P284" s="388"/>
      <c r="Q284" s="240"/>
      <c r="R284" s="240"/>
      <c r="S284" s="240"/>
      <c r="T284" s="241"/>
      <c r="U284" s="241"/>
      <c r="V284" s="241"/>
      <c r="W284" s="241"/>
      <c r="X284" s="241"/>
      <c r="Y284" s="241"/>
      <c r="Z284" s="241"/>
    </row>
    <row r="285" spans="1:26" s="78" customFormat="1" ht="27" hidden="1" customHeight="1" x14ac:dyDescent="0.25">
      <c r="A285" s="80"/>
      <c r="B285" s="384"/>
      <c r="C285" s="385" t="s">
        <v>769</v>
      </c>
      <c r="D285" s="385"/>
      <c r="E285" s="385"/>
      <c r="F285" s="103">
        <v>33</v>
      </c>
      <c r="G285" s="104">
        <f>ROUND(+'Datos contribuyente'!I110+'Datos contribuyente'!M110+'Datos contribuyente'!Q110+'Datos contribuyente'!U110,-3)</f>
        <v>0</v>
      </c>
      <c r="H285" s="384"/>
      <c r="I285" s="390" t="s">
        <v>44</v>
      </c>
      <c r="J285" s="380" t="s">
        <v>800</v>
      </c>
      <c r="K285" s="380"/>
      <c r="L285" s="380"/>
      <c r="M285" s="380"/>
      <c r="N285" s="116">
        <v>68</v>
      </c>
      <c r="O285" s="389">
        <f>ROUND(IF('Datos contribuyente'!$D$722="No",+'Datos contribuyente'!E750,'Datos contribuyente'!E750-'Datos contribuyente'!G750),-3)</f>
        <v>0</v>
      </c>
      <c r="P285" s="389"/>
      <c r="Q285" s="240"/>
      <c r="R285" s="240"/>
      <c r="S285" s="240"/>
      <c r="T285" s="241"/>
      <c r="U285" s="241"/>
      <c r="V285" s="241"/>
      <c r="W285" s="241"/>
      <c r="X285" s="241"/>
      <c r="Y285" s="241"/>
      <c r="Z285" s="241"/>
    </row>
    <row r="286" spans="1:26" s="78" customFormat="1" ht="27" hidden="1" customHeight="1" x14ac:dyDescent="0.25">
      <c r="A286" s="80"/>
      <c r="B286" s="384"/>
      <c r="C286" s="362" t="s">
        <v>772</v>
      </c>
      <c r="D286" s="362"/>
      <c r="E286" s="362"/>
      <c r="F286" s="105">
        <v>34</v>
      </c>
      <c r="G286" s="106">
        <f>ROUND(+'Datos contribuyente'!I124+'Datos contribuyente'!M124+'Datos contribuyente'!Q124+'Datos contribuyente'!U124,-3)</f>
        <v>0</v>
      </c>
      <c r="H286" s="384"/>
      <c r="I286" s="384"/>
      <c r="J286" s="381" t="s">
        <v>801</v>
      </c>
      <c r="K286" s="381"/>
      <c r="L286" s="381"/>
      <c r="M286" s="381"/>
      <c r="N286" s="105">
        <v>69</v>
      </c>
      <c r="O286" s="424">
        <f>ROUND(IF('Datos contribuyente'!$D$722="No",+'Datos contribuyente'!E751,'Datos contribuyente'!E751-'Datos contribuyente'!G751),-3)</f>
        <v>0</v>
      </c>
      <c r="P286" s="424"/>
      <c r="Q286" s="240"/>
      <c r="R286" s="240"/>
      <c r="S286" s="240"/>
      <c r="T286" s="241"/>
      <c r="U286" s="241"/>
      <c r="V286" s="241"/>
      <c r="W286" s="241"/>
      <c r="X286" s="241"/>
      <c r="Y286" s="241"/>
      <c r="Z286" s="241"/>
    </row>
    <row r="287" spans="1:26" s="78" customFormat="1" ht="27" hidden="1" customHeight="1" x14ac:dyDescent="0.25">
      <c r="A287" s="80"/>
      <c r="B287" s="384"/>
      <c r="C287" s="385" t="s">
        <v>773</v>
      </c>
      <c r="D287" s="385"/>
      <c r="E287" s="385"/>
      <c r="F287" s="103">
        <v>35</v>
      </c>
      <c r="G287" s="104">
        <f>ROUND(+'Datos contribuyente'!I137+'Datos contribuyente'!M137+'Datos contribuyente'!Q137+'Datos contribuyente'!U137,-3)</f>
        <v>0</v>
      </c>
      <c r="H287" s="384"/>
      <c r="I287" s="384"/>
      <c r="J287" s="382" t="s">
        <v>783</v>
      </c>
      <c r="K287" s="382"/>
      <c r="L287" s="382"/>
      <c r="M287" s="382"/>
      <c r="N287" s="103">
        <v>70</v>
      </c>
      <c r="O287" s="387">
        <f>ROUND(IF('Datos contribuyente'!$D$722="No",+'Datos contribuyente'!E752,'Datos contribuyente'!E752-'Datos contribuyente'!G752),-3)</f>
        <v>0</v>
      </c>
      <c r="P287" s="387"/>
      <c r="Q287" s="240"/>
      <c r="R287" s="240"/>
      <c r="S287" s="240"/>
      <c r="T287" s="241"/>
      <c r="U287" s="241"/>
      <c r="V287" s="241"/>
      <c r="W287" s="241"/>
      <c r="X287" s="241"/>
      <c r="Y287" s="241"/>
      <c r="Z287" s="241"/>
    </row>
    <row r="288" spans="1:26" s="78" customFormat="1" ht="27" hidden="1" customHeight="1" x14ac:dyDescent="0.25">
      <c r="A288" s="80"/>
      <c r="B288" s="384"/>
      <c r="C288" s="362" t="s">
        <v>821</v>
      </c>
      <c r="D288" s="362"/>
      <c r="E288" s="362"/>
      <c r="F288" s="105">
        <v>36</v>
      </c>
      <c r="G288" s="106">
        <f>ROUND(+'Datos contribuyente'!I151+'Datos contribuyente'!M151+'Datos contribuyente'!Q151+'Datos contribuyente'!U151,-3)</f>
        <v>0</v>
      </c>
      <c r="H288" s="384"/>
      <c r="I288" s="384"/>
      <c r="J288" s="381" t="s">
        <v>802</v>
      </c>
      <c r="K288" s="381"/>
      <c r="L288" s="381"/>
      <c r="M288" s="381"/>
      <c r="N288" s="105">
        <v>71</v>
      </c>
      <c r="O288" s="424">
        <f>ROUND(IF('Datos contribuyente'!$D$722="No",+'Datos contribuyente'!E753,'Datos contribuyente'!E753-'Datos contribuyente'!G753),-3)</f>
        <v>0</v>
      </c>
      <c r="P288" s="424"/>
      <c r="Q288" s="240"/>
      <c r="R288" s="240"/>
      <c r="S288" s="240"/>
      <c r="T288" s="241"/>
      <c r="U288" s="241"/>
      <c r="V288" s="241"/>
      <c r="W288" s="241"/>
      <c r="X288" s="241"/>
      <c r="Y288" s="241"/>
      <c r="Z288" s="241"/>
    </row>
    <row r="289" spans="1:26" s="78" customFormat="1" ht="27" hidden="1" customHeight="1" x14ac:dyDescent="0.25">
      <c r="A289" s="80"/>
      <c r="B289" s="384"/>
      <c r="C289" s="385" t="s">
        <v>774</v>
      </c>
      <c r="D289" s="385"/>
      <c r="E289" s="385"/>
      <c r="F289" s="103">
        <v>37</v>
      </c>
      <c r="G289" s="104">
        <f>ROUND(+'Datos contribuyente'!I165+'Datos contribuyente'!M165+'Datos contribuyente'!Q165+'Datos contribuyente'!U165,-3)</f>
        <v>0</v>
      </c>
      <c r="H289" s="384"/>
      <c r="I289" s="384"/>
      <c r="J289" s="382" t="s">
        <v>803</v>
      </c>
      <c r="K289" s="382"/>
      <c r="L289" s="382"/>
      <c r="M289" s="382"/>
      <c r="N289" s="103">
        <v>72</v>
      </c>
      <c r="O289" s="387">
        <f>ROUND(IF('Datos contribuyente'!$D$722="No",+'Datos contribuyente'!E754,'Datos contribuyente'!E754-'Datos contribuyente'!G754),-3)</f>
        <v>0</v>
      </c>
      <c r="P289" s="387"/>
      <c r="Q289" s="240"/>
      <c r="R289" s="240"/>
      <c r="S289" s="240"/>
      <c r="T289" s="241"/>
      <c r="U289" s="241"/>
      <c r="V289" s="241"/>
      <c r="W289" s="241"/>
      <c r="X289" s="241"/>
      <c r="Y289" s="241"/>
      <c r="Z289" s="241"/>
    </row>
    <row r="290" spans="1:26" s="78" customFormat="1" ht="27" hidden="1" customHeight="1" x14ac:dyDescent="0.25">
      <c r="A290" s="80"/>
      <c r="B290" s="384"/>
      <c r="C290" s="362" t="s">
        <v>775</v>
      </c>
      <c r="D290" s="362"/>
      <c r="E290" s="362"/>
      <c r="F290" s="105">
        <v>38</v>
      </c>
      <c r="G290" s="106">
        <f>ROUND(+'Datos contribuyente'!I179+'Datos contribuyente'!M179+'Datos contribuyente'!Q179+'Datos contribuyente'!U179,-3)</f>
        <v>0</v>
      </c>
      <c r="H290" s="384"/>
      <c r="I290" s="384"/>
      <c r="J290" s="381" t="s">
        <v>45</v>
      </c>
      <c r="K290" s="381"/>
      <c r="L290" s="381"/>
      <c r="M290" s="381"/>
      <c r="N290" s="105">
        <v>73</v>
      </c>
      <c r="O290" s="424">
        <f>ROUND(IF('Datos contribuyente'!$D$722="No",+'Datos contribuyente'!E755,'Datos contribuyente'!E755-'Datos contribuyente'!G755),-3)</f>
        <v>0</v>
      </c>
      <c r="P290" s="424"/>
      <c r="Q290" s="240"/>
      <c r="R290" s="240"/>
      <c r="S290" s="240"/>
      <c r="T290" s="241"/>
      <c r="U290" s="241"/>
      <c r="V290" s="241"/>
      <c r="W290" s="241"/>
      <c r="X290" s="241"/>
      <c r="Y290" s="241"/>
      <c r="Z290" s="241"/>
    </row>
    <row r="291" spans="1:26" s="78" customFormat="1" ht="27" hidden="1" customHeight="1" x14ac:dyDescent="0.25">
      <c r="A291" s="80"/>
      <c r="B291" s="384"/>
      <c r="C291" s="385" t="s">
        <v>776</v>
      </c>
      <c r="D291" s="385"/>
      <c r="E291" s="385"/>
      <c r="F291" s="103">
        <v>39</v>
      </c>
      <c r="G291" s="104">
        <f>ROUND(+'Datos contribuyente'!I192+'Datos contribuyente'!M192+'Datos contribuyente'!Q192+'Datos contribuyente'!U192,-3)</f>
        <v>0</v>
      </c>
      <c r="H291" s="384"/>
      <c r="I291" s="384"/>
      <c r="J291" s="382" t="s">
        <v>804</v>
      </c>
      <c r="K291" s="382"/>
      <c r="L291" s="382"/>
      <c r="M291" s="382"/>
      <c r="N291" s="103">
        <v>74</v>
      </c>
      <c r="O291" s="387">
        <f ca="1">ROUND(IF('Datos contribuyente'!$D$722="No",+'Datos contribuyente'!E756,'Datos contribuyente'!E756-'Datos contribuyente'!G756),-3)</f>
        <v>0</v>
      </c>
      <c r="P291" s="387"/>
      <c r="Q291" s="240"/>
      <c r="R291" s="240"/>
      <c r="S291" s="240"/>
      <c r="T291" s="241"/>
      <c r="U291" s="241"/>
      <c r="V291" s="241"/>
      <c r="W291" s="241"/>
      <c r="X291" s="241"/>
      <c r="Y291" s="241"/>
      <c r="Z291" s="241"/>
    </row>
    <row r="292" spans="1:26" s="78" customFormat="1" ht="27" hidden="1" customHeight="1" x14ac:dyDescent="0.25">
      <c r="A292" s="80"/>
      <c r="B292" s="384"/>
      <c r="C292" s="362" t="s">
        <v>777</v>
      </c>
      <c r="D292" s="362"/>
      <c r="E292" s="362"/>
      <c r="F292" s="105">
        <v>40</v>
      </c>
      <c r="G292" s="106">
        <f>ROUND(+'Datos contribuyente'!I205+'Datos contribuyente'!M205+'Datos contribuyente'!Q205+'Datos contribuyente'!U205,-3)</f>
        <v>0</v>
      </c>
      <c r="H292" s="384"/>
      <c r="I292" s="384"/>
      <c r="J292" s="381" t="s">
        <v>805</v>
      </c>
      <c r="K292" s="381"/>
      <c r="L292" s="381"/>
      <c r="M292" s="381"/>
      <c r="N292" s="105">
        <v>75</v>
      </c>
      <c r="O292" s="424">
        <f ca="1">ROUND(IF('Datos contribuyente'!$D$722="No",+'Datos contribuyente'!E757,'Datos contribuyente'!E757-'Datos contribuyente'!G757),-3)</f>
        <v>0</v>
      </c>
      <c r="P292" s="424"/>
      <c r="Q292" s="240"/>
      <c r="R292" s="240"/>
      <c r="S292" s="240"/>
      <c r="T292" s="241"/>
      <c r="U292" s="241"/>
      <c r="V292" s="241"/>
      <c r="W292" s="241"/>
      <c r="X292" s="241"/>
      <c r="Y292" s="241"/>
      <c r="Z292" s="241"/>
    </row>
    <row r="293" spans="1:26" s="78" customFormat="1" ht="27" hidden="1" customHeight="1" x14ac:dyDescent="0.25">
      <c r="A293" s="80"/>
      <c r="B293" s="384"/>
      <c r="C293" s="395" t="s">
        <v>779</v>
      </c>
      <c r="D293" s="395"/>
      <c r="E293" s="395"/>
      <c r="F293" s="107">
        <v>41</v>
      </c>
      <c r="G293" s="108">
        <f>ROUND(+SUM(G279:G292),-3)</f>
        <v>0</v>
      </c>
      <c r="H293" s="384"/>
      <c r="I293" s="384"/>
      <c r="J293" s="382" t="s">
        <v>806</v>
      </c>
      <c r="K293" s="382"/>
      <c r="L293" s="382"/>
      <c r="M293" s="382"/>
      <c r="N293" s="103">
        <v>76</v>
      </c>
      <c r="O293" s="387">
        <f>ROUND(+'Datos contribuyente'!K430+'Datos contribuyente'!O430+'Datos contribuyente'!S430+'Datos contribuyente'!W430,-3)</f>
        <v>0</v>
      </c>
      <c r="P293" s="387"/>
      <c r="Q293" s="240"/>
      <c r="R293" s="240"/>
      <c r="S293" s="240"/>
      <c r="T293" s="241"/>
      <c r="U293" s="241"/>
      <c r="V293" s="241"/>
      <c r="W293" s="241"/>
      <c r="X293" s="241"/>
      <c r="Y293" s="241"/>
      <c r="Z293" s="241"/>
    </row>
    <row r="294" spans="1:26" s="78" customFormat="1" ht="27" hidden="1" customHeight="1" x14ac:dyDescent="0.25">
      <c r="A294" s="80"/>
      <c r="B294" s="384"/>
      <c r="C294" s="362" t="s">
        <v>778</v>
      </c>
      <c r="D294" s="362"/>
      <c r="E294" s="362"/>
      <c r="F294" s="105">
        <v>42</v>
      </c>
      <c r="G294" s="106">
        <f>ROUND(+'Datos contribuyente'!I219+'Datos contribuyente'!M219+'Datos contribuyente'!Q219+'Datos contribuyente'!U219,-3)</f>
        <v>0</v>
      </c>
      <c r="H294" s="384"/>
      <c r="I294" s="384"/>
      <c r="J294" s="383" t="s">
        <v>807</v>
      </c>
      <c r="K294" s="383"/>
      <c r="L294" s="383"/>
      <c r="M294" s="383"/>
      <c r="N294" s="117">
        <v>77</v>
      </c>
      <c r="O294" s="388">
        <f ca="1">ROUND(+SUM(O285:P293),-3)</f>
        <v>0</v>
      </c>
      <c r="P294" s="388"/>
      <c r="Q294" s="240"/>
      <c r="R294" s="240"/>
      <c r="S294" s="240"/>
      <c r="T294" s="241"/>
      <c r="U294" s="241"/>
      <c r="V294" s="241"/>
      <c r="W294" s="241"/>
      <c r="X294" s="241"/>
      <c r="Y294" s="241"/>
      <c r="Z294" s="241"/>
    </row>
    <row r="295" spans="1:26" s="78" customFormat="1" ht="27" hidden="1" customHeight="1" x14ac:dyDescent="0.25">
      <c r="A295" s="80"/>
      <c r="B295" s="384"/>
      <c r="C295" s="418" t="s">
        <v>780</v>
      </c>
      <c r="D295" s="418"/>
      <c r="E295" s="418"/>
      <c r="F295" s="110">
        <v>43</v>
      </c>
      <c r="G295" s="111">
        <f>ROUND(+G293-G294,-3)</f>
        <v>0</v>
      </c>
      <c r="H295" s="384"/>
      <c r="I295" s="384"/>
      <c r="J295" s="382" t="s">
        <v>46</v>
      </c>
      <c r="K295" s="382"/>
      <c r="L295" s="382"/>
      <c r="M295" s="382"/>
      <c r="N295" s="103">
        <v>78</v>
      </c>
      <c r="O295" s="387">
        <f>ROUND(+'Datos contribuyente'!K444+'Datos contribuyente'!O444+'Datos contribuyente'!S444+'Datos contribuyente'!W444,-3)</f>
        <v>0</v>
      </c>
      <c r="P295" s="387"/>
      <c r="Q295" s="240"/>
      <c r="R295" s="240"/>
      <c r="S295" s="240"/>
      <c r="T295" s="241"/>
      <c r="U295" s="241"/>
      <c r="V295" s="241"/>
      <c r="W295" s="241"/>
      <c r="X295" s="241"/>
      <c r="Y295" s="241"/>
      <c r="Z295" s="241"/>
    </row>
    <row r="296" spans="1:26" s="78" customFormat="1" ht="27" hidden="1" customHeight="1" x14ac:dyDescent="0.25">
      <c r="A296" s="80"/>
      <c r="B296" s="384" t="s">
        <v>793</v>
      </c>
      <c r="C296" s="390" t="s">
        <v>47</v>
      </c>
      <c r="D296" s="362" t="s">
        <v>781</v>
      </c>
      <c r="E296" s="362"/>
      <c r="F296" s="105">
        <v>44</v>
      </c>
      <c r="G296" s="106">
        <f>ROUND(+'Datos contribuyente'!I235+'Datos contribuyente'!M235+'Datos contribuyente'!Q235+'Datos contribuyente'!U235,-3)</f>
        <v>0</v>
      </c>
      <c r="H296" s="384"/>
      <c r="I296" s="384"/>
      <c r="J296" s="381" t="s">
        <v>808</v>
      </c>
      <c r="K296" s="381"/>
      <c r="L296" s="381"/>
      <c r="M296" s="381"/>
      <c r="N296" s="105">
        <v>79</v>
      </c>
      <c r="O296" s="386">
        <f>ROUND(+'Datos contribuyente'!K219+'Datos contribuyente'!O219+'Datos contribuyente'!S219+'Datos contribuyente'!W219,-3)</f>
        <v>0</v>
      </c>
      <c r="P296" s="386"/>
      <c r="Q296" s="240"/>
      <c r="R296" s="240"/>
      <c r="S296" s="240"/>
      <c r="T296" s="241"/>
      <c r="U296" s="241"/>
      <c r="V296" s="241"/>
      <c r="W296" s="241"/>
      <c r="X296" s="241"/>
      <c r="Y296" s="241"/>
      <c r="Z296" s="241"/>
    </row>
    <row r="297" spans="1:26" s="78" customFormat="1" ht="27" hidden="1" customHeight="1" x14ac:dyDescent="0.25">
      <c r="A297" s="80"/>
      <c r="B297" s="384"/>
      <c r="C297" s="384"/>
      <c r="D297" s="385" t="s">
        <v>782</v>
      </c>
      <c r="E297" s="385"/>
      <c r="F297" s="103">
        <v>45</v>
      </c>
      <c r="G297" s="104">
        <f>ROUND(+'Datos contribuyente'!I249+'Datos contribuyente'!M249+'Datos contribuyente'!Q249+'Datos contribuyente'!U249,-3)</f>
        <v>0</v>
      </c>
      <c r="H297" s="384"/>
      <c r="I297" s="384"/>
      <c r="J297" s="382" t="s">
        <v>48</v>
      </c>
      <c r="K297" s="382"/>
      <c r="L297" s="382"/>
      <c r="M297" s="382"/>
      <c r="N297" s="103">
        <v>80</v>
      </c>
      <c r="O297" s="387">
        <f>ROUND(+'Datos contribuyente'!K458+'Datos contribuyente'!O458+'Datos contribuyente'!S458+'Datos contribuyente'!W458,-3)</f>
        <v>0</v>
      </c>
      <c r="P297" s="387"/>
      <c r="Q297" s="240"/>
      <c r="R297" s="240"/>
      <c r="S297" s="240"/>
      <c r="T297" s="241"/>
      <c r="U297" s="241"/>
      <c r="V297" s="241"/>
      <c r="W297" s="241"/>
      <c r="X297" s="241"/>
      <c r="Y297" s="241"/>
      <c r="Z297" s="241"/>
    </row>
    <row r="298" spans="1:26" s="78" customFormat="1" ht="27" hidden="1" customHeight="1" x14ac:dyDescent="0.25">
      <c r="A298" s="80"/>
      <c r="B298" s="384"/>
      <c r="C298" s="384"/>
      <c r="D298" s="362" t="s">
        <v>783</v>
      </c>
      <c r="E298" s="362"/>
      <c r="F298" s="105">
        <v>46</v>
      </c>
      <c r="G298" s="106">
        <f>ROUND(+'Datos contribuyente'!I263+'Datos contribuyente'!M263+'Datos contribuyente'!Q263+'Datos contribuyente'!U263,-3)</f>
        <v>0</v>
      </c>
      <c r="H298" s="384"/>
      <c r="I298" s="391"/>
      <c r="J298" s="383" t="s">
        <v>809</v>
      </c>
      <c r="K298" s="383"/>
      <c r="L298" s="383"/>
      <c r="M298" s="383"/>
      <c r="N298" s="117">
        <v>81</v>
      </c>
      <c r="O298" s="388">
        <f ca="1">ROUND(+O294+O295+O296-O297,-3)</f>
        <v>0</v>
      </c>
      <c r="P298" s="388"/>
      <c r="Q298" s="240"/>
      <c r="R298" s="240"/>
      <c r="S298" s="240"/>
      <c r="T298" s="241"/>
      <c r="U298" s="241"/>
      <c r="V298" s="241"/>
      <c r="W298" s="241"/>
      <c r="X298" s="241"/>
      <c r="Y298" s="241"/>
      <c r="Z298" s="241"/>
    </row>
    <row r="299" spans="1:26" s="78" customFormat="1" ht="27" hidden="1" customHeight="1" x14ac:dyDescent="0.25">
      <c r="A299" s="80"/>
      <c r="B299" s="384"/>
      <c r="C299" s="384"/>
      <c r="D299" s="385" t="s">
        <v>784</v>
      </c>
      <c r="E299" s="385"/>
      <c r="F299" s="103">
        <v>47</v>
      </c>
      <c r="G299" s="104">
        <f>ROUND(+'Datos contribuyente'!I276+'Datos contribuyente'!M276+'Datos contribuyente'!Q276+'Datos contribuyente'!U276,-3)</f>
        <v>0</v>
      </c>
      <c r="H299" s="384"/>
      <c r="I299" s="393" t="s">
        <v>810</v>
      </c>
      <c r="J299" s="393"/>
      <c r="K299" s="393"/>
      <c r="L299" s="393"/>
      <c r="M299" s="393"/>
      <c r="N299" s="107">
        <v>82</v>
      </c>
      <c r="O299" s="392">
        <f ca="1">ROUND(+IF(O284-O298&gt;0,O284-O298,0),-3)</f>
        <v>0</v>
      </c>
      <c r="P299" s="392"/>
      <c r="Q299" s="240"/>
      <c r="R299" s="240"/>
      <c r="S299" s="240"/>
      <c r="T299" s="241"/>
      <c r="U299" s="241"/>
      <c r="V299" s="241"/>
      <c r="W299" s="241"/>
      <c r="X299" s="241"/>
      <c r="Y299" s="241"/>
      <c r="Z299" s="241"/>
    </row>
    <row r="300" spans="1:26" s="78" customFormat="1" ht="27" hidden="1" customHeight="1" x14ac:dyDescent="0.25">
      <c r="A300" s="80"/>
      <c r="B300" s="384"/>
      <c r="C300" s="384"/>
      <c r="D300" s="362" t="s">
        <v>785</v>
      </c>
      <c r="E300" s="362"/>
      <c r="F300" s="105">
        <v>48</v>
      </c>
      <c r="G300" s="106">
        <f>ROUND(+'Datos contribuyente'!I289+'Datos contribuyente'!M289+'Datos contribuyente'!Q289+'Datos contribuyente'!U289,-3)</f>
        <v>0</v>
      </c>
      <c r="H300" s="384"/>
      <c r="I300" s="394" t="s">
        <v>811</v>
      </c>
      <c r="J300" s="394"/>
      <c r="K300" s="394"/>
      <c r="L300" s="394"/>
      <c r="M300" s="394"/>
      <c r="N300" s="102">
        <v>83</v>
      </c>
      <c r="O300" s="419">
        <f ca="1">ROUND(+IF(O298-O284&gt;0,O298-O284,0),-3)</f>
        <v>0</v>
      </c>
      <c r="P300" s="419"/>
      <c r="Q300" s="240"/>
      <c r="R300" s="240"/>
      <c r="S300" s="240"/>
      <c r="T300" s="241"/>
      <c r="U300" s="241"/>
      <c r="V300" s="241"/>
      <c r="W300" s="241"/>
      <c r="X300" s="241"/>
      <c r="Y300" s="241"/>
      <c r="Z300" s="241"/>
    </row>
    <row r="301" spans="1:26" s="78" customFormat="1" ht="27" hidden="1" customHeight="1" x14ac:dyDescent="0.25">
      <c r="A301" s="80"/>
      <c r="B301" s="384"/>
      <c r="C301" s="391"/>
      <c r="D301" s="418" t="s">
        <v>786</v>
      </c>
      <c r="E301" s="418"/>
      <c r="F301" s="112">
        <v>49</v>
      </c>
      <c r="G301" s="113">
        <f>ROUND(+'Datos contribuyente'!I303+'Datos contribuyente'!M303+'Datos contribuyente'!Q303+'Datos contribuyente'!U303,-3)</f>
        <v>0</v>
      </c>
      <c r="H301" s="384"/>
      <c r="I301" s="382" t="s">
        <v>49</v>
      </c>
      <c r="J301" s="382"/>
      <c r="K301" s="382"/>
      <c r="L301" s="382"/>
      <c r="M301" s="382"/>
      <c r="N301" s="103">
        <v>84</v>
      </c>
      <c r="O301" s="387">
        <f>ROUND(+IF('Datos contribuyente'!E982="No",'Datos contribuyente'!E981,0),-3)</f>
        <v>0</v>
      </c>
      <c r="P301" s="387"/>
      <c r="Q301" s="240"/>
      <c r="R301" s="240"/>
      <c r="S301" s="240"/>
      <c r="T301" s="241"/>
      <c r="U301" s="241"/>
      <c r="V301" s="241"/>
      <c r="W301" s="241"/>
      <c r="X301" s="241"/>
      <c r="Y301" s="241"/>
      <c r="Z301" s="241"/>
    </row>
    <row r="302" spans="1:26" s="78" customFormat="1" ht="27" hidden="1" customHeight="1" x14ac:dyDescent="0.25">
      <c r="A302" s="79"/>
      <c r="B302" s="384"/>
      <c r="C302" s="390" t="s">
        <v>50</v>
      </c>
      <c r="D302" s="362" t="s">
        <v>781</v>
      </c>
      <c r="E302" s="362"/>
      <c r="F302" s="105">
        <v>50</v>
      </c>
      <c r="G302" s="106">
        <f>ROUND(+'Datos contribuyente'!I317+'Datos contribuyente'!M317+'Datos contribuyente'!Q317+'Datos contribuyente'!U317,-3)</f>
        <v>0</v>
      </c>
      <c r="H302" s="384"/>
      <c r="I302" s="381" t="s">
        <v>51</v>
      </c>
      <c r="J302" s="381"/>
      <c r="K302" s="381"/>
      <c r="L302" s="381"/>
      <c r="M302" s="381"/>
      <c r="N302" s="105">
        <v>85</v>
      </c>
      <c r="O302" s="386">
        <f>ROUND(+'Datos contribuyente'!K472+'Datos contribuyente'!O472+'Datos contribuyente'!S472+'Datos contribuyente'!W472,-3)</f>
        <v>0</v>
      </c>
      <c r="P302" s="386"/>
      <c r="Q302" s="243"/>
      <c r="R302" s="240"/>
      <c r="S302" s="240"/>
      <c r="T302" s="241"/>
      <c r="U302" s="241"/>
      <c r="V302" s="241"/>
      <c r="W302" s="241"/>
      <c r="X302" s="241"/>
      <c r="Y302" s="241"/>
      <c r="Z302" s="241"/>
    </row>
    <row r="303" spans="1:26" s="78" customFormat="1" ht="27" hidden="1" customHeight="1" x14ac:dyDescent="0.25">
      <c r="A303" s="79"/>
      <c r="B303" s="384"/>
      <c r="C303" s="384"/>
      <c r="D303" s="385" t="s">
        <v>782</v>
      </c>
      <c r="E303" s="385"/>
      <c r="F303" s="103">
        <v>51</v>
      </c>
      <c r="G303" s="104">
        <f>ROUND(+'Datos contribuyente'!I331+'Datos contribuyente'!M331+'Datos contribuyente'!Q331+'Datos contribuyente'!U331,-3)</f>
        <v>0</v>
      </c>
      <c r="H303" s="384"/>
      <c r="I303" s="393" t="s">
        <v>812</v>
      </c>
      <c r="J303" s="393"/>
      <c r="K303" s="393"/>
      <c r="L303" s="393"/>
      <c r="M303" s="393"/>
      <c r="N303" s="107">
        <v>86</v>
      </c>
      <c r="O303" s="392">
        <f ca="1">ROUND(+IF(O299-O301-O302&gt;0,O299-O301-O302,0),-3)</f>
        <v>0</v>
      </c>
      <c r="P303" s="392"/>
      <c r="Q303" s="243"/>
      <c r="R303" s="240"/>
      <c r="S303" s="240"/>
      <c r="T303" s="241"/>
      <c r="U303" s="241"/>
      <c r="V303" s="241"/>
      <c r="W303" s="241"/>
      <c r="X303" s="241"/>
      <c r="Y303" s="241"/>
      <c r="Z303" s="241"/>
    </row>
    <row r="304" spans="1:26" s="78" customFormat="1" ht="27" hidden="1" customHeight="1" x14ac:dyDescent="0.25">
      <c r="A304" s="79"/>
      <c r="B304" s="384"/>
      <c r="C304" s="384"/>
      <c r="D304" s="362" t="s">
        <v>787</v>
      </c>
      <c r="E304" s="362"/>
      <c r="F304" s="105">
        <v>52</v>
      </c>
      <c r="G304" s="106">
        <f>ROUND(+'Datos contribuyente'!I345+'Datos contribuyente'!M345+'Datos contribuyente'!Q345+'Datos contribuyente'!U345,-3)</f>
        <v>0</v>
      </c>
      <c r="H304" s="384"/>
      <c r="I304" s="381" t="s">
        <v>52</v>
      </c>
      <c r="J304" s="381"/>
      <c r="K304" s="381"/>
      <c r="L304" s="381"/>
      <c r="M304" s="381"/>
      <c r="N304" s="105">
        <v>87</v>
      </c>
      <c r="O304" s="386">
        <f>ROUND(+'Datos contribuyente'!G910+'Datos contribuyente'!G940,-3)</f>
        <v>0</v>
      </c>
      <c r="P304" s="386"/>
      <c r="Q304" s="243"/>
      <c r="R304" s="240"/>
      <c r="S304" s="240"/>
      <c r="T304" s="241"/>
      <c r="U304" s="241"/>
      <c r="V304" s="241"/>
      <c r="W304" s="241"/>
      <c r="X304" s="241"/>
      <c r="Y304" s="241"/>
      <c r="Z304" s="241"/>
    </row>
    <row r="305" spans="1:26" s="78" customFormat="1" ht="27" hidden="1" customHeight="1" x14ac:dyDescent="0.25">
      <c r="A305" s="80"/>
      <c r="B305" s="384"/>
      <c r="C305" s="384"/>
      <c r="D305" s="385" t="s">
        <v>788</v>
      </c>
      <c r="E305" s="385"/>
      <c r="F305" s="103">
        <v>53</v>
      </c>
      <c r="G305" s="104">
        <f>ROUND(+'Datos contribuyente'!I359+'Datos contribuyente'!M359+'Datos contribuyente'!Q359+'Datos contribuyente'!U359,-3)</f>
        <v>0</v>
      </c>
      <c r="H305" s="384"/>
      <c r="I305" s="393" t="s">
        <v>813</v>
      </c>
      <c r="J305" s="393"/>
      <c r="K305" s="393"/>
      <c r="L305" s="393"/>
      <c r="M305" s="393"/>
      <c r="N305" s="107">
        <v>88</v>
      </c>
      <c r="O305" s="392">
        <f ca="1">ROUND(+IF(O299-O301-O302+O304&gt;0,O299-O301-O302+O304,0),-3)</f>
        <v>0</v>
      </c>
      <c r="P305" s="392"/>
      <c r="Q305" s="243"/>
      <c r="R305" s="240"/>
      <c r="S305" s="240"/>
      <c r="T305" s="241"/>
      <c r="U305" s="241"/>
      <c r="V305" s="241"/>
      <c r="W305" s="241"/>
      <c r="X305" s="241"/>
      <c r="Y305" s="241"/>
      <c r="Z305" s="241"/>
    </row>
    <row r="306" spans="1:26" s="78" customFormat="1" ht="27" hidden="1" customHeight="1" x14ac:dyDescent="0.25">
      <c r="A306" s="80"/>
      <c r="B306" s="384"/>
      <c r="C306" s="391"/>
      <c r="D306" s="420" t="s">
        <v>789</v>
      </c>
      <c r="E306" s="420"/>
      <c r="F306" s="114">
        <v>54</v>
      </c>
      <c r="G306" s="115">
        <f>ROUND(+'Datos contribuyente'!I372+'Datos contribuyente'!M372+'Datos contribuyente'!Q372+'Datos contribuyente'!U372,-3)</f>
        <v>0</v>
      </c>
      <c r="H306" s="391"/>
      <c r="I306" s="383" t="s">
        <v>1034</v>
      </c>
      <c r="J306" s="383"/>
      <c r="K306" s="383"/>
      <c r="L306" s="383"/>
      <c r="M306" s="383"/>
      <c r="N306" s="117">
        <v>89</v>
      </c>
      <c r="O306" s="388">
        <f ca="1">+IF(O300+O301+O302-O304-O303-O299&gt;0,O300+O301+O302-O304-O303-O299,0)</f>
        <v>0</v>
      </c>
      <c r="P306" s="388"/>
      <c r="Q306" s="240"/>
      <c r="R306" s="240"/>
      <c r="S306" s="240"/>
      <c r="T306" s="241"/>
      <c r="U306" s="241"/>
      <c r="V306" s="241"/>
      <c r="W306" s="241"/>
      <c r="X306" s="241"/>
      <c r="Y306" s="241"/>
      <c r="Z306" s="241"/>
    </row>
    <row r="307" spans="1:26" s="78" customFormat="1" ht="27" hidden="1" customHeight="1" x14ac:dyDescent="0.25">
      <c r="A307" s="80"/>
      <c r="B307" s="384"/>
      <c r="C307" s="395" t="s">
        <v>790</v>
      </c>
      <c r="D307" s="395"/>
      <c r="E307" s="395"/>
      <c r="F307" s="107">
        <v>55</v>
      </c>
      <c r="G307" s="108">
        <f>ROUND(+SUM(G296:G306),-3)</f>
        <v>0</v>
      </c>
      <c r="H307" s="390" t="s">
        <v>53</v>
      </c>
      <c r="I307" s="380" t="s">
        <v>54</v>
      </c>
      <c r="J307" s="380"/>
      <c r="K307" s="380"/>
      <c r="L307" s="380"/>
      <c r="M307" s="380"/>
      <c r="N307" s="116">
        <v>90</v>
      </c>
      <c r="O307" s="389">
        <f>ROUND(+'Datos contribuyente'!G973,-3)</f>
        <v>0</v>
      </c>
      <c r="P307" s="389"/>
      <c r="Q307" s="240"/>
      <c r="R307" s="240"/>
      <c r="S307" s="240"/>
      <c r="T307" s="241"/>
      <c r="U307" s="241"/>
      <c r="V307" s="241"/>
      <c r="W307" s="241"/>
      <c r="X307" s="241"/>
      <c r="Y307" s="241"/>
      <c r="Z307" s="241"/>
    </row>
    <row r="308" spans="1:26" s="78" customFormat="1" ht="27" hidden="1" customHeight="1" x14ac:dyDescent="0.25">
      <c r="A308" s="80"/>
      <c r="B308" s="384"/>
      <c r="C308" s="362" t="s">
        <v>791</v>
      </c>
      <c r="D308" s="362"/>
      <c r="E308" s="362"/>
      <c r="F308" s="105">
        <v>56</v>
      </c>
      <c r="G308" s="106">
        <f>ROUND(+'Datos contribuyente'!I386+'Datos contribuyente'!M386+'Datos contribuyente'!Q386+'Datos contribuyente'!U386,-3)</f>
        <v>0</v>
      </c>
      <c r="H308" s="384"/>
      <c r="I308" s="381" t="s">
        <v>55</v>
      </c>
      <c r="J308" s="381"/>
      <c r="K308" s="381"/>
      <c r="L308" s="381"/>
      <c r="M308" s="381"/>
      <c r="N308" s="105">
        <v>91</v>
      </c>
      <c r="O308" s="386">
        <f ca="1">ROUND(+'Datos contribuyente'!G974,-3)</f>
        <v>0</v>
      </c>
      <c r="P308" s="386"/>
      <c r="Q308" s="240"/>
      <c r="R308" s="240"/>
      <c r="S308" s="240"/>
      <c r="T308" s="241"/>
      <c r="U308" s="241"/>
      <c r="V308" s="241"/>
      <c r="W308" s="241"/>
      <c r="X308" s="241"/>
      <c r="Y308" s="241"/>
      <c r="Z308" s="241"/>
    </row>
    <row r="309" spans="1:26" s="78" customFormat="1" ht="27" hidden="1" customHeight="1" x14ac:dyDescent="0.25">
      <c r="A309" s="80"/>
      <c r="B309" s="384"/>
      <c r="C309" s="409" t="s">
        <v>792</v>
      </c>
      <c r="D309" s="409"/>
      <c r="E309" s="409"/>
      <c r="F309" s="110">
        <v>57</v>
      </c>
      <c r="G309" s="111">
        <f>ROUND(+G307-G308,-3)</f>
        <v>0</v>
      </c>
      <c r="H309" s="384"/>
      <c r="I309" s="382" t="s">
        <v>56</v>
      </c>
      <c r="J309" s="382"/>
      <c r="K309" s="382"/>
      <c r="L309" s="382"/>
      <c r="M309" s="382"/>
      <c r="N309" s="103">
        <v>92</v>
      </c>
      <c r="O309" s="387">
        <f>ROUND(+'Datos contribuyente'!G975,-3)</f>
        <v>0</v>
      </c>
      <c r="P309" s="387"/>
      <c r="Q309" s="240"/>
      <c r="R309" s="240"/>
      <c r="S309" s="240"/>
      <c r="T309" s="241"/>
      <c r="U309" s="241"/>
      <c r="V309" s="241"/>
      <c r="W309" s="241"/>
      <c r="X309" s="241"/>
      <c r="Y309" s="241"/>
      <c r="Z309" s="241"/>
    </row>
    <row r="310" spans="1:26" s="78" customFormat="1" ht="27" hidden="1" customHeight="1" x14ac:dyDescent="0.25">
      <c r="A310" s="80"/>
      <c r="B310" s="399" t="s">
        <v>57</v>
      </c>
      <c r="C310" s="399" t="s">
        <v>794</v>
      </c>
      <c r="D310" s="402" t="s">
        <v>795</v>
      </c>
      <c r="E310" s="402"/>
      <c r="F310" s="118">
        <v>58</v>
      </c>
      <c r="G310" s="119">
        <f>ROUND(+'Datos contribuyente'!K30+'Datos contribuyente'!O30+'Datos contribuyente'!S30+'Datos contribuyente'!W30,-3)</f>
        <v>0</v>
      </c>
      <c r="H310" s="391"/>
      <c r="I310" s="383" t="s">
        <v>814</v>
      </c>
      <c r="J310" s="383"/>
      <c r="K310" s="383"/>
      <c r="L310" s="383"/>
      <c r="M310" s="383"/>
      <c r="N310" s="117">
        <v>93</v>
      </c>
      <c r="O310" s="388">
        <f ca="1">ROUND(+'Datos contribuyente'!G976,-3)</f>
        <v>0</v>
      </c>
      <c r="P310" s="388"/>
      <c r="Q310" s="240"/>
      <c r="R310" s="240"/>
      <c r="S310" s="240"/>
      <c r="T310" s="241"/>
      <c r="U310" s="241"/>
      <c r="V310" s="241"/>
      <c r="W310" s="241"/>
      <c r="X310" s="241"/>
      <c r="Y310" s="241"/>
      <c r="Z310" s="241"/>
    </row>
    <row r="311" spans="1:26" s="78" customFormat="1" ht="27" hidden="1" customHeight="1" x14ac:dyDescent="0.25">
      <c r="A311" s="80"/>
      <c r="B311" s="400"/>
      <c r="C311" s="400"/>
      <c r="D311" s="385" t="s">
        <v>796</v>
      </c>
      <c r="E311" s="385"/>
      <c r="F311" s="103">
        <v>59</v>
      </c>
      <c r="G311" s="104">
        <f>ROUND(+'Datos contribuyente'!K44+'Datos contribuyente'!O44+'Datos contribuyente'!S44+'Datos contribuyente'!W44,-3)</f>
        <v>0</v>
      </c>
      <c r="H311" s="399" t="s">
        <v>815</v>
      </c>
      <c r="I311" s="399"/>
      <c r="J311" s="403" t="s">
        <v>58</v>
      </c>
      <c r="K311" s="98">
        <v>1</v>
      </c>
      <c r="L311" s="132">
        <v>0</v>
      </c>
      <c r="M311" s="403" t="s">
        <v>58</v>
      </c>
      <c r="N311" s="101">
        <v>4</v>
      </c>
      <c r="O311" s="406">
        <v>0</v>
      </c>
      <c r="P311" s="406"/>
      <c r="Q311" s="240"/>
      <c r="R311" s="240"/>
      <c r="S311" s="240"/>
      <c r="T311" s="241"/>
      <c r="U311" s="241"/>
      <c r="V311" s="241"/>
      <c r="W311" s="241"/>
      <c r="X311" s="241"/>
      <c r="Y311" s="241"/>
      <c r="Z311" s="241"/>
    </row>
    <row r="312" spans="1:26" s="78" customFormat="1" ht="27" hidden="1" customHeight="1" x14ac:dyDescent="0.25">
      <c r="A312" s="80"/>
      <c r="B312" s="400"/>
      <c r="C312" s="400"/>
      <c r="D312" s="362" t="s">
        <v>765</v>
      </c>
      <c r="E312" s="362"/>
      <c r="F312" s="105">
        <v>60</v>
      </c>
      <c r="G312" s="109">
        <f>ROUND(+'Datos contribuyente'!K58+'Datos contribuyente'!O58+'Datos contribuyente'!S58+'Datos contribuyente'!W58,-3)</f>
        <v>0</v>
      </c>
      <c r="H312" s="400"/>
      <c r="I312" s="400"/>
      <c r="J312" s="404"/>
      <c r="K312" s="96">
        <v>2</v>
      </c>
      <c r="L312" s="133">
        <v>0</v>
      </c>
      <c r="M312" s="404"/>
      <c r="N312" s="101">
        <v>5</v>
      </c>
      <c r="O312" s="407">
        <v>0</v>
      </c>
      <c r="P312" s="407"/>
      <c r="Q312" s="240"/>
      <c r="R312" s="240"/>
      <c r="S312" s="240"/>
      <c r="T312" s="241"/>
      <c r="U312" s="241"/>
      <c r="V312" s="241"/>
      <c r="W312" s="241"/>
      <c r="X312" s="241"/>
      <c r="Y312" s="241"/>
      <c r="Z312" s="241"/>
    </row>
    <row r="313" spans="1:26" s="78" customFormat="1" ht="27" hidden="1" customHeight="1" x14ac:dyDescent="0.25">
      <c r="A313" s="80"/>
      <c r="B313" s="401"/>
      <c r="C313" s="401"/>
      <c r="D313" s="418" t="s">
        <v>797</v>
      </c>
      <c r="E313" s="418"/>
      <c r="F313" s="112">
        <v>61</v>
      </c>
      <c r="G313" s="113">
        <f>ROUND(+'Datos contribuyente'!K124+'Datos contribuyente'!O124+'Datos contribuyente'!S124+'Datos contribuyente'!W124,-4)</f>
        <v>0</v>
      </c>
      <c r="H313" s="401"/>
      <c r="I313" s="401"/>
      <c r="J313" s="405"/>
      <c r="K313" s="98">
        <v>3</v>
      </c>
      <c r="L313" s="128">
        <v>0</v>
      </c>
      <c r="M313" s="405"/>
      <c r="N313" s="101">
        <v>6</v>
      </c>
      <c r="O313" s="408">
        <v>0</v>
      </c>
      <c r="P313" s="408"/>
      <c r="Q313" s="240"/>
      <c r="R313" s="240"/>
      <c r="S313" s="240"/>
      <c r="T313" s="241"/>
      <c r="U313" s="241"/>
      <c r="V313" s="241"/>
      <c r="W313" s="241"/>
      <c r="X313" s="241"/>
      <c r="Y313" s="241"/>
      <c r="Z313" s="241"/>
    </row>
    <row r="314" spans="1:26" s="78" customFormat="1" ht="27" hidden="1" customHeight="1" x14ac:dyDescent="0.25">
      <c r="A314" s="80"/>
      <c r="B314" s="396" t="s">
        <v>59</v>
      </c>
      <c r="C314" s="397"/>
      <c r="D314" s="397"/>
      <c r="E314" s="397"/>
      <c r="F314" s="120"/>
      <c r="G314" s="97"/>
      <c r="H314" s="398" t="s">
        <v>816</v>
      </c>
      <c r="I314" s="398"/>
      <c r="J314" s="398"/>
      <c r="K314" s="398"/>
      <c r="L314" s="398"/>
      <c r="M314" s="376">
        <v>100</v>
      </c>
      <c r="N314" s="377"/>
      <c r="O314" s="421">
        <v>0</v>
      </c>
      <c r="P314" s="421"/>
      <c r="Q314" s="240"/>
      <c r="R314" s="240"/>
      <c r="S314" s="240"/>
      <c r="T314" s="241"/>
      <c r="U314" s="241"/>
      <c r="V314" s="241"/>
      <c r="W314" s="241"/>
      <c r="X314" s="241"/>
      <c r="Y314" s="241"/>
      <c r="Z314" s="241"/>
    </row>
    <row r="315" spans="1:26" hidden="1" x14ac:dyDescent="0.25"/>
    <row r="316" spans="1:26" s="10" customFormat="1" ht="36" hidden="1" customHeight="1" x14ac:dyDescent="0.3">
      <c r="B316" s="423" t="s">
        <v>953</v>
      </c>
      <c r="C316" s="423"/>
      <c r="D316" s="423"/>
      <c r="E316" s="423"/>
      <c r="F316" s="423"/>
      <c r="G316" s="423"/>
      <c r="H316" s="423"/>
      <c r="I316" s="423"/>
      <c r="J316" s="423"/>
      <c r="K316" s="423"/>
      <c r="L316" s="423"/>
      <c r="M316" s="423"/>
      <c r="N316" s="423"/>
      <c r="O316" s="423"/>
      <c r="P316" s="423"/>
    </row>
    <row r="317" spans="1:26" hidden="1" x14ac:dyDescent="0.25">
      <c r="G317" s="134"/>
    </row>
    <row r="318" spans="1:26" s="75" customFormat="1" ht="60" hidden="1" customHeight="1" x14ac:dyDescent="0.25">
      <c r="A318" s="74"/>
      <c r="B318" s="368"/>
      <c r="C318" s="368"/>
      <c r="D318" s="368"/>
      <c r="E318" s="378" t="s">
        <v>817</v>
      </c>
      <c r="F318" s="378"/>
      <c r="G318" s="378"/>
      <c r="H318" s="378"/>
      <c r="I318" s="378"/>
      <c r="J318" s="378"/>
      <c r="K318" s="378"/>
      <c r="L318" s="369" t="s">
        <v>31</v>
      </c>
      <c r="M318" s="369"/>
      <c r="N318" s="369"/>
      <c r="O318" s="379">
        <v>300</v>
      </c>
      <c r="P318" s="379"/>
      <c r="Q318" s="234"/>
      <c r="R318" s="235"/>
      <c r="S318" s="235"/>
      <c r="T318" s="236"/>
      <c r="U318" s="236"/>
      <c r="V318" s="236"/>
      <c r="W318" s="236"/>
      <c r="X318" s="236"/>
      <c r="Y318" s="236"/>
      <c r="Z318" s="236"/>
    </row>
    <row r="319" spans="1:26" s="77" customFormat="1" ht="27.6" hidden="1" customHeight="1" x14ac:dyDescent="0.25">
      <c r="A319" s="76"/>
      <c r="B319" s="370" t="s">
        <v>32</v>
      </c>
      <c r="C319" s="370"/>
      <c r="D319" s="121">
        <f>+'Datos contribuyente'!$I$6</f>
        <v>2025</v>
      </c>
      <c r="E319" s="100">
        <v>6</v>
      </c>
      <c r="F319" s="416" t="s">
        <v>33</v>
      </c>
      <c r="G319" s="417"/>
      <c r="H319" s="376">
        <v>2</v>
      </c>
      <c r="I319" s="377"/>
      <c r="J319" s="364" t="s">
        <v>34</v>
      </c>
      <c r="K319" s="364"/>
      <c r="L319" s="364"/>
      <c r="M319" s="364"/>
      <c r="N319" s="364"/>
      <c r="O319" s="364"/>
      <c r="P319" s="364"/>
      <c r="Q319" s="237"/>
      <c r="R319" s="238"/>
      <c r="S319" s="238"/>
      <c r="T319" s="239"/>
      <c r="U319" s="239"/>
      <c r="V319" s="239"/>
      <c r="W319" s="239"/>
      <c r="X319" s="239"/>
      <c r="Y319" s="239"/>
      <c r="Z319" s="239"/>
    </row>
    <row r="320" spans="1:26" s="77" customFormat="1" ht="27.6" hidden="1" customHeight="1" x14ac:dyDescent="0.25">
      <c r="A320" s="76"/>
      <c r="B320" s="363" t="s">
        <v>770</v>
      </c>
      <c r="C320" s="363"/>
      <c r="D320" s="364" t="s">
        <v>35</v>
      </c>
      <c r="E320" s="364"/>
      <c r="F320" s="410" t="s">
        <v>36</v>
      </c>
      <c r="G320" s="411"/>
      <c r="H320" s="411"/>
      <c r="I320" s="411"/>
      <c r="J320" s="411"/>
      <c r="K320" s="411"/>
      <c r="L320" s="411"/>
      <c r="M320" s="412"/>
      <c r="N320" s="364" t="s">
        <v>37</v>
      </c>
      <c r="O320" s="364"/>
      <c r="P320" s="364"/>
      <c r="Q320" s="237"/>
      <c r="R320" s="238"/>
      <c r="S320" s="238"/>
      <c r="T320" s="239"/>
      <c r="U320" s="239"/>
      <c r="V320" s="239"/>
      <c r="W320" s="239"/>
      <c r="X320" s="239"/>
      <c r="Y320" s="239"/>
      <c r="Z320" s="239"/>
    </row>
    <row r="321" spans="1:26" s="77" customFormat="1" ht="27.6" hidden="1" customHeight="1" x14ac:dyDescent="0.25">
      <c r="A321" s="99"/>
      <c r="B321" s="363"/>
      <c r="C321" s="363"/>
      <c r="D321" s="365">
        <f>+'Datos contribuyente'!$E$6</f>
        <v>0</v>
      </c>
      <c r="E321" s="366"/>
      <c r="F321" s="413" t="s">
        <v>38</v>
      </c>
      <c r="G321" s="414"/>
      <c r="H321" s="414"/>
      <c r="I321" s="414"/>
      <c r="J321" s="414"/>
      <c r="K321" s="414"/>
      <c r="L321" s="414"/>
      <c r="M321" s="415"/>
      <c r="N321" s="367"/>
      <c r="O321" s="367"/>
      <c r="P321" s="367"/>
      <c r="Q321" s="238"/>
      <c r="R321" s="238"/>
      <c r="S321" s="238"/>
      <c r="T321" s="239"/>
      <c r="U321" s="239"/>
      <c r="V321" s="239"/>
      <c r="W321" s="239"/>
      <c r="X321" s="239"/>
      <c r="Y321" s="239"/>
      <c r="Z321" s="239"/>
    </row>
    <row r="322" spans="1:26" s="77" customFormat="1" ht="27.6" hidden="1" customHeight="1" x14ac:dyDescent="0.25">
      <c r="A322" s="99"/>
      <c r="B322" s="363"/>
      <c r="C322" s="363"/>
      <c r="D322" s="371" t="s">
        <v>818</v>
      </c>
      <c r="E322" s="372"/>
      <c r="F322" s="373">
        <f>+'Datos contribuyente'!$B$6</f>
        <v>0</v>
      </c>
      <c r="G322" s="374"/>
      <c r="H322" s="374"/>
      <c r="I322" s="374"/>
      <c r="J322" s="374"/>
      <c r="K322" s="374"/>
      <c r="L322" s="374"/>
      <c r="M322" s="374"/>
      <c r="N322" s="374"/>
      <c r="O322" s="374"/>
      <c r="P322" s="375"/>
      <c r="Q322" s="238"/>
      <c r="R322" s="238"/>
      <c r="S322" s="238"/>
      <c r="T322" s="239"/>
      <c r="U322" s="239"/>
      <c r="V322" s="239"/>
      <c r="W322" s="239"/>
      <c r="X322" s="239"/>
      <c r="Y322" s="239"/>
      <c r="Z322" s="239"/>
    </row>
    <row r="323" spans="1:26" s="78" customFormat="1" ht="27" hidden="1" customHeight="1" x14ac:dyDescent="0.25">
      <c r="A323" s="80"/>
      <c r="B323" s="384" t="s">
        <v>771</v>
      </c>
      <c r="C323" s="385" t="s">
        <v>761</v>
      </c>
      <c r="D323" s="385"/>
      <c r="E323" s="385"/>
      <c r="F323" s="103">
        <v>27</v>
      </c>
      <c r="G323" s="104">
        <f>ROUND(+'Datos contribuyente'!Y30+'Datos contribuyente'!AC30+'Datos contribuyente'!AG30+'Datos contribuyente'!AK30,-3)</f>
        <v>0</v>
      </c>
      <c r="H323" s="390" t="s">
        <v>39</v>
      </c>
      <c r="I323" s="390" t="s">
        <v>40</v>
      </c>
      <c r="J323" s="380" t="s">
        <v>41</v>
      </c>
      <c r="K323" s="380"/>
      <c r="L323" s="380"/>
      <c r="M323" s="380"/>
      <c r="N323" s="116">
        <v>62</v>
      </c>
      <c r="O323" s="389">
        <f>ROUND(+'Datos contribuyente'!AA151+'Datos contribuyente'!AE151+'Datos contribuyente'!AI151+'Datos contribuyente'!AM151,-3)</f>
        <v>0</v>
      </c>
      <c r="P323" s="389"/>
      <c r="Q323" s="240"/>
      <c r="R323" s="240"/>
      <c r="S323" s="240"/>
      <c r="T323" s="241"/>
      <c r="U323" s="241"/>
      <c r="V323" s="241"/>
      <c r="W323" s="241"/>
      <c r="X323" s="241"/>
      <c r="Y323" s="241"/>
      <c r="Z323" s="241"/>
    </row>
    <row r="324" spans="1:26" s="78" customFormat="1" ht="27" hidden="1" customHeight="1" x14ac:dyDescent="0.25">
      <c r="A324" s="80"/>
      <c r="B324" s="384"/>
      <c r="C324" s="362" t="s">
        <v>762</v>
      </c>
      <c r="D324" s="362"/>
      <c r="E324" s="362"/>
      <c r="F324" s="105">
        <v>28</v>
      </c>
      <c r="G324" s="106">
        <f>ROUND(+'Datos contribuyente'!Y44+'Datos contribuyente'!AC44+'Datos contribuyente'!AG44+'Datos contribuyente'!AK44,-3)</f>
        <v>0</v>
      </c>
      <c r="H324" s="384"/>
      <c r="I324" s="384"/>
      <c r="J324" s="381" t="s">
        <v>42</v>
      </c>
      <c r="K324" s="381"/>
      <c r="L324" s="381"/>
      <c r="M324" s="381"/>
      <c r="N324" s="105">
        <v>63</v>
      </c>
      <c r="O324" s="386">
        <f>ROUND(+'Datos contribuyente'!AA165+'Datos contribuyente'!AE165+'Datos contribuyente'!AI165+'Datos contribuyente'!AM165,-3)</f>
        <v>0</v>
      </c>
      <c r="P324" s="386"/>
      <c r="Q324" s="240"/>
      <c r="R324" s="240"/>
      <c r="S324" s="240"/>
      <c r="T324" s="241"/>
      <c r="U324" s="241"/>
      <c r="V324" s="241"/>
      <c r="W324" s="241"/>
      <c r="X324" s="241"/>
      <c r="Y324" s="241"/>
      <c r="Z324" s="241"/>
    </row>
    <row r="325" spans="1:26" s="78" customFormat="1" ht="27" hidden="1" customHeight="1" x14ac:dyDescent="0.25">
      <c r="A325" s="80"/>
      <c r="B325" s="384"/>
      <c r="C325" s="385" t="s">
        <v>763</v>
      </c>
      <c r="D325" s="385"/>
      <c r="E325" s="385"/>
      <c r="F325" s="103">
        <v>29</v>
      </c>
      <c r="G325" s="104">
        <f>ROUND(+'Datos contribuyente'!Y58+'Datos contribuyente'!AC58+'Datos contribuyente'!AG58+'Datos contribuyente'!AK58,-3)</f>
        <v>0</v>
      </c>
      <c r="H325" s="384"/>
      <c r="I325" s="384"/>
      <c r="J325" s="382" t="s">
        <v>43</v>
      </c>
      <c r="K325" s="382"/>
      <c r="L325" s="382"/>
      <c r="M325" s="382"/>
      <c r="N325" s="103">
        <v>64</v>
      </c>
      <c r="O325" s="387">
        <f>ROUND(+'Datos contribuyente'!AA179+'Datos contribuyente'!AE179+'Datos contribuyente'!AI179+'Datos contribuyente'!AM179,-3)</f>
        <v>0</v>
      </c>
      <c r="P325" s="387"/>
      <c r="Q325" s="240"/>
      <c r="R325" s="240"/>
      <c r="S325" s="240"/>
      <c r="T325" s="241"/>
      <c r="U325" s="241"/>
      <c r="V325" s="241"/>
      <c r="W325" s="241"/>
      <c r="X325" s="241"/>
      <c r="Y325" s="241"/>
      <c r="Z325" s="241"/>
    </row>
    <row r="326" spans="1:26" s="78" customFormat="1" ht="27" hidden="1" customHeight="1" x14ac:dyDescent="0.25">
      <c r="A326" s="80"/>
      <c r="B326" s="384"/>
      <c r="C326" s="362" t="s">
        <v>766</v>
      </c>
      <c r="D326" s="362"/>
      <c r="E326" s="362"/>
      <c r="F326" s="105">
        <v>30</v>
      </c>
      <c r="G326" s="106">
        <f>ROUND(+'Datos contribuyente'!Y71+'Datos contribuyente'!AC71+'Datos contribuyente'!AG71+'Datos contribuyente'!AK71,-3)</f>
        <v>0</v>
      </c>
      <c r="H326" s="384"/>
      <c r="I326" s="384"/>
      <c r="J326" s="381" t="s">
        <v>798</v>
      </c>
      <c r="K326" s="381"/>
      <c r="L326" s="381"/>
      <c r="M326" s="381"/>
      <c r="N326" s="105">
        <v>65</v>
      </c>
      <c r="O326" s="386">
        <f>ROUND(+'Datos contribuyente'!AA402+'Datos contribuyente'!AE402+'Datos contribuyente'!AI402+'Datos contribuyente'!AM402,-3)</f>
        <v>0</v>
      </c>
      <c r="P326" s="386"/>
      <c r="Q326" s="240"/>
      <c r="R326" s="240"/>
      <c r="S326" s="240"/>
      <c r="T326" s="241"/>
      <c r="U326" s="241"/>
      <c r="V326" s="241"/>
      <c r="W326" s="241"/>
      <c r="X326" s="241"/>
      <c r="Y326" s="241"/>
      <c r="Z326" s="241"/>
    </row>
    <row r="327" spans="1:26" s="78" customFormat="1" ht="27" hidden="1" customHeight="1" x14ac:dyDescent="0.25">
      <c r="A327" s="80"/>
      <c r="B327" s="384"/>
      <c r="C327" s="385" t="s">
        <v>767</v>
      </c>
      <c r="D327" s="385"/>
      <c r="E327" s="385"/>
      <c r="F327" s="103">
        <v>31</v>
      </c>
      <c r="G327" s="104">
        <f>ROUND(+'Datos contribuyente'!Y84+'Datos contribuyente'!AC84+'Datos contribuyente'!AG84+'Datos contribuyente'!AK84,-3)</f>
        <v>0</v>
      </c>
      <c r="H327" s="384"/>
      <c r="I327" s="384"/>
      <c r="J327" s="382" t="s">
        <v>764</v>
      </c>
      <c r="K327" s="382"/>
      <c r="L327" s="382"/>
      <c r="M327" s="382"/>
      <c r="N327" s="103">
        <v>66</v>
      </c>
      <c r="O327" s="387">
        <f>ROUND(+IF('Datos contribuyente'!D762="No",'Datos contribuyente'!E789,'Datos contribuyente'!E789-'Datos contribuyente'!G789),-3)</f>
        <v>0</v>
      </c>
      <c r="P327" s="387"/>
      <c r="Q327" s="240"/>
      <c r="R327" s="240"/>
      <c r="S327" s="240"/>
      <c r="T327" s="241"/>
      <c r="U327" s="241"/>
      <c r="V327" s="241"/>
      <c r="W327" s="241"/>
      <c r="X327" s="241"/>
      <c r="Y327" s="241"/>
      <c r="Z327" s="241"/>
    </row>
    <row r="328" spans="1:26" s="78" customFormat="1" ht="27" hidden="1" customHeight="1" x14ac:dyDescent="0.25">
      <c r="A328" s="80"/>
      <c r="B328" s="384"/>
      <c r="C328" s="362" t="s">
        <v>768</v>
      </c>
      <c r="D328" s="362"/>
      <c r="E328" s="362"/>
      <c r="F328" s="105">
        <v>32</v>
      </c>
      <c r="G328" s="106">
        <f>ROUND(+'Datos contribuyente'!Y97+'Datos contribuyente'!AC97+'Datos contribuyente'!AG97+'Datos contribuyente'!AK97,-3)</f>
        <v>0</v>
      </c>
      <c r="H328" s="384"/>
      <c r="I328" s="391"/>
      <c r="J328" s="383" t="s">
        <v>799</v>
      </c>
      <c r="K328" s="383"/>
      <c r="L328" s="383"/>
      <c r="M328" s="383"/>
      <c r="N328" s="117">
        <v>67</v>
      </c>
      <c r="O328" s="388">
        <f>ROUND(+SUM(G354:G357,O323:P327),-3)</f>
        <v>0</v>
      </c>
      <c r="P328" s="388"/>
      <c r="Q328" s="240"/>
      <c r="R328" s="240"/>
      <c r="S328" s="240"/>
      <c r="T328" s="241"/>
      <c r="U328" s="241"/>
      <c r="V328" s="241"/>
      <c r="W328" s="241"/>
      <c r="X328" s="241"/>
      <c r="Y328" s="241"/>
      <c r="Z328" s="241"/>
    </row>
    <row r="329" spans="1:26" s="78" customFormat="1" ht="27" hidden="1" customHeight="1" x14ac:dyDescent="0.25">
      <c r="A329" s="80"/>
      <c r="B329" s="384"/>
      <c r="C329" s="385" t="s">
        <v>769</v>
      </c>
      <c r="D329" s="385"/>
      <c r="E329" s="385"/>
      <c r="F329" s="103">
        <v>33</v>
      </c>
      <c r="G329" s="104">
        <f>ROUND(+'Datos contribuyente'!Y110+'Datos contribuyente'!AC110+'Datos contribuyente'!AG110+'Datos contribuyente'!AK110,-3)</f>
        <v>0</v>
      </c>
      <c r="H329" s="384"/>
      <c r="I329" s="390" t="s">
        <v>44</v>
      </c>
      <c r="J329" s="380" t="s">
        <v>800</v>
      </c>
      <c r="K329" s="380"/>
      <c r="L329" s="380"/>
      <c r="M329" s="380"/>
      <c r="N329" s="116">
        <v>68</v>
      </c>
      <c r="O329" s="389">
        <f>ROUND(+IF('Datos contribuyente'!$D$762="No",'Datos contribuyente'!E790,'Datos contribuyente'!E790-'Datos contribuyente'!G790),-3)</f>
        <v>0</v>
      </c>
      <c r="P329" s="389"/>
      <c r="Q329" s="240"/>
      <c r="R329" s="240"/>
      <c r="S329" s="240"/>
      <c r="T329" s="241"/>
      <c r="U329" s="241"/>
      <c r="V329" s="241"/>
      <c r="W329" s="241"/>
      <c r="X329" s="241"/>
      <c r="Y329" s="241"/>
      <c r="Z329" s="241"/>
    </row>
    <row r="330" spans="1:26" s="78" customFormat="1" ht="27" hidden="1" customHeight="1" x14ac:dyDescent="0.25">
      <c r="A330" s="80"/>
      <c r="B330" s="384"/>
      <c r="C330" s="362" t="s">
        <v>772</v>
      </c>
      <c r="D330" s="362"/>
      <c r="E330" s="362"/>
      <c r="F330" s="105">
        <v>34</v>
      </c>
      <c r="G330" s="106">
        <f>ROUND(+'Datos contribuyente'!Y124+'Datos contribuyente'!AC124+'Datos contribuyente'!AG124+'Datos contribuyente'!AK124,-3)</f>
        <v>0</v>
      </c>
      <c r="H330" s="384"/>
      <c r="I330" s="384"/>
      <c r="J330" s="381" t="s">
        <v>801</v>
      </c>
      <c r="K330" s="381"/>
      <c r="L330" s="381"/>
      <c r="M330" s="381"/>
      <c r="N330" s="105">
        <v>69</v>
      </c>
      <c r="O330" s="424">
        <f>ROUND(+IF('Datos contribuyente'!$D$762="No",'Datos contribuyente'!E791,'Datos contribuyente'!E791-'Datos contribuyente'!G791),-3)</f>
        <v>0</v>
      </c>
      <c r="P330" s="424"/>
      <c r="Q330" s="240"/>
      <c r="R330" s="240"/>
      <c r="S330" s="240"/>
      <c r="T330" s="241"/>
      <c r="U330" s="241"/>
      <c r="V330" s="241"/>
      <c r="W330" s="241"/>
      <c r="X330" s="241"/>
      <c r="Y330" s="241"/>
      <c r="Z330" s="241"/>
    </row>
    <row r="331" spans="1:26" s="78" customFormat="1" ht="27" hidden="1" customHeight="1" x14ac:dyDescent="0.25">
      <c r="A331" s="80"/>
      <c r="B331" s="384"/>
      <c r="C331" s="385" t="s">
        <v>773</v>
      </c>
      <c r="D331" s="385"/>
      <c r="E331" s="385"/>
      <c r="F331" s="103">
        <v>35</v>
      </c>
      <c r="G331" s="104">
        <f>ROUND(+'Datos contribuyente'!Y137+'Datos contribuyente'!AC137+'Datos contribuyente'!AG137+'Datos contribuyente'!AK137,-3)</f>
        <v>0</v>
      </c>
      <c r="H331" s="384"/>
      <c r="I331" s="384"/>
      <c r="J331" s="382" t="s">
        <v>783</v>
      </c>
      <c r="K331" s="382"/>
      <c r="L331" s="382"/>
      <c r="M331" s="382"/>
      <c r="N331" s="103">
        <v>70</v>
      </c>
      <c r="O331" s="387">
        <f>ROUND(+IF('Datos contribuyente'!$D$762="No",'Datos contribuyente'!E792,'Datos contribuyente'!E792-'Datos contribuyente'!G792),-3)</f>
        <v>0</v>
      </c>
      <c r="P331" s="387"/>
      <c r="Q331" s="240"/>
      <c r="R331" s="240"/>
      <c r="S331" s="240"/>
      <c r="T331" s="241"/>
      <c r="U331" s="241"/>
      <c r="V331" s="241"/>
      <c r="W331" s="241"/>
      <c r="X331" s="241"/>
      <c r="Y331" s="241"/>
      <c r="Z331" s="241"/>
    </row>
    <row r="332" spans="1:26" s="78" customFormat="1" ht="27" hidden="1" customHeight="1" x14ac:dyDescent="0.25">
      <c r="A332" s="80"/>
      <c r="B332" s="384"/>
      <c r="C332" s="362" t="s">
        <v>821</v>
      </c>
      <c r="D332" s="362"/>
      <c r="E332" s="362"/>
      <c r="F332" s="105">
        <v>36</v>
      </c>
      <c r="G332" s="106">
        <f>ROUND(+'Datos contribuyente'!Y151+'Datos contribuyente'!AC151+'Datos contribuyente'!AG151+'Datos contribuyente'!AK151,-3)</f>
        <v>0</v>
      </c>
      <c r="H332" s="384"/>
      <c r="I332" s="384"/>
      <c r="J332" s="381" t="s">
        <v>802</v>
      </c>
      <c r="K332" s="381"/>
      <c r="L332" s="381"/>
      <c r="M332" s="381"/>
      <c r="N332" s="105">
        <v>71</v>
      </c>
      <c r="O332" s="424">
        <f>ROUND(+IF('Datos contribuyente'!$D$762="No",'Datos contribuyente'!E793,'Datos contribuyente'!E793-'Datos contribuyente'!G793),-3)</f>
        <v>0</v>
      </c>
      <c r="P332" s="424"/>
      <c r="Q332" s="240"/>
      <c r="R332" s="240"/>
      <c r="S332" s="240"/>
      <c r="T332" s="241"/>
      <c r="U332" s="241"/>
      <c r="V332" s="241"/>
      <c r="W332" s="241"/>
      <c r="X332" s="241"/>
      <c r="Y332" s="241"/>
      <c r="Z332" s="241"/>
    </row>
    <row r="333" spans="1:26" s="78" customFormat="1" ht="27" hidden="1" customHeight="1" x14ac:dyDescent="0.25">
      <c r="A333" s="80"/>
      <c r="B333" s="384"/>
      <c r="C333" s="385" t="s">
        <v>774</v>
      </c>
      <c r="D333" s="385"/>
      <c r="E333" s="385"/>
      <c r="F333" s="103">
        <v>37</v>
      </c>
      <c r="G333" s="104">
        <f>ROUND(+'Datos contribuyente'!Y165+'Datos contribuyente'!AC165+'Datos contribuyente'!AG165+'Datos contribuyente'!AK165,-3)</f>
        <v>0</v>
      </c>
      <c r="H333" s="384"/>
      <c r="I333" s="384"/>
      <c r="J333" s="382" t="s">
        <v>803</v>
      </c>
      <c r="K333" s="382"/>
      <c r="L333" s="382"/>
      <c r="M333" s="382"/>
      <c r="N333" s="103">
        <v>72</v>
      </c>
      <c r="O333" s="387">
        <f>ROUND(+IF('Datos contribuyente'!$D$762="No",'Datos contribuyente'!E794,'Datos contribuyente'!E794-'Datos contribuyente'!G794),-3)</f>
        <v>0</v>
      </c>
      <c r="P333" s="387"/>
      <c r="Q333" s="240"/>
      <c r="R333" s="240"/>
      <c r="S333" s="240"/>
      <c r="T333" s="241"/>
      <c r="U333" s="241"/>
      <c r="V333" s="241"/>
      <c r="W333" s="241"/>
      <c r="X333" s="241"/>
      <c r="Y333" s="241"/>
      <c r="Z333" s="241"/>
    </row>
    <row r="334" spans="1:26" s="78" customFormat="1" ht="27" hidden="1" customHeight="1" x14ac:dyDescent="0.25">
      <c r="A334" s="80"/>
      <c r="B334" s="384"/>
      <c r="C334" s="362" t="s">
        <v>775</v>
      </c>
      <c r="D334" s="362"/>
      <c r="E334" s="362"/>
      <c r="F334" s="105">
        <v>38</v>
      </c>
      <c r="G334" s="106">
        <f>ROUND(+'Datos contribuyente'!Y179+'Datos contribuyente'!AC179+'Datos contribuyente'!AG179+'Datos contribuyente'!AK179,-3)</f>
        <v>0</v>
      </c>
      <c r="H334" s="384"/>
      <c r="I334" s="384"/>
      <c r="J334" s="381" t="s">
        <v>45</v>
      </c>
      <c r="K334" s="381"/>
      <c r="L334" s="381"/>
      <c r="M334" s="381"/>
      <c r="N334" s="105">
        <v>73</v>
      </c>
      <c r="O334" s="424">
        <f>ROUND(+IF('Datos contribuyente'!$D$762="No",'Datos contribuyente'!E795,'Datos contribuyente'!E795-'Datos contribuyente'!G795),-3)</f>
        <v>0</v>
      </c>
      <c r="P334" s="424"/>
      <c r="Q334" s="240"/>
      <c r="R334" s="240"/>
      <c r="S334" s="240"/>
      <c r="T334" s="241"/>
      <c r="U334" s="241"/>
      <c r="V334" s="241"/>
      <c r="W334" s="241"/>
      <c r="X334" s="241"/>
      <c r="Y334" s="241"/>
      <c r="Z334" s="241"/>
    </row>
    <row r="335" spans="1:26" s="78" customFormat="1" ht="27" hidden="1" customHeight="1" x14ac:dyDescent="0.25">
      <c r="A335" s="80"/>
      <c r="B335" s="384"/>
      <c r="C335" s="385" t="s">
        <v>776</v>
      </c>
      <c r="D335" s="385"/>
      <c r="E335" s="385"/>
      <c r="F335" s="103">
        <v>39</v>
      </c>
      <c r="G335" s="104">
        <f>ROUND(+'Datos contribuyente'!Y192+'Datos contribuyente'!AC192+'Datos contribuyente'!AG192+'Datos contribuyente'!AK192,-3)</f>
        <v>0</v>
      </c>
      <c r="H335" s="384"/>
      <c r="I335" s="384"/>
      <c r="J335" s="382" t="s">
        <v>804</v>
      </c>
      <c r="K335" s="382"/>
      <c r="L335" s="382"/>
      <c r="M335" s="382"/>
      <c r="N335" s="103">
        <v>74</v>
      </c>
      <c r="O335" s="387">
        <f ca="1">ROUND(+IF('Datos contribuyente'!$D$762="No",'Datos contribuyente'!E796,'Datos contribuyente'!E796-'Datos contribuyente'!G796),-3)</f>
        <v>0</v>
      </c>
      <c r="P335" s="387"/>
      <c r="Q335" s="240"/>
      <c r="R335" s="240"/>
      <c r="S335" s="240"/>
      <c r="T335" s="241"/>
      <c r="U335" s="241"/>
      <c r="V335" s="241"/>
      <c r="W335" s="241"/>
      <c r="X335" s="241"/>
      <c r="Y335" s="241"/>
      <c r="Z335" s="241"/>
    </row>
    <row r="336" spans="1:26" s="78" customFormat="1" ht="27" hidden="1" customHeight="1" x14ac:dyDescent="0.25">
      <c r="A336" s="80"/>
      <c r="B336" s="384"/>
      <c r="C336" s="362" t="s">
        <v>777</v>
      </c>
      <c r="D336" s="362"/>
      <c r="E336" s="362"/>
      <c r="F336" s="105">
        <v>40</v>
      </c>
      <c r="G336" s="106">
        <f>ROUND(+'Datos contribuyente'!Y205+'Datos contribuyente'!AC205+'Datos contribuyente'!AG205+'Datos contribuyente'!AK205,-3)</f>
        <v>0</v>
      </c>
      <c r="H336" s="384"/>
      <c r="I336" s="384"/>
      <c r="J336" s="381" t="s">
        <v>805</v>
      </c>
      <c r="K336" s="381"/>
      <c r="L336" s="381"/>
      <c r="M336" s="381"/>
      <c r="N336" s="105">
        <v>75</v>
      </c>
      <c r="O336" s="424">
        <f ca="1">ROUND(+IF('Datos contribuyente'!$D$762="No",'Datos contribuyente'!E797,'Datos contribuyente'!E797-'Datos contribuyente'!G797),-3)</f>
        <v>0</v>
      </c>
      <c r="P336" s="424"/>
      <c r="Q336" s="240"/>
      <c r="R336" s="240"/>
      <c r="S336" s="240"/>
      <c r="T336" s="241"/>
      <c r="U336" s="241"/>
      <c r="V336" s="241"/>
      <c r="W336" s="241"/>
      <c r="X336" s="241"/>
      <c r="Y336" s="241"/>
      <c r="Z336" s="241"/>
    </row>
    <row r="337" spans="1:26" s="78" customFormat="1" ht="27" hidden="1" customHeight="1" x14ac:dyDescent="0.25">
      <c r="A337" s="80"/>
      <c r="B337" s="384"/>
      <c r="C337" s="395" t="s">
        <v>779</v>
      </c>
      <c r="D337" s="395"/>
      <c r="E337" s="395"/>
      <c r="F337" s="107">
        <v>41</v>
      </c>
      <c r="G337" s="108">
        <f>ROUND(+SUM(G323:G336),-3)</f>
        <v>0</v>
      </c>
      <c r="H337" s="384"/>
      <c r="I337" s="384"/>
      <c r="J337" s="382" t="s">
        <v>806</v>
      </c>
      <c r="K337" s="382"/>
      <c r="L337" s="382"/>
      <c r="M337" s="382"/>
      <c r="N337" s="103">
        <v>76</v>
      </c>
      <c r="O337" s="387">
        <f>ROUND(+'Datos contribuyente'!AA430+'Datos contribuyente'!AE430+'Datos contribuyente'!AI430+'Datos contribuyente'!AM430,-3)</f>
        <v>0</v>
      </c>
      <c r="P337" s="387"/>
      <c r="Q337" s="242"/>
      <c r="R337" s="240"/>
      <c r="S337" s="240"/>
      <c r="T337" s="241"/>
      <c r="U337" s="241"/>
      <c r="V337" s="241"/>
      <c r="W337" s="241"/>
      <c r="X337" s="241"/>
      <c r="Y337" s="241"/>
      <c r="Z337" s="241"/>
    </row>
    <row r="338" spans="1:26" s="78" customFormat="1" ht="27" hidden="1" customHeight="1" x14ac:dyDescent="0.25">
      <c r="A338" s="80"/>
      <c r="B338" s="384"/>
      <c r="C338" s="362" t="s">
        <v>778</v>
      </c>
      <c r="D338" s="362"/>
      <c r="E338" s="362"/>
      <c r="F338" s="105">
        <v>42</v>
      </c>
      <c r="G338" s="106">
        <f>ROUND(+'Datos contribuyente'!Y219+'Datos contribuyente'!AC219+'Datos contribuyente'!AG219+'Datos contribuyente'!AK219,-3)</f>
        <v>0</v>
      </c>
      <c r="H338" s="384"/>
      <c r="I338" s="384"/>
      <c r="J338" s="383" t="s">
        <v>807</v>
      </c>
      <c r="K338" s="383"/>
      <c r="L338" s="383"/>
      <c r="M338" s="383"/>
      <c r="N338" s="117">
        <v>77</v>
      </c>
      <c r="O338" s="388">
        <f ca="1">ROUND(+SUM(O329:P337),-3)</f>
        <v>0</v>
      </c>
      <c r="P338" s="388"/>
      <c r="Q338" s="240"/>
      <c r="R338" s="240"/>
      <c r="S338" s="240"/>
      <c r="T338" s="241"/>
      <c r="U338" s="241"/>
      <c r="V338" s="241"/>
      <c r="W338" s="241"/>
      <c r="X338" s="241"/>
      <c r="Y338" s="241"/>
      <c r="Z338" s="241"/>
    </row>
    <row r="339" spans="1:26" s="78" customFormat="1" ht="27" hidden="1" customHeight="1" x14ac:dyDescent="0.25">
      <c r="A339" s="80"/>
      <c r="B339" s="384"/>
      <c r="C339" s="418" t="s">
        <v>780</v>
      </c>
      <c r="D339" s="418"/>
      <c r="E339" s="418"/>
      <c r="F339" s="110">
        <v>43</v>
      </c>
      <c r="G339" s="111">
        <f>ROUND(+G337-G338,-3)</f>
        <v>0</v>
      </c>
      <c r="H339" s="384"/>
      <c r="I339" s="384"/>
      <c r="J339" s="382" t="s">
        <v>46</v>
      </c>
      <c r="K339" s="382"/>
      <c r="L339" s="382"/>
      <c r="M339" s="382"/>
      <c r="N339" s="103">
        <v>78</v>
      </c>
      <c r="O339" s="387">
        <f>ROUND(+'Datos contribuyente'!AA444+'Datos contribuyente'!AE444+'Datos contribuyente'!AI444+'Datos contribuyente'!AM444,-3)</f>
        <v>0</v>
      </c>
      <c r="P339" s="387"/>
      <c r="Q339" s="240"/>
      <c r="R339" s="240"/>
      <c r="S339" s="240"/>
      <c r="T339" s="241"/>
      <c r="U339" s="241"/>
      <c r="V339" s="241"/>
      <c r="W339" s="241"/>
      <c r="X339" s="241"/>
      <c r="Y339" s="241"/>
      <c r="Z339" s="241"/>
    </row>
    <row r="340" spans="1:26" s="78" customFormat="1" ht="27" hidden="1" customHeight="1" x14ac:dyDescent="0.25">
      <c r="A340" s="80"/>
      <c r="B340" s="384" t="s">
        <v>793</v>
      </c>
      <c r="C340" s="390" t="s">
        <v>47</v>
      </c>
      <c r="D340" s="362" t="s">
        <v>781</v>
      </c>
      <c r="E340" s="362"/>
      <c r="F340" s="105">
        <v>44</v>
      </c>
      <c r="G340" s="106">
        <f>ROUND(+'Datos contribuyente'!Y235+'Datos contribuyente'!AC235+'Datos contribuyente'!AG235+'Datos contribuyente'!AK235,-3)</f>
        <v>0</v>
      </c>
      <c r="H340" s="384"/>
      <c r="I340" s="384"/>
      <c r="J340" s="381" t="s">
        <v>808</v>
      </c>
      <c r="K340" s="381"/>
      <c r="L340" s="381"/>
      <c r="M340" s="381"/>
      <c r="N340" s="105">
        <v>79</v>
      </c>
      <c r="O340" s="386">
        <f>ROUND(+'Datos contribuyente'!AA219+'Datos contribuyente'!AE219+'Datos contribuyente'!AI219+'Datos contribuyente'!AM219,-3)</f>
        <v>0</v>
      </c>
      <c r="P340" s="386"/>
      <c r="Q340" s="240"/>
      <c r="R340" s="240"/>
      <c r="S340" s="240"/>
      <c r="T340" s="241"/>
      <c r="U340" s="241"/>
      <c r="V340" s="241"/>
      <c r="W340" s="241"/>
      <c r="X340" s="241"/>
      <c r="Y340" s="241"/>
      <c r="Z340" s="241"/>
    </row>
    <row r="341" spans="1:26" s="78" customFormat="1" ht="27" hidden="1" customHeight="1" x14ac:dyDescent="0.25">
      <c r="A341" s="80"/>
      <c r="B341" s="384"/>
      <c r="C341" s="384"/>
      <c r="D341" s="385" t="s">
        <v>782</v>
      </c>
      <c r="E341" s="385"/>
      <c r="F341" s="103">
        <v>45</v>
      </c>
      <c r="G341" s="104">
        <f>ROUND(+'Datos contribuyente'!Y249+'Datos contribuyente'!AC249+'Datos contribuyente'!AG249+'Datos contribuyente'!AK249,-3)</f>
        <v>0</v>
      </c>
      <c r="H341" s="384"/>
      <c r="I341" s="384"/>
      <c r="J341" s="382" t="s">
        <v>48</v>
      </c>
      <c r="K341" s="382"/>
      <c r="L341" s="382"/>
      <c r="M341" s="382"/>
      <c r="N341" s="103">
        <v>80</v>
      </c>
      <c r="O341" s="387">
        <f>ROUND(+'Datos contribuyente'!AA458+'Datos contribuyente'!AE458+'Datos contribuyente'!AI458+'Datos contribuyente'!AM458,-3)</f>
        <v>0</v>
      </c>
      <c r="P341" s="387"/>
      <c r="Q341" s="240"/>
      <c r="R341" s="240"/>
      <c r="S341" s="240"/>
      <c r="T341" s="241"/>
      <c r="U341" s="241"/>
      <c r="V341" s="241"/>
      <c r="W341" s="241"/>
      <c r="X341" s="241"/>
      <c r="Y341" s="241"/>
      <c r="Z341" s="241"/>
    </row>
    <row r="342" spans="1:26" s="78" customFormat="1" ht="27" hidden="1" customHeight="1" x14ac:dyDescent="0.25">
      <c r="A342" s="80"/>
      <c r="B342" s="384"/>
      <c r="C342" s="384"/>
      <c r="D342" s="362" t="s">
        <v>783</v>
      </c>
      <c r="E342" s="362"/>
      <c r="F342" s="105">
        <v>46</v>
      </c>
      <c r="G342" s="106">
        <f>ROUND(+'Datos contribuyente'!Y263+'Datos contribuyente'!AC263+'Datos contribuyente'!AG263+'Datos contribuyente'!AK263,-3)</f>
        <v>0</v>
      </c>
      <c r="H342" s="384"/>
      <c r="I342" s="391"/>
      <c r="J342" s="383" t="s">
        <v>809</v>
      </c>
      <c r="K342" s="383"/>
      <c r="L342" s="383"/>
      <c r="M342" s="383"/>
      <c r="N342" s="117">
        <v>81</v>
      </c>
      <c r="O342" s="388">
        <f ca="1">ROUND(+O338+O339+O340-O341,-3)</f>
        <v>0</v>
      </c>
      <c r="P342" s="388"/>
      <c r="Q342" s="240"/>
      <c r="R342" s="240"/>
      <c r="S342" s="240"/>
      <c r="T342" s="241"/>
      <c r="U342" s="241"/>
      <c r="V342" s="241"/>
      <c r="W342" s="241"/>
      <c r="X342" s="241"/>
      <c r="Y342" s="241"/>
      <c r="Z342" s="241"/>
    </row>
    <row r="343" spans="1:26" s="78" customFormat="1" ht="27" hidden="1" customHeight="1" x14ac:dyDescent="0.25">
      <c r="A343" s="80"/>
      <c r="B343" s="384"/>
      <c r="C343" s="384"/>
      <c r="D343" s="385" t="s">
        <v>784</v>
      </c>
      <c r="E343" s="385"/>
      <c r="F343" s="103">
        <v>47</v>
      </c>
      <c r="G343" s="104">
        <f>ROUND(+'Datos contribuyente'!Y276+'Datos contribuyente'!AC276+'Datos contribuyente'!AG276+'Datos contribuyente'!AK276,-3)</f>
        <v>0</v>
      </c>
      <c r="H343" s="384"/>
      <c r="I343" s="393" t="s">
        <v>810</v>
      </c>
      <c r="J343" s="393"/>
      <c r="K343" s="393"/>
      <c r="L343" s="393"/>
      <c r="M343" s="393"/>
      <c r="N343" s="107">
        <v>82</v>
      </c>
      <c r="O343" s="392">
        <f ca="1">ROUND(+IF(O328-O342&gt;0,O328-O342,0),-3)</f>
        <v>0</v>
      </c>
      <c r="P343" s="392"/>
      <c r="Q343" s="240"/>
      <c r="R343" s="240"/>
      <c r="S343" s="240"/>
      <c r="T343" s="241"/>
      <c r="U343" s="241"/>
      <c r="V343" s="241"/>
      <c r="W343" s="241"/>
      <c r="X343" s="241"/>
      <c r="Y343" s="241"/>
      <c r="Z343" s="241"/>
    </row>
    <row r="344" spans="1:26" s="78" customFormat="1" ht="27" hidden="1" customHeight="1" x14ac:dyDescent="0.25">
      <c r="A344" s="80"/>
      <c r="B344" s="384"/>
      <c r="C344" s="384"/>
      <c r="D344" s="362" t="s">
        <v>785</v>
      </c>
      <c r="E344" s="362"/>
      <c r="F344" s="105">
        <v>48</v>
      </c>
      <c r="G344" s="106">
        <f>ROUND(+'Datos contribuyente'!Y289+'Datos contribuyente'!AC289+'Datos contribuyente'!AG289+'Datos contribuyente'!AK289,-3)</f>
        <v>0</v>
      </c>
      <c r="H344" s="384"/>
      <c r="I344" s="394" t="s">
        <v>811</v>
      </c>
      <c r="J344" s="394"/>
      <c r="K344" s="394"/>
      <c r="L344" s="394"/>
      <c r="M344" s="394"/>
      <c r="N344" s="102">
        <v>83</v>
      </c>
      <c r="O344" s="419">
        <f ca="1">ROUND(+IF(O342-O328&gt;0,O342-O328,0),-3)</f>
        <v>0</v>
      </c>
      <c r="P344" s="419"/>
      <c r="Q344" s="240"/>
      <c r="R344" s="240"/>
      <c r="S344" s="240"/>
      <c r="T344" s="241"/>
      <c r="U344" s="241"/>
      <c r="V344" s="241"/>
      <c r="W344" s="241"/>
      <c r="X344" s="241"/>
      <c r="Y344" s="241"/>
      <c r="Z344" s="241"/>
    </row>
    <row r="345" spans="1:26" s="78" customFormat="1" ht="27" hidden="1" customHeight="1" x14ac:dyDescent="0.25">
      <c r="A345" s="80"/>
      <c r="B345" s="384"/>
      <c r="C345" s="391"/>
      <c r="D345" s="418" t="s">
        <v>786</v>
      </c>
      <c r="E345" s="418"/>
      <c r="F345" s="112">
        <v>49</v>
      </c>
      <c r="G345" s="113">
        <f>ROUND(+'Datos contribuyente'!Y303+'Datos contribuyente'!AC303+'Datos contribuyente'!AG303+'Datos contribuyente'!AK303,-3)</f>
        <v>0</v>
      </c>
      <c r="H345" s="384"/>
      <c r="I345" s="382" t="s">
        <v>49</v>
      </c>
      <c r="J345" s="382"/>
      <c r="K345" s="382"/>
      <c r="L345" s="382"/>
      <c r="M345" s="382"/>
      <c r="N345" s="103">
        <v>84</v>
      </c>
      <c r="O345" s="387">
        <f ca="1">ROUND(+IF('Datos contribuyente'!E983="No",'Datos contribuyente'!G976,0),-3)</f>
        <v>0</v>
      </c>
      <c r="P345" s="387"/>
      <c r="Q345" s="240"/>
      <c r="R345" s="240"/>
      <c r="S345" s="240"/>
      <c r="T345" s="241"/>
      <c r="U345" s="241"/>
      <c r="V345" s="241"/>
      <c r="W345" s="241"/>
      <c r="X345" s="241"/>
      <c r="Y345" s="241"/>
      <c r="Z345" s="241"/>
    </row>
    <row r="346" spans="1:26" s="78" customFormat="1" ht="27" hidden="1" customHeight="1" x14ac:dyDescent="0.25">
      <c r="A346" s="79"/>
      <c r="B346" s="384"/>
      <c r="C346" s="390" t="s">
        <v>50</v>
      </c>
      <c r="D346" s="362" t="s">
        <v>781</v>
      </c>
      <c r="E346" s="362"/>
      <c r="F346" s="105">
        <v>50</v>
      </c>
      <c r="G346" s="106">
        <f>ROUND(+'Datos contribuyente'!Y317+'Datos contribuyente'!AC317+'Datos contribuyente'!AG317+'Datos contribuyente'!AK317,-3)</f>
        <v>0</v>
      </c>
      <c r="H346" s="384"/>
      <c r="I346" s="381" t="s">
        <v>51</v>
      </c>
      <c r="J346" s="381"/>
      <c r="K346" s="381"/>
      <c r="L346" s="381"/>
      <c r="M346" s="381"/>
      <c r="N346" s="105">
        <v>85</v>
      </c>
      <c r="O346" s="386">
        <f>ROUND(+'Datos contribuyente'!AA472+'Datos contribuyente'!AE472+'Datos contribuyente'!AI472+'Datos contribuyente'!AM472,-3)</f>
        <v>0</v>
      </c>
      <c r="P346" s="386"/>
      <c r="Q346" s="243"/>
      <c r="R346" s="240"/>
      <c r="S346" s="240"/>
      <c r="T346" s="241"/>
      <c r="U346" s="241"/>
      <c r="V346" s="241"/>
      <c r="W346" s="241"/>
      <c r="X346" s="241"/>
      <c r="Y346" s="241"/>
      <c r="Z346" s="241"/>
    </row>
    <row r="347" spans="1:26" s="78" customFormat="1" ht="27" hidden="1" customHeight="1" x14ac:dyDescent="0.25">
      <c r="A347" s="79"/>
      <c r="B347" s="384"/>
      <c r="C347" s="384"/>
      <c r="D347" s="385" t="s">
        <v>782</v>
      </c>
      <c r="E347" s="385"/>
      <c r="F347" s="103">
        <v>51</v>
      </c>
      <c r="G347" s="104">
        <f>ROUND(+'Datos contribuyente'!Y331+'Datos contribuyente'!AC331+'Datos contribuyente'!AG331+'Datos contribuyente'!AK331,-3)</f>
        <v>0</v>
      </c>
      <c r="H347" s="384"/>
      <c r="I347" s="393" t="s">
        <v>812</v>
      </c>
      <c r="J347" s="393"/>
      <c r="K347" s="393"/>
      <c r="L347" s="393"/>
      <c r="M347" s="393"/>
      <c r="N347" s="107">
        <v>86</v>
      </c>
      <c r="O347" s="392">
        <f ca="1">ROUND(+IF(O343-O345-O346&gt;0,O343-O345-O346,0),-3)</f>
        <v>0</v>
      </c>
      <c r="P347" s="392"/>
      <c r="Q347" s="243"/>
      <c r="R347" s="240"/>
      <c r="S347" s="240"/>
      <c r="T347" s="241"/>
      <c r="U347" s="241"/>
      <c r="V347" s="241"/>
      <c r="W347" s="241"/>
      <c r="X347" s="241"/>
      <c r="Y347" s="241"/>
      <c r="Z347" s="241"/>
    </row>
    <row r="348" spans="1:26" s="78" customFormat="1" ht="27" hidden="1" customHeight="1" x14ac:dyDescent="0.25">
      <c r="A348" s="79"/>
      <c r="B348" s="384"/>
      <c r="C348" s="384"/>
      <c r="D348" s="362" t="s">
        <v>787</v>
      </c>
      <c r="E348" s="362"/>
      <c r="F348" s="105">
        <v>52</v>
      </c>
      <c r="G348" s="106">
        <f>ROUND(+'Datos contribuyente'!Y345+'Datos contribuyente'!AC345+'Datos contribuyente'!AG345+'Datos contribuyente'!AK345,-3)</f>
        <v>0</v>
      </c>
      <c r="H348" s="384"/>
      <c r="I348" s="381" t="s">
        <v>52</v>
      </c>
      <c r="J348" s="381"/>
      <c r="K348" s="381"/>
      <c r="L348" s="381"/>
      <c r="M348" s="381"/>
      <c r="N348" s="105">
        <v>87</v>
      </c>
      <c r="O348" s="386">
        <f>ROUND(+'Datos contribuyente'!I910+'Datos contribuyente'!I940,-3)</f>
        <v>0</v>
      </c>
      <c r="P348" s="386"/>
      <c r="Q348" s="243"/>
      <c r="R348" s="240"/>
      <c r="S348" s="240"/>
      <c r="T348" s="241"/>
      <c r="U348" s="241"/>
      <c r="V348" s="241"/>
      <c r="W348" s="241"/>
      <c r="X348" s="241"/>
      <c r="Y348" s="241"/>
      <c r="Z348" s="241"/>
    </row>
    <row r="349" spans="1:26" s="78" customFormat="1" ht="27" hidden="1" customHeight="1" x14ac:dyDescent="0.25">
      <c r="A349" s="80"/>
      <c r="B349" s="384"/>
      <c r="C349" s="384"/>
      <c r="D349" s="385" t="s">
        <v>788</v>
      </c>
      <c r="E349" s="385"/>
      <c r="F349" s="103">
        <v>53</v>
      </c>
      <c r="G349" s="104">
        <f>ROUND(+'Datos contribuyente'!Y359+'Datos contribuyente'!AC359+'Datos contribuyente'!AG359+'Datos contribuyente'!AK359,-3)</f>
        <v>0</v>
      </c>
      <c r="H349" s="384"/>
      <c r="I349" s="393" t="s">
        <v>813</v>
      </c>
      <c r="J349" s="393"/>
      <c r="K349" s="393"/>
      <c r="L349" s="393"/>
      <c r="M349" s="393"/>
      <c r="N349" s="107">
        <v>88</v>
      </c>
      <c r="O349" s="392">
        <f ca="1">ROUND(+IF(O343-O345-O346+O348&gt;0,O343-O345-O346+O348,0),-3)</f>
        <v>0</v>
      </c>
      <c r="P349" s="392"/>
      <c r="Q349" s="243"/>
      <c r="R349" s="240"/>
      <c r="S349" s="240"/>
      <c r="T349" s="241"/>
      <c r="U349" s="241"/>
      <c r="V349" s="241"/>
      <c r="W349" s="241"/>
      <c r="X349" s="241"/>
      <c r="Y349" s="241"/>
      <c r="Z349" s="241"/>
    </row>
    <row r="350" spans="1:26" s="78" customFormat="1" ht="27" hidden="1" customHeight="1" x14ac:dyDescent="0.25">
      <c r="A350" s="80"/>
      <c r="B350" s="384"/>
      <c r="C350" s="391"/>
      <c r="D350" s="420" t="s">
        <v>789</v>
      </c>
      <c r="E350" s="420"/>
      <c r="F350" s="114">
        <v>54</v>
      </c>
      <c r="G350" s="115">
        <f>ROUND(+'Datos contribuyente'!Y372+'Datos contribuyente'!AC372+'Datos contribuyente'!AG372+'Datos contribuyente'!AK372,-3)</f>
        <v>0</v>
      </c>
      <c r="H350" s="391"/>
      <c r="I350" s="383" t="s">
        <v>1034</v>
      </c>
      <c r="J350" s="383"/>
      <c r="K350" s="383"/>
      <c r="L350" s="383"/>
      <c r="M350" s="383"/>
      <c r="N350" s="117">
        <v>89</v>
      </c>
      <c r="O350" s="388">
        <f ca="1">+IF(O344+O345+O346-O348-O347-O343&gt;0,O344+O345+O346-O348-O347-O343,0)</f>
        <v>0</v>
      </c>
      <c r="P350" s="388"/>
      <c r="Q350" s="240"/>
      <c r="R350" s="240"/>
      <c r="S350" s="240"/>
      <c r="T350" s="241"/>
      <c r="U350" s="241"/>
      <c r="V350" s="241"/>
      <c r="W350" s="241"/>
      <c r="X350" s="241"/>
      <c r="Y350" s="241"/>
      <c r="Z350" s="241"/>
    </row>
    <row r="351" spans="1:26" s="78" customFormat="1" ht="27" hidden="1" customHeight="1" x14ac:dyDescent="0.25">
      <c r="A351" s="80"/>
      <c r="B351" s="384"/>
      <c r="C351" s="395" t="s">
        <v>790</v>
      </c>
      <c r="D351" s="395"/>
      <c r="E351" s="395"/>
      <c r="F351" s="107">
        <v>55</v>
      </c>
      <c r="G351" s="108">
        <f>ROUND(+SUM(G340:G350),-3)</f>
        <v>0</v>
      </c>
      <c r="H351" s="390" t="s">
        <v>53</v>
      </c>
      <c r="I351" s="380" t="s">
        <v>54</v>
      </c>
      <c r="J351" s="380"/>
      <c r="K351" s="380"/>
      <c r="L351" s="380"/>
      <c r="M351" s="380"/>
      <c r="N351" s="116">
        <v>90</v>
      </c>
      <c r="O351" s="389">
        <f>ROUND(+'Datos contribuyente'!I973,-3)</f>
        <v>0</v>
      </c>
      <c r="P351" s="389"/>
      <c r="Q351" s="240"/>
      <c r="R351" s="240"/>
      <c r="S351" s="240"/>
      <c r="T351" s="241"/>
      <c r="U351" s="241"/>
      <c r="V351" s="241"/>
      <c r="W351" s="241"/>
      <c r="X351" s="241"/>
      <c r="Y351" s="241"/>
      <c r="Z351" s="241"/>
    </row>
    <row r="352" spans="1:26" s="78" customFormat="1" ht="27" hidden="1" customHeight="1" x14ac:dyDescent="0.25">
      <c r="A352" s="80"/>
      <c r="B352" s="384"/>
      <c r="C352" s="362" t="s">
        <v>791</v>
      </c>
      <c r="D352" s="362"/>
      <c r="E352" s="362"/>
      <c r="F352" s="105">
        <v>56</v>
      </c>
      <c r="G352" s="106">
        <f>ROUND(+'Datos contribuyente'!Y386+'Datos contribuyente'!AC386+'Datos contribuyente'!AG386+'Datos contribuyente'!AK386,-3)</f>
        <v>0</v>
      </c>
      <c r="H352" s="384"/>
      <c r="I352" s="381" t="s">
        <v>55</v>
      </c>
      <c r="J352" s="381"/>
      <c r="K352" s="381"/>
      <c r="L352" s="381"/>
      <c r="M352" s="381"/>
      <c r="N352" s="105">
        <v>91</v>
      </c>
      <c r="O352" s="386">
        <f ca="1">ROUND(+'Datos contribuyente'!I974,-3)</f>
        <v>0</v>
      </c>
      <c r="P352" s="386"/>
      <c r="Q352" s="240"/>
      <c r="R352" s="240"/>
      <c r="S352" s="240"/>
      <c r="T352" s="241"/>
      <c r="U352" s="241"/>
      <c r="V352" s="241"/>
      <c r="W352" s="241"/>
      <c r="X352" s="241"/>
      <c r="Y352" s="241"/>
      <c r="Z352" s="241"/>
    </row>
    <row r="353" spans="1:26" s="78" customFormat="1" ht="27" hidden="1" customHeight="1" x14ac:dyDescent="0.25">
      <c r="A353" s="80"/>
      <c r="B353" s="384"/>
      <c r="C353" s="409" t="s">
        <v>792</v>
      </c>
      <c r="D353" s="409"/>
      <c r="E353" s="409"/>
      <c r="F353" s="110">
        <v>57</v>
      </c>
      <c r="G353" s="111">
        <f>ROUND(+G351-G352,-3)</f>
        <v>0</v>
      </c>
      <c r="H353" s="384"/>
      <c r="I353" s="382" t="s">
        <v>56</v>
      </c>
      <c r="J353" s="382"/>
      <c r="K353" s="382"/>
      <c r="L353" s="382"/>
      <c r="M353" s="382"/>
      <c r="N353" s="103">
        <v>92</v>
      </c>
      <c r="O353" s="387">
        <f>ROUND(+'Datos contribuyente'!I975,-3)</f>
        <v>0</v>
      </c>
      <c r="P353" s="387"/>
      <c r="Q353" s="240"/>
      <c r="R353" s="240"/>
      <c r="S353" s="240"/>
      <c r="T353" s="241"/>
      <c r="U353" s="241"/>
      <c r="V353" s="241"/>
      <c r="W353" s="241"/>
      <c r="X353" s="241"/>
      <c r="Y353" s="241"/>
      <c r="Z353" s="241"/>
    </row>
    <row r="354" spans="1:26" s="78" customFormat="1" ht="27" hidden="1" customHeight="1" x14ac:dyDescent="0.25">
      <c r="A354" s="80"/>
      <c r="B354" s="399" t="s">
        <v>57</v>
      </c>
      <c r="C354" s="399" t="s">
        <v>794</v>
      </c>
      <c r="D354" s="402" t="s">
        <v>795</v>
      </c>
      <c r="E354" s="402"/>
      <c r="F354" s="118">
        <v>58</v>
      </c>
      <c r="G354" s="119">
        <f>ROUND(+'Datos contribuyente'!AA30+'Datos contribuyente'!AE30+'Datos contribuyente'!AI30+'Datos contribuyente'!AM30,-3)</f>
        <v>0</v>
      </c>
      <c r="H354" s="391"/>
      <c r="I354" s="383" t="s">
        <v>814</v>
      </c>
      <c r="J354" s="383"/>
      <c r="K354" s="383"/>
      <c r="L354" s="383"/>
      <c r="M354" s="383"/>
      <c r="N354" s="117">
        <v>93</v>
      </c>
      <c r="O354" s="388">
        <f ca="1">ROUND(+'Datos contribuyente'!I976,-3)</f>
        <v>0</v>
      </c>
      <c r="P354" s="388"/>
      <c r="Q354" s="240"/>
      <c r="R354" s="240"/>
      <c r="S354" s="240"/>
      <c r="T354" s="241"/>
      <c r="U354" s="241"/>
      <c r="V354" s="241"/>
      <c r="W354" s="241"/>
      <c r="X354" s="241"/>
      <c r="Y354" s="241"/>
      <c r="Z354" s="241"/>
    </row>
    <row r="355" spans="1:26" s="78" customFormat="1" ht="27" hidden="1" customHeight="1" x14ac:dyDescent="0.25">
      <c r="A355" s="80"/>
      <c r="B355" s="400"/>
      <c r="C355" s="400"/>
      <c r="D355" s="385" t="s">
        <v>796</v>
      </c>
      <c r="E355" s="385"/>
      <c r="F355" s="103">
        <v>59</v>
      </c>
      <c r="G355" s="104">
        <f>ROUND(+'Datos contribuyente'!AA44+'Datos contribuyente'!AE44+'Datos contribuyente'!AI44+'Datos contribuyente'!AM44,-3)</f>
        <v>0</v>
      </c>
      <c r="H355" s="399" t="s">
        <v>815</v>
      </c>
      <c r="I355" s="399"/>
      <c r="J355" s="403" t="s">
        <v>58</v>
      </c>
      <c r="K355" s="98">
        <v>1</v>
      </c>
      <c r="L355" s="132">
        <v>0</v>
      </c>
      <c r="M355" s="403" t="s">
        <v>58</v>
      </c>
      <c r="N355" s="101">
        <v>4</v>
      </c>
      <c r="O355" s="406">
        <v>0</v>
      </c>
      <c r="P355" s="406"/>
      <c r="Q355" s="240"/>
      <c r="R355" s="240"/>
      <c r="S355" s="240"/>
      <c r="T355" s="241"/>
      <c r="U355" s="241"/>
      <c r="V355" s="241"/>
      <c r="W355" s="241"/>
      <c r="X355" s="241"/>
      <c r="Y355" s="241"/>
      <c r="Z355" s="241"/>
    </row>
    <row r="356" spans="1:26" s="78" customFormat="1" ht="27" hidden="1" customHeight="1" x14ac:dyDescent="0.25">
      <c r="A356" s="80"/>
      <c r="B356" s="400"/>
      <c r="C356" s="400"/>
      <c r="D356" s="362" t="s">
        <v>765</v>
      </c>
      <c r="E356" s="362"/>
      <c r="F356" s="105">
        <v>60</v>
      </c>
      <c r="G356" s="109">
        <f>ROUND(+'Datos contribuyente'!AA58+'Datos contribuyente'!AE58+'Datos contribuyente'!AI58+'Datos contribuyente'!AM58,-3)</f>
        <v>0</v>
      </c>
      <c r="H356" s="400"/>
      <c r="I356" s="400"/>
      <c r="J356" s="404"/>
      <c r="K356" s="96">
        <v>2</v>
      </c>
      <c r="L356" s="133">
        <v>0</v>
      </c>
      <c r="M356" s="404"/>
      <c r="N356" s="101">
        <v>5</v>
      </c>
      <c r="O356" s="407">
        <v>0</v>
      </c>
      <c r="P356" s="407"/>
      <c r="Q356" s="240"/>
      <c r="R356" s="240"/>
      <c r="S356" s="240"/>
      <c r="T356" s="241"/>
      <c r="U356" s="241"/>
      <c r="V356" s="241"/>
      <c r="W356" s="241"/>
      <c r="X356" s="241"/>
      <c r="Y356" s="241"/>
      <c r="Z356" s="241"/>
    </row>
    <row r="357" spans="1:26" s="78" customFormat="1" ht="27" hidden="1" customHeight="1" x14ac:dyDescent="0.25">
      <c r="A357" s="80"/>
      <c r="B357" s="401"/>
      <c r="C357" s="401"/>
      <c r="D357" s="418" t="s">
        <v>797</v>
      </c>
      <c r="E357" s="418"/>
      <c r="F357" s="112">
        <v>61</v>
      </c>
      <c r="G357" s="113">
        <f>ROUND(+'Datos contribuyente'!AA124+'Datos contribuyente'!AE124+'Datos contribuyente'!AI124+'Datos contribuyente'!AM124,-3)</f>
        <v>0</v>
      </c>
      <c r="H357" s="401"/>
      <c r="I357" s="401"/>
      <c r="J357" s="405"/>
      <c r="K357" s="98">
        <v>3</v>
      </c>
      <c r="L357" s="128">
        <v>0</v>
      </c>
      <c r="M357" s="405"/>
      <c r="N357" s="101">
        <v>6</v>
      </c>
      <c r="O357" s="408">
        <v>0</v>
      </c>
      <c r="P357" s="408"/>
      <c r="Q357" s="240"/>
      <c r="R357" s="240"/>
      <c r="S357" s="240"/>
      <c r="T357" s="241"/>
      <c r="U357" s="241"/>
      <c r="V357" s="241"/>
      <c r="W357" s="241"/>
      <c r="X357" s="241"/>
      <c r="Y357" s="241"/>
      <c r="Z357" s="241"/>
    </row>
    <row r="358" spans="1:26" s="78" customFormat="1" ht="27" hidden="1" customHeight="1" x14ac:dyDescent="0.25">
      <c r="A358" s="80"/>
      <c r="B358" s="396" t="s">
        <v>59</v>
      </c>
      <c r="C358" s="397"/>
      <c r="D358" s="397"/>
      <c r="E358" s="397"/>
      <c r="F358" s="120"/>
      <c r="G358" s="97"/>
      <c r="H358" s="398" t="s">
        <v>816</v>
      </c>
      <c r="I358" s="398"/>
      <c r="J358" s="398"/>
      <c r="K358" s="398"/>
      <c r="L358" s="398"/>
      <c r="M358" s="376">
        <v>100</v>
      </c>
      <c r="N358" s="377"/>
      <c r="O358" s="421">
        <v>0</v>
      </c>
      <c r="P358" s="421"/>
      <c r="Q358" s="240"/>
      <c r="R358" s="240"/>
      <c r="S358" s="240"/>
      <c r="T358" s="241"/>
      <c r="U358" s="241"/>
      <c r="V358" s="241"/>
      <c r="W358" s="241"/>
      <c r="X358" s="241"/>
      <c r="Y358" s="241"/>
      <c r="Z358" s="241"/>
    </row>
    <row r="359" spans="1:26" hidden="1" x14ac:dyDescent="0.25"/>
    <row r="360" spans="1:26" s="10" customFormat="1" ht="36" hidden="1" customHeight="1" x14ac:dyDescent="0.3">
      <c r="B360" s="423" t="s">
        <v>954</v>
      </c>
      <c r="C360" s="423"/>
      <c r="D360" s="423"/>
      <c r="E360" s="423"/>
      <c r="F360" s="423"/>
      <c r="G360" s="423"/>
      <c r="H360" s="423"/>
      <c r="I360" s="423"/>
      <c r="J360" s="423"/>
      <c r="K360" s="423"/>
      <c r="L360" s="423"/>
      <c r="M360" s="423"/>
      <c r="N360" s="423"/>
      <c r="O360" s="423"/>
      <c r="P360" s="423"/>
    </row>
    <row r="361" spans="1:26" hidden="1" x14ac:dyDescent="0.25">
      <c r="G361" s="134"/>
    </row>
    <row r="362" spans="1:26" s="75" customFormat="1" ht="60" hidden="1" customHeight="1" x14ac:dyDescent="0.25">
      <c r="A362" s="74"/>
      <c r="B362" s="368"/>
      <c r="C362" s="368"/>
      <c r="D362" s="368"/>
      <c r="E362" s="378" t="s">
        <v>817</v>
      </c>
      <c r="F362" s="378"/>
      <c r="G362" s="378"/>
      <c r="H362" s="378"/>
      <c r="I362" s="378"/>
      <c r="J362" s="378"/>
      <c r="K362" s="378"/>
      <c r="L362" s="369" t="s">
        <v>31</v>
      </c>
      <c r="M362" s="369"/>
      <c r="N362" s="369"/>
      <c r="O362" s="379">
        <v>300</v>
      </c>
      <c r="P362" s="379"/>
      <c r="Q362" s="234"/>
      <c r="R362" s="235"/>
      <c r="S362" s="235"/>
      <c r="T362" s="236"/>
      <c r="U362" s="236"/>
      <c r="V362" s="236"/>
      <c r="W362" s="236"/>
      <c r="X362" s="236"/>
      <c r="Y362" s="236"/>
      <c r="Z362" s="236"/>
    </row>
    <row r="363" spans="1:26" s="77" customFormat="1" ht="27.6" hidden="1" customHeight="1" x14ac:dyDescent="0.25">
      <c r="A363" s="76"/>
      <c r="B363" s="370" t="s">
        <v>32</v>
      </c>
      <c r="C363" s="370"/>
      <c r="D363" s="121">
        <f>+'Datos contribuyente'!$I$6</f>
        <v>2025</v>
      </c>
      <c r="E363" s="100">
        <v>6</v>
      </c>
      <c r="F363" s="416" t="s">
        <v>33</v>
      </c>
      <c r="G363" s="417"/>
      <c r="H363" s="376">
        <v>3</v>
      </c>
      <c r="I363" s="377"/>
      <c r="J363" s="364" t="s">
        <v>34</v>
      </c>
      <c r="K363" s="364"/>
      <c r="L363" s="364"/>
      <c r="M363" s="364"/>
      <c r="N363" s="364"/>
      <c r="O363" s="364"/>
      <c r="P363" s="364"/>
      <c r="Q363" s="237"/>
      <c r="R363" s="238"/>
      <c r="S363" s="238"/>
      <c r="T363" s="239"/>
      <c r="U363" s="239"/>
      <c r="V363" s="239"/>
      <c r="W363" s="239"/>
      <c r="X363" s="239"/>
      <c r="Y363" s="239"/>
      <c r="Z363" s="239"/>
    </row>
    <row r="364" spans="1:26" s="77" customFormat="1" ht="27.6" hidden="1" customHeight="1" x14ac:dyDescent="0.25">
      <c r="A364" s="76"/>
      <c r="B364" s="363" t="s">
        <v>770</v>
      </c>
      <c r="C364" s="363"/>
      <c r="D364" s="364" t="s">
        <v>35</v>
      </c>
      <c r="E364" s="364"/>
      <c r="F364" s="410" t="s">
        <v>36</v>
      </c>
      <c r="G364" s="411"/>
      <c r="H364" s="411"/>
      <c r="I364" s="411"/>
      <c r="J364" s="411"/>
      <c r="K364" s="411"/>
      <c r="L364" s="411"/>
      <c r="M364" s="412"/>
      <c r="N364" s="364" t="s">
        <v>37</v>
      </c>
      <c r="O364" s="364"/>
      <c r="P364" s="364"/>
      <c r="Q364" s="237"/>
      <c r="R364" s="238"/>
      <c r="S364" s="238"/>
      <c r="T364" s="239"/>
      <c r="U364" s="239"/>
      <c r="V364" s="239"/>
      <c r="W364" s="239"/>
      <c r="X364" s="239"/>
      <c r="Y364" s="239"/>
      <c r="Z364" s="239"/>
    </row>
    <row r="365" spans="1:26" s="77" customFormat="1" ht="27.6" hidden="1" customHeight="1" x14ac:dyDescent="0.25">
      <c r="A365" s="99"/>
      <c r="B365" s="363"/>
      <c r="C365" s="363"/>
      <c r="D365" s="365">
        <f>+'Datos contribuyente'!$E$6</f>
        <v>0</v>
      </c>
      <c r="E365" s="366"/>
      <c r="F365" s="413" t="s">
        <v>38</v>
      </c>
      <c r="G365" s="414"/>
      <c r="H365" s="414"/>
      <c r="I365" s="414"/>
      <c r="J365" s="414"/>
      <c r="K365" s="414"/>
      <c r="L365" s="414"/>
      <c r="M365" s="415"/>
      <c r="N365" s="367"/>
      <c r="O365" s="367"/>
      <c r="P365" s="367"/>
      <c r="Q365" s="238"/>
      <c r="R365" s="238"/>
      <c r="S365" s="238"/>
      <c r="T365" s="239"/>
      <c r="U365" s="239"/>
      <c r="V365" s="239"/>
      <c r="W365" s="239"/>
      <c r="X365" s="239"/>
      <c r="Y365" s="239"/>
      <c r="Z365" s="239"/>
    </row>
    <row r="366" spans="1:26" s="77" customFormat="1" ht="27.6" hidden="1" customHeight="1" x14ac:dyDescent="0.25">
      <c r="A366" s="99"/>
      <c r="B366" s="363"/>
      <c r="C366" s="363"/>
      <c r="D366" s="371" t="s">
        <v>818</v>
      </c>
      <c r="E366" s="372"/>
      <c r="F366" s="373">
        <f>+'Datos contribuyente'!$B$6</f>
        <v>0</v>
      </c>
      <c r="G366" s="374"/>
      <c r="H366" s="374"/>
      <c r="I366" s="374"/>
      <c r="J366" s="374"/>
      <c r="K366" s="374"/>
      <c r="L366" s="374"/>
      <c r="M366" s="374"/>
      <c r="N366" s="374"/>
      <c r="O366" s="374"/>
      <c r="P366" s="375"/>
      <c r="Q366" s="238"/>
      <c r="R366" s="238"/>
      <c r="S366" s="238"/>
      <c r="T366" s="239"/>
      <c r="U366" s="239"/>
      <c r="V366" s="239"/>
      <c r="W366" s="239"/>
      <c r="X366" s="239"/>
      <c r="Y366" s="239"/>
      <c r="Z366" s="239"/>
    </row>
    <row r="367" spans="1:26" s="78" customFormat="1" ht="27" hidden="1" customHeight="1" x14ac:dyDescent="0.25">
      <c r="A367" s="80"/>
      <c r="B367" s="384" t="s">
        <v>771</v>
      </c>
      <c r="C367" s="385" t="s">
        <v>761</v>
      </c>
      <c r="D367" s="385"/>
      <c r="E367" s="385"/>
      <c r="F367" s="103">
        <v>27</v>
      </c>
      <c r="G367" s="104">
        <f>ROUND(+'Datos contribuyente'!AO30+'Datos contribuyente'!AS30+'Datos contribuyente'!AW30+'Datos contribuyente'!BA30,-3)</f>
        <v>0</v>
      </c>
      <c r="H367" s="390" t="s">
        <v>39</v>
      </c>
      <c r="I367" s="390" t="s">
        <v>40</v>
      </c>
      <c r="J367" s="380" t="s">
        <v>41</v>
      </c>
      <c r="K367" s="380"/>
      <c r="L367" s="380"/>
      <c r="M367" s="380"/>
      <c r="N367" s="116">
        <v>62</v>
      </c>
      <c r="O367" s="389">
        <f>ROUND(+'Datos contribuyente'!AQ151+'Datos contribuyente'!AU151+'Datos contribuyente'!AY151+'Datos contribuyente'!BC151,-3)</f>
        <v>0</v>
      </c>
      <c r="P367" s="389"/>
      <c r="Q367" s="240"/>
      <c r="R367" s="240"/>
      <c r="S367" s="240"/>
      <c r="T367" s="241"/>
      <c r="U367" s="241"/>
      <c r="V367" s="241"/>
      <c r="W367" s="241"/>
      <c r="X367" s="241"/>
      <c r="Y367" s="241"/>
      <c r="Z367" s="241"/>
    </row>
    <row r="368" spans="1:26" s="78" customFormat="1" ht="27" hidden="1" customHeight="1" x14ac:dyDescent="0.25">
      <c r="A368" s="80"/>
      <c r="B368" s="384"/>
      <c r="C368" s="362" t="s">
        <v>762</v>
      </c>
      <c r="D368" s="362"/>
      <c r="E368" s="362"/>
      <c r="F368" s="105">
        <v>28</v>
      </c>
      <c r="G368" s="106">
        <f>ROUND(+'Datos contribuyente'!AO44+'Datos contribuyente'!AS44+'Datos contribuyente'!AW44+'Datos contribuyente'!BA44,-3)</f>
        <v>0</v>
      </c>
      <c r="H368" s="384"/>
      <c r="I368" s="384"/>
      <c r="J368" s="381" t="s">
        <v>42</v>
      </c>
      <c r="K368" s="381"/>
      <c r="L368" s="381"/>
      <c r="M368" s="381"/>
      <c r="N368" s="105">
        <v>63</v>
      </c>
      <c r="O368" s="386">
        <f>ROUND(+'Datos contribuyente'!AQ165+'Datos contribuyente'!AU165+'Datos contribuyente'!AY165+'Datos contribuyente'!BC165,-3)</f>
        <v>0</v>
      </c>
      <c r="P368" s="386"/>
      <c r="Q368" s="240"/>
      <c r="R368" s="240"/>
      <c r="S368" s="240"/>
      <c r="T368" s="241"/>
      <c r="U368" s="241"/>
      <c r="V368" s="241"/>
      <c r="W368" s="241"/>
      <c r="X368" s="241"/>
      <c r="Y368" s="241"/>
      <c r="Z368" s="241"/>
    </row>
    <row r="369" spans="1:26" s="78" customFormat="1" ht="27" hidden="1" customHeight="1" x14ac:dyDescent="0.25">
      <c r="A369" s="80"/>
      <c r="B369" s="384"/>
      <c r="C369" s="385" t="s">
        <v>763</v>
      </c>
      <c r="D369" s="385"/>
      <c r="E369" s="385"/>
      <c r="F369" s="103">
        <v>29</v>
      </c>
      <c r="G369" s="104">
        <f>ROUND(+'Datos contribuyente'!AO58+'Datos contribuyente'!AS58+'Datos contribuyente'!AW58+'Datos contribuyente'!BA58,-3)</f>
        <v>0</v>
      </c>
      <c r="H369" s="384"/>
      <c r="I369" s="384"/>
      <c r="J369" s="382" t="s">
        <v>43</v>
      </c>
      <c r="K369" s="382"/>
      <c r="L369" s="382"/>
      <c r="M369" s="382"/>
      <c r="N369" s="103">
        <v>64</v>
      </c>
      <c r="O369" s="387">
        <f>ROUND(+'Datos contribuyente'!AQ179+'Datos contribuyente'!AU179+'Datos contribuyente'!AY179+'Datos contribuyente'!BC179,-3)</f>
        <v>0</v>
      </c>
      <c r="P369" s="387"/>
      <c r="Q369" s="240"/>
      <c r="R369" s="240"/>
      <c r="S369" s="240"/>
      <c r="T369" s="241"/>
      <c r="U369" s="241"/>
      <c r="V369" s="241"/>
      <c r="W369" s="241"/>
      <c r="X369" s="241"/>
      <c r="Y369" s="241"/>
      <c r="Z369" s="241"/>
    </row>
    <row r="370" spans="1:26" s="78" customFormat="1" ht="27" hidden="1" customHeight="1" x14ac:dyDescent="0.25">
      <c r="A370" s="80"/>
      <c r="B370" s="384"/>
      <c r="C370" s="362" t="s">
        <v>766</v>
      </c>
      <c r="D370" s="362"/>
      <c r="E370" s="362"/>
      <c r="F370" s="105">
        <v>30</v>
      </c>
      <c r="G370" s="106">
        <f>ROUND(+'Datos contribuyente'!AO71+'Datos contribuyente'!AS71+'Datos contribuyente'!AW71+'Datos contribuyente'!BA71,-3)</f>
        <v>0</v>
      </c>
      <c r="H370" s="384"/>
      <c r="I370" s="384"/>
      <c r="J370" s="381" t="s">
        <v>798</v>
      </c>
      <c r="K370" s="381"/>
      <c r="L370" s="381"/>
      <c r="M370" s="381"/>
      <c r="N370" s="105">
        <v>65</v>
      </c>
      <c r="O370" s="386">
        <f>ROUND(+'Datos contribuyente'!AQ402+'Datos contribuyente'!AU402+'Datos contribuyente'!AY402+'Datos contribuyente'!BC402,-3)</f>
        <v>0</v>
      </c>
      <c r="P370" s="386"/>
      <c r="Q370" s="240"/>
      <c r="R370" s="240"/>
      <c r="S370" s="240"/>
      <c r="T370" s="241"/>
      <c r="U370" s="241"/>
      <c r="V370" s="241"/>
      <c r="W370" s="241"/>
      <c r="X370" s="241"/>
      <c r="Y370" s="241"/>
      <c r="Z370" s="241"/>
    </row>
    <row r="371" spans="1:26" s="78" customFormat="1" ht="27" hidden="1" customHeight="1" x14ac:dyDescent="0.25">
      <c r="A371" s="80"/>
      <c r="B371" s="384"/>
      <c r="C371" s="385" t="s">
        <v>767</v>
      </c>
      <c r="D371" s="385"/>
      <c r="E371" s="385"/>
      <c r="F371" s="103">
        <v>31</v>
      </c>
      <c r="G371" s="104">
        <f>ROUND(+'Datos contribuyente'!AO84+'Datos contribuyente'!AS84+'Datos contribuyente'!AW84+'Datos contribuyente'!BA84,-3)</f>
        <v>0</v>
      </c>
      <c r="H371" s="384"/>
      <c r="I371" s="384"/>
      <c r="J371" s="382" t="s">
        <v>764</v>
      </c>
      <c r="K371" s="382"/>
      <c r="L371" s="382"/>
      <c r="M371" s="382"/>
      <c r="N371" s="103">
        <v>66</v>
      </c>
      <c r="O371" s="387">
        <f>ROUND(+IF('Datos contribuyente'!$D$802="No",'Datos contribuyente'!E829,'Datos contribuyente'!E829-'Datos contribuyente'!G829),-3)</f>
        <v>0</v>
      </c>
      <c r="P371" s="387"/>
      <c r="Q371" s="240"/>
      <c r="R371" s="240"/>
      <c r="S371" s="240"/>
      <c r="T371" s="241"/>
      <c r="U371" s="241"/>
      <c r="V371" s="241"/>
      <c r="W371" s="241"/>
      <c r="X371" s="241"/>
      <c r="Y371" s="241"/>
      <c r="Z371" s="241"/>
    </row>
    <row r="372" spans="1:26" s="78" customFormat="1" ht="27" hidden="1" customHeight="1" x14ac:dyDescent="0.25">
      <c r="A372" s="80"/>
      <c r="B372" s="384"/>
      <c r="C372" s="362" t="s">
        <v>768</v>
      </c>
      <c r="D372" s="362"/>
      <c r="E372" s="362"/>
      <c r="F372" s="105">
        <v>32</v>
      </c>
      <c r="G372" s="106">
        <f>ROUND(+'Datos contribuyente'!AO97+'Datos contribuyente'!AS97+'Datos contribuyente'!AW97+'Datos contribuyente'!BA97,-3)</f>
        <v>0</v>
      </c>
      <c r="H372" s="384"/>
      <c r="I372" s="391"/>
      <c r="J372" s="383" t="s">
        <v>799</v>
      </c>
      <c r="K372" s="383"/>
      <c r="L372" s="383"/>
      <c r="M372" s="383"/>
      <c r="N372" s="117">
        <v>67</v>
      </c>
      <c r="O372" s="388">
        <f>ROUND(+SUM(G398:G401,O367:P371),-3)</f>
        <v>0</v>
      </c>
      <c r="P372" s="388"/>
      <c r="Q372" s="240"/>
      <c r="R372" s="240"/>
      <c r="S372" s="240"/>
      <c r="T372" s="241"/>
      <c r="U372" s="241"/>
      <c r="V372" s="241"/>
      <c r="W372" s="241"/>
      <c r="X372" s="241"/>
      <c r="Y372" s="241"/>
      <c r="Z372" s="241"/>
    </row>
    <row r="373" spans="1:26" s="78" customFormat="1" ht="27" hidden="1" customHeight="1" x14ac:dyDescent="0.25">
      <c r="A373" s="80"/>
      <c r="B373" s="384"/>
      <c r="C373" s="385" t="s">
        <v>769</v>
      </c>
      <c r="D373" s="385"/>
      <c r="E373" s="385"/>
      <c r="F373" s="103">
        <v>33</v>
      </c>
      <c r="G373" s="104">
        <f>ROUND(+'Datos contribuyente'!AO110+'Datos contribuyente'!AS110+'Datos contribuyente'!AW110+'Datos contribuyente'!BA110,-3)</f>
        <v>0</v>
      </c>
      <c r="H373" s="384"/>
      <c r="I373" s="390" t="s">
        <v>44</v>
      </c>
      <c r="J373" s="380" t="s">
        <v>800</v>
      </c>
      <c r="K373" s="380"/>
      <c r="L373" s="380"/>
      <c r="M373" s="380"/>
      <c r="N373" s="116">
        <v>68</v>
      </c>
      <c r="O373" s="389">
        <f>ROUND(+IF('Datos contribuyente'!$D$802="No",'Datos contribuyente'!E830,'Datos contribuyente'!E830-'Datos contribuyente'!G830),-3)</f>
        <v>0</v>
      </c>
      <c r="P373" s="389"/>
      <c r="Q373" s="240"/>
      <c r="R373" s="240"/>
      <c r="S373" s="240"/>
      <c r="T373" s="241"/>
      <c r="U373" s="241"/>
      <c r="V373" s="241"/>
      <c r="W373" s="241"/>
      <c r="X373" s="241"/>
      <c r="Y373" s="241"/>
      <c r="Z373" s="241"/>
    </row>
    <row r="374" spans="1:26" s="78" customFormat="1" ht="27" hidden="1" customHeight="1" x14ac:dyDescent="0.25">
      <c r="A374" s="80"/>
      <c r="B374" s="384"/>
      <c r="C374" s="362" t="s">
        <v>772</v>
      </c>
      <c r="D374" s="362"/>
      <c r="E374" s="362"/>
      <c r="F374" s="105">
        <v>34</v>
      </c>
      <c r="G374" s="106">
        <f>ROUND(+'Datos contribuyente'!AO124+'Datos contribuyente'!AS124+'Datos contribuyente'!AW124+'Datos contribuyente'!BA124,-3)</f>
        <v>0</v>
      </c>
      <c r="H374" s="384"/>
      <c r="I374" s="384"/>
      <c r="J374" s="381" t="s">
        <v>801</v>
      </c>
      <c r="K374" s="381"/>
      <c r="L374" s="381"/>
      <c r="M374" s="381"/>
      <c r="N374" s="105">
        <v>69</v>
      </c>
      <c r="O374" s="424">
        <f>ROUND(+IF('Datos contribuyente'!$D$802="No",'Datos contribuyente'!E831,'Datos contribuyente'!E831-'Datos contribuyente'!G831),-3)</f>
        <v>0</v>
      </c>
      <c r="P374" s="424"/>
      <c r="Q374" s="240"/>
      <c r="R374" s="240"/>
      <c r="S374" s="240"/>
      <c r="T374" s="241"/>
      <c r="U374" s="241"/>
      <c r="V374" s="241"/>
      <c r="W374" s="241"/>
      <c r="X374" s="241"/>
      <c r="Y374" s="241"/>
      <c r="Z374" s="241"/>
    </row>
    <row r="375" spans="1:26" s="78" customFormat="1" ht="27" hidden="1" customHeight="1" x14ac:dyDescent="0.25">
      <c r="A375" s="80"/>
      <c r="B375" s="384"/>
      <c r="C375" s="385" t="s">
        <v>773</v>
      </c>
      <c r="D375" s="385"/>
      <c r="E375" s="385"/>
      <c r="F375" s="103">
        <v>35</v>
      </c>
      <c r="G375" s="104">
        <f>ROUND(+'Datos contribuyente'!AO137+'Datos contribuyente'!AS137+'Datos contribuyente'!AW137+'Datos contribuyente'!BA137,-3)</f>
        <v>0</v>
      </c>
      <c r="H375" s="384"/>
      <c r="I375" s="384"/>
      <c r="J375" s="382" t="s">
        <v>783</v>
      </c>
      <c r="K375" s="382"/>
      <c r="L375" s="382"/>
      <c r="M375" s="382"/>
      <c r="N375" s="103">
        <v>70</v>
      </c>
      <c r="O375" s="387">
        <f>ROUND(+IF('Datos contribuyente'!$D$802="No",'Datos contribuyente'!E832,'Datos contribuyente'!E832-'Datos contribuyente'!G832),-3)</f>
        <v>0</v>
      </c>
      <c r="P375" s="387"/>
      <c r="Q375" s="240"/>
      <c r="R375" s="240"/>
      <c r="S375" s="240"/>
      <c r="T375" s="241"/>
      <c r="U375" s="241"/>
      <c r="V375" s="241"/>
      <c r="W375" s="241"/>
      <c r="X375" s="241"/>
      <c r="Y375" s="241"/>
      <c r="Z375" s="241"/>
    </row>
    <row r="376" spans="1:26" s="78" customFormat="1" ht="27" hidden="1" customHeight="1" x14ac:dyDescent="0.25">
      <c r="A376" s="80"/>
      <c r="B376" s="384"/>
      <c r="C376" s="362" t="s">
        <v>821</v>
      </c>
      <c r="D376" s="362"/>
      <c r="E376" s="362"/>
      <c r="F376" s="105">
        <v>36</v>
      </c>
      <c r="G376" s="106">
        <f>ROUND(+'Datos contribuyente'!AO151+'Datos contribuyente'!AS151+'Datos contribuyente'!AW151+'Datos contribuyente'!BA151,-3)</f>
        <v>0</v>
      </c>
      <c r="H376" s="384"/>
      <c r="I376" s="384"/>
      <c r="J376" s="381" t="s">
        <v>802</v>
      </c>
      <c r="K376" s="381"/>
      <c r="L376" s="381"/>
      <c r="M376" s="381"/>
      <c r="N376" s="105">
        <v>71</v>
      </c>
      <c r="O376" s="424">
        <f>ROUND(+IF('Datos contribuyente'!$D$802="No",'Datos contribuyente'!E833,'Datos contribuyente'!E833-'Datos contribuyente'!G833),-3)</f>
        <v>0</v>
      </c>
      <c r="P376" s="424"/>
      <c r="Q376" s="240"/>
      <c r="R376" s="240"/>
      <c r="S376" s="240"/>
      <c r="T376" s="241"/>
      <c r="U376" s="241"/>
      <c r="V376" s="241"/>
      <c r="W376" s="241"/>
      <c r="X376" s="241"/>
      <c r="Y376" s="241"/>
      <c r="Z376" s="241"/>
    </row>
    <row r="377" spans="1:26" s="78" customFormat="1" ht="27" hidden="1" customHeight="1" x14ac:dyDescent="0.25">
      <c r="A377" s="80"/>
      <c r="B377" s="384"/>
      <c r="C377" s="385" t="s">
        <v>774</v>
      </c>
      <c r="D377" s="385"/>
      <c r="E377" s="385"/>
      <c r="F377" s="103">
        <v>37</v>
      </c>
      <c r="G377" s="104">
        <f>ROUND(+'Datos contribuyente'!AO165+'Datos contribuyente'!AS165+'Datos contribuyente'!AW165+'Datos contribuyente'!BA165,-3)</f>
        <v>0</v>
      </c>
      <c r="H377" s="384"/>
      <c r="I377" s="384"/>
      <c r="J377" s="382" t="s">
        <v>803</v>
      </c>
      <c r="K377" s="382"/>
      <c r="L377" s="382"/>
      <c r="M377" s="382"/>
      <c r="N377" s="103">
        <v>72</v>
      </c>
      <c r="O377" s="387">
        <f>ROUND(+IF('Datos contribuyente'!$D$802="No",'Datos contribuyente'!E834,'Datos contribuyente'!E834-'Datos contribuyente'!G834),-3)</f>
        <v>0</v>
      </c>
      <c r="P377" s="387"/>
      <c r="Q377" s="240"/>
      <c r="R377" s="240"/>
      <c r="S377" s="240"/>
      <c r="T377" s="241"/>
      <c r="U377" s="241"/>
      <c r="V377" s="241"/>
      <c r="W377" s="241"/>
      <c r="X377" s="241"/>
      <c r="Y377" s="241"/>
      <c r="Z377" s="241"/>
    </row>
    <row r="378" spans="1:26" s="78" customFormat="1" ht="27" hidden="1" customHeight="1" x14ac:dyDescent="0.25">
      <c r="A378" s="80"/>
      <c r="B378" s="384"/>
      <c r="C378" s="362" t="s">
        <v>775</v>
      </c>
      <c r="D378" s="362"/>
      <c r="E378" s="362"/>
      <c r="F378" s="105">
        <v>38</v>
      </c>
      <c r="G378" s="106">
        <f>ROUND(+'Datos contribuyente'!AO179+'Datos contribuyente'!AS179+'Datos contribuyente'!AW179+'Datos contribuyente'!BA179,-3)</f>
        <v>0</v>
      </c>
      <c r="H378" s="384"/>
      <c r="I378" s="384"/>
      <c r="J378" s="381" t="s">
        <v>45</v>
      </c>
      <c r="K378" s="381"/>
      <c r="L378" s="381"/>
      <c r="M378" s="381"/>
      <c r="N378" s="105">
        <v>73</v>
      </c>
      <c r="O378" s="424">
        <f>ROUND(+IF('Datos contribuyente'!$D$802="No",'Datos contribuyente'!E835,'Datos contribuyente'!E835-'Datos contribuyente'!G835),-3)</f>
        <v>0</v>
      </c>
      <c r="P378" s="424"/>
      <c r="Q378" s="240"/>
      <c r="R378" s="240"/>
      <c r="S378" s="240"/>
      <c r="T378" s="241"/>
      <c r="U378" s="241"/>
      <c r="V378" s="241"/>
      <c r="W378" s="241"/>
      <c r="X378" s="241"/>
      <c r="Y378" s="241"/>
      <c r="Z378" s="241"/>
    </row>
    <row r="379" spans="1:26" s="78" customFormat="1" ht="27" hidden="1" customHeight="1" x14ac:dyDescent="0.25">
      <c r="A379" s="80"/>
      <c r="B379" s="384"/>
      <c r="C379" s="385" t="s">
        <v>776</v>
      </c>
      <c r="D379" s="385"/>
      <c r="E379" s="385"/>
      <c r="F379" s="103">
        <v>39</v>
      </c>
      <c r="G379" s="104">
        <f>ROUND(+'Datos contribuyente'!AO192+'Datos contribuyente'!AS192+'Datos contribuyente'!AW192+'Datos contribuyente'!BA192,-3)</f>
        <v>0</v>
      </c>
      <c r="H379" s="384"/>
      <c r="I379" s="384"/>
      <c r="J379" s="382" t="s">
        <v>804</v>
      </c>
      <c r="K379" s="382"/>
      <c r="L379" s="382"/>
      <c r="M379" s="382"/>
      <c r="N379" s="103">
        <v>74</v>
      </c>
      <c r="O379" s="387">
        <f ca="1">ROUND(+IF('Datos contribuyente'!$D$802="No",'Datos contribuyente'!E836,'Datos contribuyente'!E836-'Datos contribuyente'!G836),-3)</f>
        <v>0</v>
      </c>
      <c r="P379" s="387"/>
      <c r="Q379" s="240"/>
      <c r="R379" s="240"/>
      <c r="S379" s="240"/>
      <c r="T379" s="241"/>
      <c r="U379" s="241"/>
      <c r="V379" s="241"/>
      <c r="W379" s="241"/>
      <c r="X379" s="241"/>
      <c r="Y379" s="241"/>
      <c r="Z379" s="241"/>
    </row>
    <row r="380" spans="1:26" s="78" customFormat="1" ht="27" hidden="1" customHeight="1" x14ac:dyDescent="0.25">
      <c r="A380" s="80"/>
      <c r="B380" s="384"/>
      <c r="C380" s="362" t="s">
        <v>777</v>
      </c>
      <c r="D380" s="362"/>
      <c r="E380" s="362"/>
      <c r="F380" s="105">
        <v>40</v>
      </c>
      <c r="G380" s="106">
        <f>ROUND(+'Datos contribuyente'!AO205+'Datos contribuyente'!AS205+'Datos contribuyente'!AW205+'Datos contribuyente'!BA205,-3)</f>
        <v>0</v>
      </c>
      <c r="H380" s="384"/>
      <c r="I380" s="384"/>
      <c r="J380" s="381" t="s">
        <v>805</v>
      </c>
      <c r="K380" s="381"/>
      <c r="L380" s="381"/>
      <c r="M380" s="381"/>
      <c r="N380" s="105">
        <v>75</v>
      </c>
      <c r="O380" s="424">
        <f ca="1">ROUND(+IF('Datos contribuyente'!$D$802="No",'Datos contribuyente'!E837,'Datos contribuyente'!E837-'Datos contribuyente'!G837),-3)</f>
        <v>0</v>
      </c>
      <c r="P380" s="424"/>
      <c r="Q380" s="240"/>
      <c r="R380" s="240"/>
      <c r="S380" s="240"/>
      <c r="T380" s="241"/>
      <c r="U380" s="241"/>
      <c r="V380" s="241"/>
      <c r="W380" s="241"/>
      <c r="X380" s="241"/>
      <c r="Y380" s="241"/>
      <c r="Z380" s="241"/>
    </row>
    <row r="381" spans="1:26" s="78" customFormat="1" ht="27" hidden="1" customHeight="1" x14ac:dyDescent="0.25">
      <c r="A381" s="80"/>
      <c r="B381" s="384"/>
      <c r="C381" s="395" t="s">
        <v>779</v>
      </c>
      <c r="D381" s="395"/>
      <c r="E381" s="395"/>
      <c r="F381" s="107">
        <v>41</v>
      </c>
      <c r="G381" s="108">
        <f>ROUND(+SUM(G367:G380),-3)</f>
        <v>0</v>
      </c>
      <c r="H381" s="384"/>
      <c r="I381" s="384"/>
      <c r="J381" s="382" t="s">
        <v>806</v>
      </c>
      <c r="K381" s="382"/>
      <c r="L381" s="382"/>
      <c r="M381" s="382"/>
      <c r="N381" s="103">
        <v>76</v>
      </c>
      <c r="O381" s="387">
        <f>ROUND(+'Datos contribuyente'!AQ430+'Datos contribuyente'!AU430+'Datos contribuyente'!AY430+'Datos contribuyente'!BC430,-3)</f>
        <v>0</v>
      </c>
      <c r="P381" s="387"/>
      <c r="Q381" s="240"/>
      <c r="R381" s="240"/>
      <c r="S381" s="240"/>
      <c r="T381" s="241"/>
      <c r="U381" s="241"/>
      <c r="V381" s="241"/>
      <c r="W381" s="241"/>
      <c r="X381" s="241"/>
      <c r="Y381" s="241"/>
      <c r="Z381" s="241"/>
    </row>
    <row r="382" spans="1:26" s="78" customFormat="1" ht="27" hidden="1" customHeight="1" x14ac:dyDescent="0.25">
      <c r="A382" s="80"/>
      <c r="B382" s="384"/>
      <c r="C382" s="362" t="s">
        <v>778</v>
      </c>
      <c r="D382" s="362"/>
      <c r="E382" s="362"/>
      <c r="F382" s="105">
        <v>42</v>
      </c>
      <c r="G382" s="106">
        <f>ROUND(+'Datos contribuyente'!AO219+'Datos contribuyente'!AS219+'Datos contribuyente'!AW219+'Datos contribuyente'!BA219,-3)</f>
        <v>0</v>
      </c>
      <c r="H382" s="384"/>
      <c r="I382" s="384"/>
      <c r="J382" s="383" t="s">
        <v>807</v>
      </c>
      <c r="K382" s="383"/>
      <c r="L382" s="383"/>
      <c r="M382" s="383"/>
      <c r="N382" s="117">
        <v>77</v>
      </c>
      <c r="O382" s="388">
        <f ca="1">ROUND(+SUM(O373:P381),-3)</f>
        <v>0</v>
      </c>
      <c r="P382" s="388"/>
      <c r="Q382" s="240"/>
      <c r="R382" s="240"/>
      <c r="S382" s="240"/>
      <c r="T382" s="241"/>
      <c r="U382" s="241"/>
      <c r="V382" s="241"/>
      <c r="W382" s="241"/>
      <c r="X382" s="241"/>
      <c r="Y382" s="241"/>
      <c r="Z382" s="241"/>
    </row>
    <row r="383" spans="1:26" s="78" customFormat="1" ht="27" hidden="1" customHeight="1" x14ac:dyDescent="0.25">
      <c r="A383" s="80"/>
      <c r="B383" s="384"/>
      <c r="C383" s="418" t="s">
        <v>780</v>
      </c>
      <c r="D383" s="418"/>
      <c r="E383" s="418"/>
      <c r="F383" s="110">
        <v>43</v>
      </c>
      <c r="G383" s="111">
        <f>ROUND(+G381-G382,-3)</f>
        <v>0</v>
      </c>
      <c r="H383" s="384"/>
      <c r="I383" s="384"/>
      <c r="J383" s="382" t="s">
        <v>46</v>
      </c>
      <c r="K383" s="382"/>
      <c r="L383" s="382"/>
      <c r="M383" s="382"/>
      <c r="N383" s="103">
        <v>78</v>
      </c>
      <c r="O383" s="387">
        <f>ROUND(+'Datos contribuyente'!AQ444+'Datos contribuyente'!AU444+'Datos contribuyente'!AY444+'Datos contribuyente'!BC444,-3)</f>
        <v>0</v>
      </c>
      <c r="P383" s="387"/>
      <c r="Q383" s="240"/>
      <c r="R383" s="240"/>
      <c r="S383" s="240"/>
      <c r="T383" s="241"/>
      <c r="U383" s="241"/>
      <c r="V383" s="241"/>
      <c r="W383" s="241"/>
      <c r="X383" s="241"/>
      <c r="Y383" s="241"/>
      <c r="Z383" s="241"/>
    </row>
    <row r="384" spans="1:26" s="78" customFormat="1" ht="27" hidden="1" customHeight="1" x14ac:dyDescent="0.25">
      <c r="A384" s="80"/>
      <c r="B384" s="384" t="s">
        <v>793</v>
      </c>
      <c r="C384" s="390" t="s">
        <v>47</v>
      </c>
      <c r="D384" s="362" t="s">
        <v>781</v>
      </c>
      <c r="E384" s="362"/>
      <c r="F384" s="105">
        <v>44</v>
      </c>
      <c r="G384" s="106">
        <f>ROUND(+'Datos contribuyente'!AO235+'Datos contribuyente'!AS235+'Datos contribuyente'!AW235+'Datos contribuyente'!BA235,-3)</f>
        <v>0</v>
      </c>
      <c r="H384" s="384"/>
      <c r="I384" s="384"/>
      <c r="J384" s="381" t="s">
        <v>808</v>
      </c>
      <c r="K384" s="381"/>
      <c r="L384" s="381"/>
      <c r="M384" s="381"/>
      <c r="N384" s="105">
        <v>79</v>
      </c>
      <c r="O384" s="386">
        <f>ROUND(+'Datos contribuyente'!AQ219+'Datos contribuyente'!AU219+'Datos contribuyente'!AY219+'Datos contribuyente'!BC219,-3)</f>
        <v>0</v>
      </c>
      <c r="P384" s="386"/>
      <c r="Q384" s="240"/>
      <c r="R384" s="240"/>
      <c r="S384" s="240"/>
      <c r="T384" s="241"/>
      <c r="U384" s="241"/>
      <c r="V384" s="241"/>
      <c r="W384" s="241"/>
      <c r="X384" s="241"/>
      <c r="Y384" s="241"/>
      <c r="Z384" s="241"/>
    </row>
    <row r="385" spans="1:26" s="78" customFormat="1" ht="27" hidden="1" customHeight="1" x14ac:dyDescent="0.25">
      <c r="A385" s="80"/>
      <c r="B385" s="384"/>
      <c r="C385" s="384"/>
      <c r="D385" s="385" t="s">
        <v>782</v>
      </c>
      <c r="E385" s="385"/>
      <c r="F385" s="103">
        <v>45</v>
      </c>
      <c r="G385" s="104">
        <f>ROUND(+'Datos contribuyente'!AO249+'Datos contribuyente'!AS249+'Datos contribuyente'!AW249+'Datos contribuyente'!BA249,-3)</f>
        <v>0</v>
      </c>
      <c r="H385" s="384"/>
      <c r="I385" s="384"/>
      <c r="J385" s="382" t="s">
        <v>48</v>
      </c>
      <c r="K385" s="382"/>
      <c r="L385" s="382"/>
      <c r="M385" s="382"/>
      <c r="N385" s="103">
        <v>80</v>
      </c>
      <c r="O385" s="387">
        <f>ROUND(+'Datos contribuyente'!AQ458+'Datos contribuyente'!AU458+'Datos contribuyente'!AY458+'Datos contribuyente'!BC458,-3)</f>
        <v>0</v>
      </c>
      <c r="P385" s="387"/>
      <c r="Q385" s="240"/>
      <c r="R385" s="240"/>
      <c r="S385" s="240"/>
      <c r="T385" s="241"/>
      <c r="U385" s="241"/>
      <c r="V385" s="241"/>
      <c r="W385" s="241"/>
      <c r="X385" s="241"/>
      <c r="Y385" s="241"/>
      <c r="Z385" s="241"/>
    </row>
    <row r="386" spans="1:26" s="78" customFormat="1" ht="27" hidden="1" customHeight="1" x14ac:dyDescent="0.25">
      <c r="A386" s="80"/>
      <c r="B386" s="384"/>
      <c r="C386" s="384"/>
      <c r="D386" s="362" t="s">
        <v>783</v>
      </c>
      <c r="E386" s="362"/>
      <c r="F386" s="105">
        <v>46</v>
      </c>
      <c r="G386" s="106">
        <f>ROUND(+'Datos contribuyente'!AO263+'Datos contribuyente'!AS263+'Datos contribuyente'!AW263+'Datos contribuyente'!BA263,-3)</f>
        <v>0</v>
      </c>
      <c r="H386" s="384"/>
      <c r="I386" s="391"/>
      <c r="J386" s="383" t="s">
        <v>809</v>
      </c>
      <c r="K386" s="383"/>
      <c r="L386" s="383"/>
      <c r="M386" s="383"/>
      <c r="N386" s="117">
        <v>81</v>
      </c>
      <c r="O386" s="388">
        <f ca="1">ROUND(+O382+O383+O384-O385,-3)</f>
        <v>0</v>
      </c>
      <c r="P386" s="388"/>
      <c r="Q386" s="240"/>
      <c r="R386" s="240"/>
      <c r="S386" s="240"/>
      <c r="T386" s="241"/>
      <c r="U386" s="241"/>
      <c r="V386" s="241"/>
      <c r="W386" s="241"/>
      <c r="X386" s="241"/>
      <c r="Y386" s="241"/>
      <c r="Z386" s="241"/>
    </row>
    <row r="387" spans="1:26" s="78" customFormat="1" ht="27" hidden="1" customHeight="1" x14ac:dyDescent="0.25">
      <c r="A387" s="80"/>
      <c r="B387" s="384"/>
      <c r="C387" s="384"/>
      <c r="D387" s="385" t="s">
        <v>784</v>
      </c>
      <c r="E387" s="385"/>
      <c r="F387" s="103">
        <v>47</v>
      </c>
      <c r="G387" s="104">
        <f>ROUND(+'Datos contribuyente'!AO276+'Datos contribuyente'!AS276+'Datos contribuyente'!AW276+'Datos contribuyente'!BA276,-3)</f>
        <v>0</v>
      </c>
      <c r="H387" s="384"/>
      <c r="I387" s="393" t="s">
        <v>810</v>
      </c>
      <c r="J387" s="393"/>
      <c r="K387" s="393"/>
      <c r="L387" s="393"/>
      <c r="M387" s="393"/>
      <c r="N387" s="107">
        <v>82</v>
      </c>
      <c r="O387" s="392">
        <f ca="1">ROUND(+IF(O372-O386&gt;0,O372-O386,0),-3)</f>
        <v>0</v>
      </c>
      <c r="P387" s="392"/>
      <c r="Q387" s="240"/>
      <c r="R387" s="240"/>
      <c r="S387" s="240"/>
      <c r="T387" s="241"/>
      <c r="U387" s="241"/>
      <c r="V387" s="241"/>
      <c r="W387" s="241"/>
      <c r="X387" s="241"/>
      <c r="Y387" s="241"/>
      <c r="Z387" s="241"/>
    </row>
    <row r="388" spans="1:26" s="78" customFormat="1" ht="27" hidden="1" customHeight="1" x14ac:dyDescent="0.25">
      <c r="A388" s="80"/>
      <c r="B388" s="384"/>
      <c r="C388" s="384"/>
      <c r="D388" s="362" t="s">
        <v>785</v>
      </c>
      <c r="E388" s="362"/>
      <c r="F388" s="105">
        <v>48</v>
      </c>
      <c r="G388" s="106">
        <f>ROUND(+'Datos contribuyente'!AO289+'Datos contribuyente'!AS289+'Datos contribuyente'!AW289+'Datos contribuyente'!BA289,-3)</f>
        <v>0</v>
      </c>
      <c r="H388" s="384"/>
      <c r="I388" s="394" t="s">
        <v>811</v>
      </c>
      <c r="J388" s="394"/>
      <c r="K388" s="394"/>
      <c r="L388" s="394"/>
      <c r="M388" s="394"/>
      <c r="N388" s="102">
        <v>83</v>
      </c>
      <c r="O388" s="419">
        <f ca="1">ROUND(+IF(O386-O372&gt;0,O386-O372,0),-3)</f>
        <v>0</v>
      </c>
      <c r="P388" s="419"/>
      <c r="Q388" s="240"/>
      <c r="R388" s="240"/>
      <c r="S388" s="240"/>
      <c r="T388" s="241"/>
      <c r="U388" s="241"/>
      <c r="V388" s="241"/>
      <c r="W388" s="241"/>
      <c r="X388" s="241"/>
      <c r="Y388" s="241"/>
      <c r="Z388" s="241"/>
    </row>
    <row r="389" spans="1:26" s="78" customFormat="1" ht="27" hidden="1" customHeight="1" x14ac:dyDescent="0.25">
      <c r="A389" s="80"/>
      <c r="B389" s="384"/>
      <c r="C389" s="391"/>
      <c r="D389" s="418" t="s">
        <v>786</v>
      </c>
      <c r="E389" s="418"/>
      <c r="F389" s="112">
        <v>49</v>
      </c>
      <c r="G389" s="113">
        <f>ROUND(+'Datos contribuyente'!AO303+'Datos contribuyente'!AS303+'Datos contribuyente'!AW303+'Datos contribuyente'!BA303,-3)</f>
        <v>0</v>
      </c>
      <c r="H389" s="384"/>
      <c r="I389" s="382" t="s">
        <v>49</v>
      </c>
      <c r="J389" s="382"/>
      <c r="K389" s="382"/>
      <c r="L389" s="382"/>
      <c r="M389" s="382"/>
      <c r="N389" s="103">
        <v>84</v>
      </c>
      <c r="O389" s="387">
        <f ca="1">ROUND(+IF('Datos contribuyente'!E984="No",'Datos contribuyente'!I976,0),-3)</f>
        <v>0</v>
      </c>
      <c r="P389" s="387"/>
      <c r="Q389" s="240"/>
      <c r="R389" s="240"/>
      <c r="S389" s="240"/>
      <c r="T389" s="241"/>
      <c r="U389" s="241"/>
      <c r="V389" s="241"/>
      <c r="W389" s="241"/>
      <c r="X389" s="241"/>
      <c r="Y389" s="241"/>
      <c r="Z389" s="241"/>
    </row>
    <row r="390" spans="1:26" s="78" customFormat="1" ht="27" hidden="1" customHeight="1" x14ac:dyDescent="0.25">
      <c r="A390" s="79"/>
      <c r="B390" s="384"/>
      <c r="C390" s="390" t="s">
        <v>50</v>
      </c>
      <c r="D390" s="362" t="s">
        <v>781</v>
      </c>
      <c r="E390" s="362"/>
      <c r="F390" s="105">
        <v>50</v>
      </c>
      <c r="G390" s="106">
        <f>ROUND(+'Datos contribuyente'!AO317+'Datos contribuyente'!AS317+'Datos contribuyente'!AW317+'Datos contribuyente'!BA317,-3)</f>
        <v>0</v>
      </c>
      <c r="H390" s="384"/>
      <c r="I390" s="381" t="s">
        <v>51</v>
      </c>
      <c r="J390" s="381"/>
      <c r="K390" s="381"/>
      <c r="L390" s="381"/>
      <c r="M390" s="381"/>
      <c r="N390" s="105">
        <v>85</v>
      </c>
      <c r="O390" s="386">
        <f>ROUND(+'Datos contribuyente'!AQ472+'Datos contribuyente'!AU472+'Datos contribuyente'!AY472+'Datos contribuyente'!BC472,-3)</f>
        <v>0</v>
      </c>
      <c r="P390" s="386"/>
      <c r="Q390" s="243"/>
      <c r="R390" s="240"/>
      <c r="S390" s="240"/>
      <c r="T390" s="241"/>
      <c r="U390" s="241"/>
      <c r="V390" s="241"/>
      <c r="W390" s="241"/>
      <c r="X390" s="241"/>
      <c r="Y390" s="241"/>
      <c r="Z390" s="241"/>
    </row>
    <row r="391" spans="1:26" s="78" customFormat="1" ht="27" hidden="1" customHeight="1" x14ac:dyDescent="0.25">
      <c r="A391" s="79"/>
      <c r="B391" s="384"/>
      <c r="C391" s="384"/>
      <c r="D391" s="385" t="s">
        <v>782</v>
      </c>
      <c r="E391" s="385"/>
      <c r="F391" s="103">
        <v>51</v>
      </c>
      <c r="G391" s="104">
        <f>ROUND(+'Datos contribuyente'!AO331+'Datos contribuyente'!AS331+'Datos contribuyente'!AW331+'Datos contribuyente'!BA331,-3)</f>
        <v>0</v>
      </c>
      <c r="H391" s="384"/>
      <c r="I391" s="393" t="s">
        <v>812</v>
      </c>
      <c r="J391" s="393"/>
      <c r="K391" s="393"/>
      <c r="L391" s="393"/>
      <c r="M391" s="393"/>
      <c r="N391" s="107">
        <v>86</v>
      </c>
      <c r="O391" s="392">
        <f ca="1">ROUND(+IF(O387-O389-O390&gt;0,O387-O389-O390,0),-3)</f>
        <v>0</v>
      </c>
      <c r="P391" s="392"/>
      <c r="Q391" s="243"/>
      <c r="R391" s="240"/>
      <c r="S391" s="240"/>
      <c r="T391" s="241"/>
      <c r="U391" s="241"/>
      <c r="V391" s="241"/>
      <c r="W391" s="241"/>
      <c r="X391" s="241"/>
      <c r="Y391" s="241"/>
      <c r="Z391" s="241"/>
    </row>
    <row r="392" spans="1:26" s="78" customFormat="1" ht="27" hidden="1" customHeight="1" x14ac:dyDescent="0.25">
      <c r="A392" s="79"/>
      <c r="B392" s="384"/>
      <c r="C392" s="384"/>
      <c r="D392" s="362" t="s">
        <v>787</v>
      </c>
      <c r="E392" s="362"/>
      <c r="F392" s="105">
        <v>52</v>
      </c>
      <c r="G392" s="106">
        <f>ROUND(+'Datos contribuyente'!AO345+'Datos contribuyente'!AS345+'Datos contribuyente'!AW345+'Datos contribuyente'!BA345,-3)</f>
        <v>0</v>
      </c>
      <c r="H392" s="384"/>
      <c r="I392" s="381" t="s">
        <v>52</v>
      </c>
      <c r="J392" s="381"/>
      <c r="K392" s="381"/>
      <c r="L392" s="381"/>
      <c r="M392" s="381"/>
      <c r="N392" s="105">
        <v>87</v>
      </c>
      <c r="O392" s="386">
        <f>ROUND(+'Datos contribuyente'!K910+'Datos contribuyente'!K940,-3)</f>
        <v>0</v>
      </c>
      <c r="P392" s="386"/>
      <c r="Q392" s="243"/>
      <c r="R392" s="240"/>
      <c r="S392" s="240"/>
      <c r="T392" s="241"/>
      <c r="U392" s="241"/>
      <c r="V392" s="241"/>
      <c r="W392" s="241"/>
      <c r="X392" s="241"/>
      <c r="Y392" s="241"/>
      <c r="Z392" s="241"/>
    </row>
    <row r="393" spans="1:26" s="78" customFormat="1" ht="27" hidden="1" customHeight="1" x14ac:dyDescent="0.25">
      <c r="A393" s="80"/>
      <c r="B393" s="384"/>
      <c r="C393" s="384"/>
      <c r="D393" s="385" t="s">
        <v>788</v>
      </c>
      <c r="E393" s="385"/>
      <c r="F393" s="103">
        <v>53</v>
      </c>
      <c r="G393" s="104">
        <f>ROUND(+'Datos contribuyente'!AO359+'Datos contribuyente'!AS359+'Datos contribuyente'!AW359+'Datos contribuyente'!BA359,-3)</f>
        <v>0</v>
      </c>
      <c r="H393" s="384"/>
      <c r="I393" s="393" t="s">
        <v>813</v>
      </c>
      <c r="J393" s="393"/>
      <c r="K393" s="393"/>
      <c r="L393" s="393"/>
      <c r="M393" s="393"/>
      <c r="N393" s="107">
        <v>88</v>
      </c>
      <c r="O393" s="392">
        <f ca="1">ROUND(+IF(O387-O389-O390+O392&gt;0,O387-O389-O390+O392,0),-3)</f>
        <v>0</v>
      </c>
      <c r="P393" s="392"/>
      <c r="Q393" s="243"/>
      <c r="R393" s="240"/>
      <c r="S393" s="240"/>
      <c r="T393" s="241"/>
      <c r="U393" s="241"/>
      <c r="V393" s="241"/>
      <c r="W393" s="241"/>
      <c r="X393" s="241"/>
      <c r="Y393" s="241"/>
      <c r="Z393" s="241"/>
    </row>
    <row r="394" spans="1:26" s="78" customFormat="1" ht="27" hidden="1" customHeight="1" x14ac:dyDescent="0.25">
      <c r="A394" s="80"/>
      <c r="B394" s="384"/>
      <c r="C394" s="391"/>
      <c r="D394" s="420" t="s">
        <v>789</v>
      </c>
      <c r="E394" s="420"/>
      <c r="F394" s="114">
        <v>54</v>
      </c>
      <c r="G394" s="115">
        <f>ROUND(+'Datos contribuyente'!AO372+'Datos contribuyente'!AS372+'Datos contribuyente'!AW372+'Datos contribuyente'!BA372,-3)</f>
        <v>0</v>
      </c>
      <c r="H394" s="391"/>
      <c r="I394" s="383" t="s">
        <v>1034</v>
      </c>
      <c r="J394" s="383"/>
      <c r="K394" s="383"/>
      <c r="L394" s="383"/>
      <c r="M394" s="383"/>
      <c r="N394" s="117">
        <v>89</v>
      </c>
      <c r="O394" s="388">
        <f ca="1">+IF(O388+O389+O390-O392-O391-O387&gt;0,O388+O389+O390-O392-O391-O387,0)</f>
        <v>0</v>
      </c>
      <c r="P394" s="388"/>
      <c r="Q394" s="240"/>
      <c r="R394" s="240"/>
      <c r="S394" s="240"/>
      <c r="T394" s="241"/>
      <c r="U394" s="241"/>
      <c r="V394" s="241"/>
      <c r="W394" s="241"/>
      <c r="X394" s="241"/>
      <c r="Y394" s="241"/>
      <c r="Z394" s="241"/>
    </row>
    <row r="395" spans="1:26" s="78" customFormat="1" ht="27" hidden="1" customHeight="1" x14ac:dyDescent="0.25">
      <c r="A395" s="80"/>
      <c r="B395" s="384"/>
      <c r="C395" s="395" t="s">
        <v>790</v>
      </c>
      <c r="D395" s="395"/>
      <c r="E395" s="395"/>
      <c r="F395" s="107">
        <v>55</v>
      </c>
      <c r="G395" s="108">
        <f>ROUND(+SUM(G384:G394),-3)</f>
        <v>0</v>
      </c>
      <c r="H395" s="390" t="s">
        <v>53</v>
      </c>
      <c r="I395" s="380" t="s">
        <v>54</v>
      </c>
      <c r="J395" s="380"/>
      <c r="K395" s="380"/>
      <c r="L395" s="380"/>
      <c r="M395" s="380"/>
      <c r="N395" s="116">
        <v>90</v>
      </c>
      <c r="O395" s="389">
        <f>ROUND(+'Datos contribuyente'!K973,-3)</f>
        <v>0</v>
      </c>
      <c r="P395" s="389"/>
      <c r="Q395" s="240"/>
      <c r="R395" s="240"/>
      <c r="S395" s="240"/>
      <c r="T395" s="241"/>
      <c r="U395" s="241"/>
      <c r="V395" s="241"/>
      <c r="W395" s="241"/>
      <c r="X395" s="241"/>
      <c r="Y395" s="241"/>
      <c r="Z395" s="241"/>
    </row>
    <row r="396" spans="1:26" s="78" customFormat="1" ht="27" hidden="1" customHeight="1" x14ac:dyDescent="0.25">
      <c r="A396" s="80"/>
      <c r="B396" s="384"/>
      <c r="C396" s="362" t="s">
        <v>791</v>
      </c>
      <c r="D396" s="362"/>
      <c r="E396" s="362"/>
      <c r="F396" s="105">
        <v>56</v>
      </c>
      <c r="G396" s="106">
        <f>ROUND(+'Datos contribuyente'!AO386+'Datos contribuyente'!AS386+'Datos contribuyente'!AW386+'Datos contribuyente'!BA386,-3)</f>
        <v>0</v>
      </c>
      <c r="H396" s="384"/>
      <c r="I396" s="381" t="s">
        <v>55</v>
      </c>
      <c r="J396" s="381"/>
      <c r="K396" s="381"/>
      <c r="L396" s="381"/>
      <c r="M396" s="381"/>
      <c r="N396" s="105">
        <v>91</v>
      </c>
      <c r="O396" s="386">
        <f ca="1">ROUND(+'Datos contribuyente'!K974,-3)</f>
        <v>0</v>
      </c>
      <c r="P396" s="386"/>
      <c r="Q396" s="240"/>
      <c r="R396" s="240"/>
      <c r="S396" s="240"/>
      <c r="T396" s="241"/>
      <c r="U396" s="241"/>
      <c r="V396" s="241"/>
      <c r="W396" s="241"/>
      <c r="X396" s="241"/>
      <c r="Y396" s="241"/>
      <c r="Z396" s="241"/>
    </row>
    <row r="397" spans="1:26" s="78" customFormat="1" ht="27" hidden="1" customHeight="1" x14ac:dyDescent="0.25">
      <c r="A397" s="80"/>
      <c r="B397" s="384"/>
      <c r="C397" s="409" t="s">
        <v>792</v>
      </c>
      <c r="D397" s="409"/>
      <c r="E397" s="409"/>
      <c r="F397" s="110">
        <v>57</v>
      </c>
      <c r="G397" s="111">
        <f>ROUND(+G395-G396,-3)</f>
        <v>0</v>
      </c>
      <c r="H397" s="384"/>
      <c r="I397" s="382" t="s">
        <v>56</v>
      </c>
      <c r="J397" s="382"/>
      <c r="K397" s="382"/>
      <c r="L397" s="382"/>
      <c r="M397" s="382"/>
      <c r="N397" s="103">
        <v>92</v>
      </c>
      <c r="O397" s="387">
        <f>ROUND(+'Datos contribuyente'!K975,-3)</f>
        <v>0</v>
      </c>
      <c r="P397" s="387"/>
      <c r="Q397" s="240"/>
      <c r="R397" s="240"/>
      <c r="S397" s="240"/>
      <c r="T397" s="241"/>
      <c r="U397" s="241"/>
      <c r="V397" s="241"/>
      <c r="W397" s="241"/>
      <c r="X397" s="241"/>
      <c r="Y397" s="241"/>
      <c r="Z397" s="241"/>
    </row>
    <row r="398" spans="1:26" s="78" customFormat="1" ht="27" hidden="1" customHeight="1" x14ac:dyDescent="0.25">
      <c r="A398" s="80"/>
      <c r="B398" s="399" t="s">
        <v>57</v>
      </c>
      <c r="C398" s="399" t="s">
        <v>794</v>
      </c>
      <c r="D398" s="402" t="s">
        <v>795</v>
      </c>
      <c r="E398" s="402"/>
      <c r="F398" s="118">
        <v>58</v>
      </c>
      <c r="G398" s="119">
        <f>ROUND(+'Datos contribuyente'!AQ30+'Datos contribuyente'!AU30+'Datos contribuyente'!AY30+'Datos contribuyente'!BC30,-3)</f>
        <v>0</v>
      </c>
      <c r="H398" s="391"/>
      <c r="I398" s="383" t="s">
        <v>814</v>
      </c>
      <c r="J398" s="383"/>
      <c r="K398" s="383"/>
      <c r="L398" s="383"/>
      <c r="M398" s="383"/>
      <c r="N398" s="117">
        <v>93</v>
      </c>
      <c r="O398" s="388">
        <f ca="1">ROUND(+'Datos contribuyente'!K976,-3)</f>
        <v>0</v>
      </c>
      <c r="P398" s="388"/>
      <c r="Q398" s="240"/>
      <c r="R398" s="240"/>
      <c r="S398" s="240"/>
      <c r="T398" s="241"/>
      <c r="U398" s="241"/>
      <c r="V398" s="241"/>
      <c r="W398" s="241"/>
      <c r="X398" s="241"/>
      <c r="Y398" s="241"/>
      <c r="Z398" s="241"/>
    </row>
    <row r="399" spans="1:26" s="78" customFormat="1" ht="27" hidden="1" customHeight="1" x14ac:dyDescent="0.25">
      <c r="A399" s="80"/>
      <c r="B399" s="400"/>
      <c r="C399" s="400"/>
      <c r="D399" s="385" t="s">
        <v>796</v>
      </c>
      <c r="E399" s="385"/>
      <c r="F399" s="103">
        <v>59</v>
      </c>
      <c r="G399" s="104">
        <f>ROUND(+'Datos contribuyente'!AQ44+'Datos contribuyente'!AU44+'Datos contribuyente'!AY44+'Datos contribuyente'!BC44,-3)</f>
        <v>0</v>
      </c>
      <c r="H399" s="399" t="s">
        <v>815</v>
      </c>
      <c r="I399" s="399"/>
      <c r="J399" s="403" t="s">
        <v>58</v>
      </c>
      <c r="K399" s="98">
        <v>1</v>
      </c>
      <c r="L399" s="132">
        <v>0</v>
      </c>
      <c r="M399" s="403" t="s">
        <v>58</v>
      </c>
      <c r="N399" s="101">
        <v>4</v>
      </c>
      <c r="O399" s="406">
        <v>0</v>
      </c>
      <c r="P399" s="406"/>
      <c r="Q399" s="240"/>
      <c r="R399" s="240"/>
      <c r="S399" s="240"/>
      <c r="T399" s="241"/>
      <c r="U399" s="241"/>
      <c r="V399" s="241"/>
      <c r="W399" s="241"/>
      <c r="X399" s="241"/>
      <c r="Y399" s="241"/>
      <c r="Z399" s="241"/>
    </row>
    <row r="400" spans="1:26" s="78" customFormat="1" ht="27" hidden="1" customHeight="1" x14ac:dyDescent="0.25">
      <c r="A400" s="80"/>
      <c r="B400" s="400"/>
      <c r="C400" s="400"/>
      <c r="D400" s="362" t="s">
        <v>765</v>
      </c>
      <c r="E400" s="362"/>
      <c r="F400" s="105">
        <v>60</v>
      </c>
      <c r="G400" s="109">
        <f>ROUND(+'Datos contribuyente'!AQ58+'Datos contribuyente'!AU58+'Datos contribuyente'!AY58+'Datos contribuyente'!BC58,-3)</f>
        <v>0</v>
      </c>
      <c r="H400" s="400"/>
      <c r="I400" s="400"/>
      <c r="J400" s="404"/>
      <c r="K400" s="96">
        <v>2</v>
      </c>
      <c r="L400" s="133">
        <v>0</v>
      </c>
      <c r="M400" s="404"/>
      <c r="N400" s="101">
        <v>5</v>
      </c>
      <c r="O400" s="407">
        <v>0</v>
      </c>
      <c r="P400" s="407"/>
      <c r="Q400" s="240"/>
      <c r="R400" s="240"/>
      <c r="S400" s="240"/>
      <c r="T400" s="241"/>
      <c r="U400" s="241"/>
      <c r="V400" s="241"/>
      <c r="W400" s="241"/>
      <c r="X400" s="241"/>
      <c r="Y400" s="241"/>
      <c r="Z400" s="241"/>
    </row>
    <row r="401" spans="1:26" s="78" customFormat="1" ht="27" hidden="1" customHeight="1" x14ac:dyDescent="0.25">
      <c r="A401" s="80"/>
      <c r="B401" s="401"/>
      <c r="C401" s="401"/>
      <c r="D401" s="418" t="s">
        <v>797</v>
      </c>
      <c r="E401" s="418"/>
      <c r="F401" s="112">
        <v>61</v>
      </c>
      <c r="G401" s="113">
        <f>ROUND(+'Datos contribuyente'!AQ124+'Datos contribuyente'!AU124+'Datos contribuyente'!AY124+'Datos contribuyente'!BC124,-3)</f>
        <v>0</v>
      </c>
      <c r="H401" s="401"/>
      <c r="I401" s="401"/>
      <c r="J401" s="405"/>
      <c r="K401" s="98">
        <v>3</v>
      </c>
      <c r="L401" s="128">
        <v>0</v>
      </c>
      <c r="M401" s="405"/>
      <c r="N401" s="101">
        <v>6</v>
      </c>
      <c r="O401" s="408">
        <v>0</v>
      </c>
      <c r="P401" s="408"/>
      <c r="Q401" s="240"/>
      <c r="R401" s="240"/>
      <c r="S401" s="240"/>
      <c r="T401" s="241"/>
      <c r="U401" s="241"/>
      <c r="V401" s="241"/>
      <c r="W401" s="241"/>
      <c r="X401" s="241"/>
      <c r="Y401" s="241"/>
      <c r="Z401" s="241"/>
    </row>
    <row r="402" spans="1:26" s="78" customFormat="1" ht="27" hidden="1" customHeight="1" x14ac:dyDescent="0.25">
      <c r="A402" s="80"/>
      <c r="B402" s="396" t="s">
        <v>59</v>
      </c>
      <c r="C402" s="397"/>
      <c r="D402" s="397"/>
      <c r="E402" s="397"/>
      <c r="F402" s="120"/>
      <c r="G402" s="97"/>
      <c r="H402" s="398" t="s">
        <v>816</v>
      </c>
      <c r="I402" s="398"/>
      <c r="J402" s="398"/>
      <c r="K402" s="398"/>
      <c r="L402" s="398"/>
      <c r="M402" s="376">
        <v>100</v>
      </c>
      <c r="N402" s="377"/>
      <c r="O402" s="421">
        <v>0</v>
      </c>
      <c r="P402" s="421"/>
      <c r="Q402" s="240"/>
      <c r="R402" s="240"/>
      <c r="S402" s="240"/>
      <c r="T402" s="241"/>
      <c r="U402" s="241"/>
      <c r="V402" s="241"/>
      <c r="W402" s="241"/>
      <c r="X402" s="241"/>
      <c r="Y402" s="241"/>
      <c r="Z402" s="241"/>
    </row>
    <row r="403" spans="1:26" hidden="1" x14ac:dyDescent="0.25"/>
    <row r="404" spans="1:26" s="10" customFormat="1" ht="36" customHeight="1" x14ac:dyDescent="0.3">
      <c r="B404" s="425" t="s">
        <v>955</v>
      </c>
      <c r="C404" s="425"/>
      <c r="D404" s="425"/>
      <c r="E404" s="425"/>
      <c r="F404" s="425"/>
      <c r="G404" s="425"/>
      <c r="H404" s="425"/>
      <c r="I404" s="425"/>
      <c r="J404" s="425"/>
      <c r="K404" s="425"/>
      <c r="L404" s="425"/>
      <c r="M404" s="425"/>
      <c r="N404" s="425"/>
      <c r="O404" s="425"/>
      <c r="P404" s="425"/>
    </row>
    <row r="406" spans="1:26" s="75" customFormat="1" ht="60" hidden="1" customHeight="1" x14ac:dyDescent="0.25">
      <c r="A406" s="74"/>
      <c r="B406" s="368"/>
      <c r="C406" s="368"/>
      <c r="D406" s="368"/>
      <c r="E406" s="378" t="s">
        <v>817</v>
      </c>
      <c r="F406" s="378"/>
      <c r="G406" s="378"/>
      <c r="H406" s="378"/>
      <c r="I406" s="378"/>
      <c r="J406" s="378"/>
      <c r="K406" s="378"/>
      <c r="L406" s="369" t="s">
        <v>31</v>
      </c>
      <c r="M406" s="369"/>
      <c r="N406" s="369"/>
      <c r="O406" s="379">
        <v>300</v>
      </c>
      <c r="P406" s="379"/>
      <c r="Q406" s="234"/>
      <c r="R406" s="235"/>
      <c r="S406" s="235"/>
      <c r="T406" s="236"/>
      <c r="U406" s="236"/>
      <c r="V406" s="236"/>
      <c r="W406" s="236"/>
      <c r="X406" s="236"/>
      <c r="Y406" s="236"/>
      <c r="Z406" s="236"/>
    </row>
    <row r="407" spans="1:26" s="77" customFormat="1" ht="27.6" hidden="1" customHeight="1" x14ac:dyDescent="0.25">
      <c r="A407" s="76"/>
      <c r="B407" s="370" t="s">
        <v>32</v>
      </c>
      <c r="C407" s="370"/>
      <c r="D407" s="121">
        <f>+'Datos contribuyente'!$I$6</f>
        <v>2025</v>
      </c>
      <c r="E407" s="100">
        <v>6</v>
      </c>
      <c r="F407" s="416" t="s">
        <v>33</v>
      </c>
      <c r="G407" s="417"/>
      <c r="H407" s="376">
        <v>1</v>
      </c>
      <c r="I407" s="377"/>
      <c r="J407" s="364" t="s">
        <v>34</v>
      </c>
      <c r="K407" s="364"/>
      <c r="L407" s="364"/>
      <c r="M407" s="364"/>
      <c r="N407" s="364"/>
      <c r="O407" s="364"/>
      <c r="P407" s="364"/>
      <c r="Q407" s="237"/>
      <c r="R407" s="238"/>
      <c r="S407" s="238"/>
      <c r="T407" s="239"/>
      <c r="U407" s="239"/>
      <c r="V407" s="239"/>
      <c r="W407" s="239"/>
      <c r="X407" s="239"/>
      <c r="Y407" s="239"/>
      <c r="Z407" s="239"/>
    </row>
    <row r="408" spans="1:26" s="77" customFormat="1" ht="27.6" hidden="1" customHeight="1" x14ac:dyDescent="0.25">
      <c r="A408" s="76"/>
      <c r="B408" s="363" t="s">
        <v>770</v>
      </c>
      <c r="C408" s="363"/>
      <c r="D408" s="364" t="s">
        <v>35</v>
      </c>
      <c r="E408" s="364"/>
      <c r="F408" s="410" t="s">
        <v>36</v>
      </c>
      <c r="G408" s="411"/>
      <c r="H408" s="411"/>
      <c r="I408" s="411"/>
      <c r="J408" s="411"/>
      <c r="K408" s="411"/>
      <c r="L408" s="411"/>
      <c r="M408" s="412"/>
      <c r="N408" s="364" t="s">
        <v>37</v>
      </c>
      <c r="O408" s="364"/>
      <c r="P408" s="364"/>
      <c r="Q408" s="237"/>
      <c r="R408" s="238"/>
      <c r="S408" s="238"/>
      <c r="T408" s="239"/>
      <c r="U408" s="239"/>
      <c r="V408" s="239"/>
      <c r="W408" s="239"/>
      <c r="X408" s="239"/>
      <c r="Y408" s="239"/>
      <c r="Z408" s="239"/>
    </row>
    <row r="409" spans="1:26" s="77" customFormat="1" ht="27.6" hidden="1" customHeight="1" x14ac:dyDescent="0.25">
      <c r="A409" s="99"/>
      <c r="B409" s="363"/>
      <c r="C409" s="363"/>
      <c r="D409" s="365">
        <f>+'Datos contribuyente'!$E$6</f>
        <v>0</v>
      </c>
      <c r="E409" s="366"/>
      <c r="F409" s="413" t="s">
        <v>38</v>
      </c>
      <c r="G409" s="414"/>
      <c r="H409" s="414"/>
      <c r="I409" s="414"/>
      <c r="J409" s="414"/>
      <c r="K409" s="414"/>
      <c r="L409" s="414"/>
      <c r="M409" s="415"/>
      <c r="N409" s="367"/>
      <c r="O409" s="367"/>
      <c r="P409" s="367"/>
      <c r="Q409" s="238"/>
      <c r="R409" s="238"/>
      <c r="S409" s="238"/>
      <c r="T409" s="239"/>
      <c r="U409" s="239"/>
      <c r="V409" s="239"/>
      <c r="W409" s="239"/>
      <c r="X409" s="239"/>
      <c r="Y409" s="239"/>
      <c r="Z409" s="239"/>
    </row>
    <row r="410" spans="1:26" s="77" customFormat="1" ht="27.6" hidden="1" customHeight="1" x14ac:dyDescent="0.25">
      <c r="A410" s="99"/>
      <c r="B410" s="363"/>
      <c r="C410" s="363"/>
      <c r="D410" s="371" t="s">
        <v>818</v>
      </c>
      <c r="E410" s="372"/>
      <c r="F410" s="373">
        <f>+'Datos contribuyente'!$B$6</f>
        <v>0</v>
      </c>
      <c r="G410" s="374"/>
      <c r="H410" s="374"/>
      <c r="I410" s="374"/>
      <c r="J410" s="374"/>
      <c r="K410" s="374"/>
      <c r="L410" s="374"/>
      <c r="M410" s="374"/>
      <c r="N410" s="374"/>
      <c r="O410" s="374"/>
      <c r="P410" s="375"/>
      <c r="Q410" s="238"/>
      <c r="R410" s="238"/>
      <c r="S410" s="238"/>
      <c r="T410" s="239"/>
      <c r="U410" s="239"/>
      <c r="V410" s="239"/>
      <c r="W410" s="239"/>
      <c r="X410" s="239"/>
      <c r="Y410" s="239"/>
      <c r="Z410" s="239"/>
    </row>
    <row r="411" spans="1:26" s="78" customFormat="1" ht="27" hidden="1" customHeight="1" x14ac:dyDescent="0.25">
      <c r="A411" s="80"/>
      <c r="B411" s="384" t="s">
        <v>771</v>
      </c>
      <c r="C411" s="385" t="s">
        <v>761</v>
      </c>
      <c r="D411" s="385"/>
      <c r="E411" s="385"/>
      <c r="F411" s="103">
        <v>27</v>
      </c>
      <c r="G411" s="104">
        <f>ROUND(+'Datos contribuyente'!E845,-3)</f>
        <v>0</v>
      </c>
      <c r="H411" s="390" t="s">
        <v>39</v>
      </c>
      <c r="I411" s="390" t="s">
        <v>40</v>
      </c>
      <c r="J411" s="380" t="s">
        <v>41</v>
      </c>
      <c r="K411" s="380"/>
      <c r="L411" s="380"/>
      <c r="M411" s="380"/>
      <c r="N411" s="116">
        <v>62</v>
      </c>
      <c r="O411" s="389">
        <f>ROUND(+'Datos contribuyente'!K151+'Datos contribuyente'!O151+'Datos contribuyente'!S151+'Datos contribuyente'!W151+'Datos contribuyente'!AA151+'Datos contribuyente'!AE151+'Datos contribuyente'!AI151+'Datos contribuyente'!AM151+'Datos contribuyente'!AQ151+'Datos contribuyente'!AU151+'Datos contribuyente'!AY151+'Datos contribuyente'!BC151,-3)</f>
        <v>0</v>
      </c>
      <c r="P411" s="389"/>
      <c r="Q411" s="240"/>
      <c r="R411" s="240"/>
      <c r="S411" s="240"/>
      <c r="T411" s="241"/>
      <c r="U411" s="241"/>
      <c r="V411" s="241"/>
      <c r="W411" s="241"/>
      <c r="X411" s="241"/>
      <c r="Y411" s="241"/>
      <c r="Z411" s="241"/>
    </row>
    <row r="412" spans="1:26" s="78" customFormat="1" ht="27" hidden="1" customHeight="1" x14ac:dyDescent="0.25">
      <c r="A412" s="80"/>
      <c r="B412" s="384"/>
      <c r="C412" s="362" t="s">
        <v>762</v>
      </c>
      <c r="D412" s="362"/>
      <c r="E412" s="362"/>
      <c r="F412" s="105">
        <v>28</v>
      </c>
      <c r="G412" s="106">
        <f>ROUND(+'Datos contribuyente'!E846,-3)</f>
        <v>0</v>
      </c>
      <c r="H412" s="384"/>
      <c r="I412" s="384"/>
      <c r="J412" s="381" t="s">
        <v>42</v>
      </c>
      <c r="K412" s="381"/>
      <c r="L412" s="381"/>
      <c r="M412" s="381"/>
      <c r="N412" s="105">
        <v>63</v>
      </c>
      <c r="O412" s="386">
        <f>ROUND(+'Datos contribuyente'!K165+'Datos contribuyente'!O165+'Datos contribuyente'!S165+'Datos contribuyente'!W165+'Datos contribuyente'!AA165+'Datos contribuyente'!AE165+'Datos contribuyente'!AI165+'Datos contribuyente'!AM165+'Datos contribuyente'!AQ165+'Datos contribuyente'!AU165+'Datos contribuyente'!AY165+'Datos contribuyente'!BC165,-3)</f>
        <v>0</v>
      </c>
      <c r="P412" s="386"/>
      <c r="Q412" s="240"/>
      <c r="R412" s="240"/>
      <c r="S412" s="240"/>
      <c r="T412" s="241"/>
      <c r="U412" s="241"/>
      <c r="V412" s="241"/>
      <c r="W412" s="241"/>
      <c r="X412" s="241"/>
      <c r="Y412" s="241"/>
      <c r="Z412" s="241"/>
    </row>
    <row r="413" spans="1:26" s="78" customFormat="1" ht="27" hidden="1" customHeight="1" x14ac:dyDescent="0.25">
      <c r="A413" s="80"/>
      <c r="B413" s="384"/>
      <c r="C413" s="385" t="s">
        <v>763</v>
      </c>
      <c r="D413" s="385"/>
      <c r="E413" s="385"/>
      <c r="F413" s="103">
        <v>29</v>
      </c>
      <c r="G413" s="104">
        <f>ROUND(+'Datos contribuyente'!E847,-3)</f>
        <v>0</v>
      </c>
      <c r="H413" s="384"/>
      <c r="I413" s="384"/>
      <c r="J413" s="382" t="s">
        <v>43</v>
      </c>
      <c r="K413" s="382"/>
      <c r="L413" s="382"/>
      <c r="M413" s="382"/>
      <c r="N413" s="103">
        <v>64</v>
      </c>
      <c r="O413" s="387">
        <f>ROUND(+'Datos contribuyente'!K179+'Datos contribuyente'!O179+'Datos contribuyente'!S179+'Datos contribuyente'!W179+'Datos contribuyente'!AA179+'Datos contribuyente'!AE179+'Datos contribuyente'!AI179+'Datos contribuyente'!AM179+'Datos contribuyente'!AQ179+'Datos contribuyente'!AU179+'Datos contribuyente'!AY179+'Datos contribuyente'!BC179,-3)</f>
        <v>0</v>
      </c>
      <c r="P413" s="387"/>
      <c r="Q413" s="240"/>
      <c r="R413" s="240"/>
      <c r="S413" s="240"/>
      <c r="T413" s="241"/>
      <c r="U413" s="241"/>
      <c r="V413" s="241"/>
      <c r="W413" s="241"/>
      <c r="X413" s="241"/>
      <c r="Y413" s="241"/>
      <c r="Z413" s="241"/>
    </row>
    <row r="414" spans="1:26" s="78" customFormat="1" ht="27" hidden="1" customHeight="1" x14ac:dyDescent="0.25">
      <c r="A414" s="80"/>
      <c r="B414" s="384"/>
      <c r="C414" s="362" t="s">
        <v>766</v>
      </c>
      <c r="D414" s="362"/>
      <c r="E414" s="362"/>
      <c r="F414" s="105">
        <v>30</v>
      </c>
      <c r="G414" s="106">
        <f>ROUND(+'Datos contribuyente'!E848,-3)</f>
        <v>0</v>
      </c>
      <c r="H414" s="384"/>
      <c r="I414" s="384"/>
      <c r="J414" s="381" t="s">
        <v>798</v>
      </c>
      <c r="K414" s="381"/>
      <c r="L414" s="381"/>
      <c r="M414" s="381"/>
      <c r="N414" s="105">
        <v>65</v>
      </c>
      <c r="O414" s="386">
        <f>ROUND(+'Datos contribuyente'!K402+'Datos contribuyente'!O402+'Datos contribuyente'!S402+'Datos contribuyente'!W402+'Datos contribuyente'!AA402+'Datos contribuyente'!AE402+'Datos contribuyente'!AI402+'Datos contribuyente'!AM402+'Datos contribuyente'!AQ402+'Datos contribuyente'!AU402+'Datos contribuyente'!AY402+'Datos contribuyente'!BC402,-3)</f>
        <v>0</v>
      </c>
      <c r="P414" s="386"/>
      <c r="Q414" s="240"/>
      <c r="R414" s="240"/>
      <c r="S414" s="240"/>
      <c r="T414" s="241"/>
      <c r="U414" s="241"/>
      <c r="V414" s="241"/>
      <c r="W414" s="241"/>
      <c r="X414" s="241"/>
      <c r="Y414" s="241"/>
      <c r="Z414" s="241"/>
    </row>
    <row r="415" spans="1:26" s="78" customFormat="1" ht="27" hidden="1" customHeight="1" x14ac:dyDescent="0.25">
      <c r="A415" s="80"/>
      <c r="B415" s="384"/>
      <c r="C415" s="385" t="s">
        <v>767</v>
      </c>
      <c r="D415" s="385"/>
      <c r="E415" s="385"/>
      <c r="F415" s="103">
        <v>31</v>
      </c>
      <c r="G415" s="104">
        <f>ROUND(+'Datos contribuyente'!E849,-3)</f>
        <v>0</v>
      </c>
      <c r="H415" s="384"/>
      <c r="I415" s="384"/>
      <c r="J415" s="382" t="s">
        <v>764</v>
      </c>
      <c r="K415" s="382"/>
      <c r="L415" s="382"/>
      <c r="M415" s="382"/>
      <c r="N415" s="103">
        <v>66</v>
      </c>
      <c r="O415" s="387">
        <f>ROUND(+IF('Datos contribuyente'!$D$842="No",'Datos contribuyente'!E869,'Datos contribuyente'!E869-'Datos contribuyente'!G869),-3)</f>
        <v>0</v>
      </c>
      <c r="P415" s="387"/>
      <c r="Q415" s="240"/>
      <c r="R415" s="240"/>
      <c r="S415" s="240"/>
      <c r="T415" s="241"/>
      <c r="U415" s="241"/>
      <c r="V415" s="241"/>
      <c r="W415" s="241"/>
      <c r="X415" s="241"/>
      <c r="Y415" s="241"/>
      <c r="Z415" s="241"/>
    </row>
    <row r="416" spans="1:26" s="78" customFormat="1" ht="27" hidden="1" customHeight="1" x14ac:dyDescent="0.25">
      <c r="A416" s="80"/>
      <c r="B416" s="384"/>
      <c r="C416" s="362" t="s">
        <v>768</v>
      </c>
      <c r="D416" s="362"/>
      <c r="E416" s="362"/>
      <c r="F416" s="105">
        <v>32</v>
      </c>
      <c r="G416" s="106">
        <f>ROUND(+'Datos contribuyente'!E850,-3)</f>
        <v>0</v>
      </c>
      <c r="H416" s="384"/>
      <c r="I416" s="391"/>
      <c r="J416" s="383" t="s">
        <v>799</v>
      </c>
      <c r="K416" s="383"/>
      <c r="L416" s="383"/>
      <c r="M416" s="383"/>
      <c r="N416" s="117">
        <v>67</v>
      </c>
      <c r="O416" s="388">
        <f>ROUND(+SUM(G442:G445,O411:P415),-3)</f>
        <v>0</v>
      </c>
      <c r="P416" s="388"/>
      <c r="Q416" s="240"/>
      <c r="R416" s="240"/>
      <c r="S416" s="240"/>
      <c r="T416" s="241"/>
      <c r="U416" s="241"/>
      <c r="V416" s="241"/>
      <c r="W416" s="241"/>
      <c r="X416" s="241"/>
      <c r="Y416" s="241"/>
      <c r="Z416" s="241"/>
    </row>
    <row r="417" spans="1:26" s="78" customFormat="1" ht="27" hidden="1" customHeight="1" x14ac:dyDescent="0.25">
      <c r="A417" s="80"/>
      <c r="B417" s="384"/>
      <c r="C417" s="385" t="s">
        <v>769</v>
      </c>
      <c r="D417" s="385"/>
      <c r="E417" s="385"/>
      <c r="F417" s="103">
        <v>33</v>
      </c>
      <c r="G417" s="104">
        <f>ROUND(+'Datos contribuyente'!E851,-3)</f>
        <v>0</v>
      </c>
      <c r="H417" s="384"/>
      <c r="I417" s="390" t="s">
        <v>44</v>
      </c>
      <c r="J417" s="380" t="s">
        <v>800</v>
      </c>
      <c r="K417" s="380"/>
      <c r="L417" s="380"/>
      <c r="M417" s="380"/>
      <c r="N417" s="116">
        <v>68</v>
      </c>
      <c r="O417" s="389">
        <f>ROUND(+IF('Datos contribuyente'!$D$842="No",'Datos contribuyente'!E870,'Datos contribuyente'!E870-'Datos contribuyente'!G870),-3)</f>
        <v>0</v>
      </c>
      <c r="P417" s="389"/>
      <c r="Q417" s="240"/>
      <c r="R417" s="240"/>
      <c r="S417" s="240"/>
      <c r="T417" s="241"/>
      <c r="U417" s="241"/>
      <c r="V417" s="241"/>
      <c r="W417" s="241"/>
      <c r="X417" s="241"/>
      <c r="Y417" s="241"/>
      <c r="Z417" s="241"/>
    </row>
    <row r="418" spans="1:26" s="78" customFormat="1" ht="27" hidden="1" customHeight="1" x14ac:dyDescent="0.25">
      <c r="A418" s="80"/>
      <c r="B418" s="384"/>
      <c r="C418" s="362" t="s">
        <v>772</v>
      </c>
      <c r="D418" s="362"/>
      <c r="E418" s="362"/>
      <c r="F418" s="105">
        <v>34</v>
      </c>
      <c r="G418" s="106">
        <f>ROUND(+'Datos contribuyente'!E852,-3)</f>
        <v>0</v>
      </c>
      <c r="H418" s="384"/>
      <c r="I418" s="384"/>
      <c r="J418" s="381" t="s">
        <v>801</v>
      </c>
      <c r="K418" s="381"/>
      <c r="L418" s="381"/>
      <c r="M418" s="381"/>
      <c r="N418" s="105">
        <v>69</v>
      </c>
      <c r="O418" s="424">
        <f>ROUND(+IF('Datos contribuyente'!$D$842="No",'Datos contribuyente'!E871,'Datos contribuyente'!E871-'Datos contribuyente'!G871),-3)</f>
        <v>0</v>
      </c>
      <c r="P418" s="424"/>
      <c r="Q418" s="240"/>
      <c r="R418" s="240"/>
      <c r="S418" s="240"/>
      <c r="T418" s="241"/>
      <c r="U418" s="241"/>
      <c r="V418" s="241"/>
      <c r="W418" s="241"/>
      <c r="X418" s="241"/>
      <c r="Y418" s="241"/>
      <c r="Z418" s="241"/>
    </row>
    <row r="419" spans="1:26" s="78" customFormat="1" ht="27" hidden="1" customHeight="1" x14ac:dyDescent="0.25">
      <c r="A419" s="80"/>
      <c r="B419" s="384"/>
      <c r="C419" s="385" t="s">
        <v>773</v>
      </c>
      <c r="D419" s="385"/>
      <c r="E419" s="385"/>
      <c r="F419" s="103">
        <v>35</v>
      </c>
      <c r="G419" s="104">
        <f>ROUND(+'Datos contribuyente'!E853,-3)</f>
        <v>0</v>
      </c>
      <c r="H419" s="384"/>
      <c r="I419" s="384"/>
      <c r="J419" s="382" t="s">
        <v>783</v>
      </c>
      <c r="K419" s="382"/>
      <c r="L419" s="382"/>
      <c r="M419" s="382"/>
      <c r="N419" s="103">
        <v>70</v>
      </c>
      <c r="O419" s="387">
        <f>ROUND(+IF('Datos contribuyente'!$D$842="No",'Datos contribuyente'!E872,'Datos contribuyente'!E872-'Datos contribuyente'!G872),-3)</f>
        <v>0</v>
      </c>
      <c r="P419" s="387"/>
      <c r="Q419" s="240"/>
      <c r="R419" s="240"/>
      <c r="S419" s="240"/>
      <c r="T419" s="241"/>
      <c r="U419" s="241"/>
      <c r="V419" s="241"/>
      <c r="W419" s="241"/>
      <c r="X419" s="241"/>
      <c r="Y419" s="241"/>
      <c r="Z419" s="241"/>
    </row>
    <row r="420" spans="1:26" s="78" customFormat="1" ht="27" hidden="1" customHeight="1" x14ac:dyDescent="0.25">
      <c r="A420" s="80"/>
      <c r="B420" s="384"/>
      <c r="C420" s="362" t="s">
        <v>821</v>
      </c>
      <c r="D420" s="362"/>
      <c r="E420" s="362"/>
      <c r="F420" s="105">
        <v>36</v>
      </c>
      <c r="G420" s="106">
        <f>ROUND(+'Datos contribuyente'!E854,-3)</f>
        <v>0</v>
      </c>
      <c r="H420" s="384"/>
      <c r="I420" s="384"/>
      <c r="J420" s="381" t="s">
        <v>802</v>
      </c>
      <c r="K420" s="381"/>
      <c r="L420" s="381"/>
      <c r="M420" s="381"/>
      <c r="N420" s="105">
        <v>71</v>
      </c>
      <c r="O420" s="424">
        <f>ROUND(+IF('Datos contribuyente'!$D$842="No",'Datos contribuyente'!E873,'Datos contribuyente'!E873-'Datos contribuyente'!G873),-3)</f>
        <v>0</v>
      </c>
      <c r="P420" s="424"/>
      <c r="Q420" s="240"/>
      <c r="R420" s="240"/>
      <c r="S420" s="240"/>
      <c r="T420" s="241"/>
      <c r="U420" s="241"/>
      <c r="V420" s="241"/>
      <c r="W420" s="241"/>
      <c r="X420" s="241"/>
      <c r="Y420" s="241"/>
      <c r="Z420" s="241"/>
    </row>
    <row r="421" spans="1:26" s="78" customFormat="1" ht="27" hidden="1" customHeight="1" x14ac:dyDescent="0.25">
      <c r="A421" s="80"/>
      <c r="B421" s="384"/>
      <c r="C421" s="385" t="s">
        <v>774</v>
      </c>
      <c r="D421" s="385"/>
      <c r="E421" s="385"/>
      <c r="F421" s="103">
        <v>37</v>
      </c>
      <c r="G421" s="104">
        <f>ROUND(+'Datos contribuyente'!E855,-3)</f>
        <v>0</v>
      </c>
      <c r="H421" s="384"/>
      <c r="I421" s="384"/>
      <c r="J421" s="382" t="s">
        <v>803</v>
      </c>
      <c r="K421" s="382"/>
      <c r="L421" s="382"/>
      <c r="M421" s="382"/>
      <c r="N421" s="103">
        <v>72</v>
      </c>
      <c r="O421" s="387">
        <f>ROUND(+IF('Datos contribuyente'!$D$842="No",'Datos contribuyente'!E874,'Datos contribuyente'!E874-'Datos contribuyente'!G874),-3)</f>
        <v>0</v>
      </c>
      <c r="P421" s="387"/>
      <c r="Q421" s="240"/>
      <c r="R421" s="240"/>
      <c r="S421" s="240"/>
      <c r="T421" s="241"/>
      <c r="U421" s="241"/>
      <c r="V421" s="241"/>
      <c r="W421" s="241"/>
      <c r="X421" s="241"/>
      <c r="Y421" s="241"/>
      <c r="Z421" s="241"/>
    </row>
    <row r="422" spans="1:26" s="78" customFormat="1" ht="27" hidden="1" customHeight="1" x14ac:dyDescent="0.25">
      <c r="A422" s="80"/>
      <c r="B422" s="384"/>
      <c r="C422" s="362" t="s">
        <v>775</v>
      </c>
      <c r="D422" s="362"/>
      <c r="E422" s="362"/>
      <c r="F422" s="105">
        <v>38</v>
      </c>
      <c r="G422" s="106">
        <f>ROUND(+'Datos contribuyente'!E856,-3)</f>
        <v>0</v>
      </c>
      <c r="H422" s="384"/>
      <c r="I422" s="384"/>
      <c r="J422" s="381" t="s">
        <v>45</v>
      </c>
      <c r="K422" s="381"/>
      <c r="L422" s="381"/>
      <c r="M422" s="381"/>
      <c r="N422" s="105">
        <v>73</v>
      </c>
      <c r="O422" s="424">
        <f>ROUND(+IF('Datos contribuyente'!$D$842="No",'Datos contribuyente'!E875,'Datos contribuyente'!E875-'Datos contribuyente'!G875),-3)</f>
        <v>0</v>
      </c>
      <c r="P422" s="424"/>
      <c r="Q422" s="240"/>
      <c r="R422" s="240"/>
      <c r="S422" s="240"/>
      <c r="T422" s="241"/>
      <c r="U422" s="241"/>
      <c r="V422" s="241"/>
      <c r="W422" s="241"/>
      <c r="X422" s="241"/>
      <c r="Y422" s="241"/>
      <c r="Z422" s="241"/>
    </row>
    <row r="423" spans="1:26" s="78" customFormat="1" ht="27" hidden="1" customHeight="1" x14ac:dyDescent="0.25">
      <c r="A423" s="80"/>
      <c r="B423" s="384"/>
      <c r="C423" s="385" t="s">
        <v>776</v>
      </c>
      <c r="D423" s="385"/>
      <c r="E423" s="385"/>
      <c r="F423" s="103">
        <v>39</v>
      </c>
      <c r="G423" s="104">
        <f>ROUND(+'Datos contribuyente'!E857,-3)</f>
        <v>0</v>
      </c>
      <c r="H423" s="384"/>
      <c r="I423" s="384"/>
      <c r="J423" s="382" t="s">
        <v>804</v>
      </c>
      <c r="K423" s="382"/>
      <c r="L423" s="382"/>
      <c r="M423" s="382"/>
      <c r="N423" s="103">
        <v>74</v>
      </c>
      <c r="O423" s="387">
        <f ca="1">ROUND(+IF('Datos contribuyente'!$D$842="No",'Datos contribuyente'!E876,'Datos contribuyente'!E876-'Datos contribuyente'!G876),-3)</f>
        <v>0</v>
      </c>
      <c r="P423" s="387"/>
      <c r="Q423" s="240"/>
      <c r="R423" s="240"/>
      <c r="S423" s="240"/>
      <c r="T423" s="241"/>
      <c r="U423" s="241"/>
      <c r="V423" s="241"/>
      <c r="W423" s="241"/>
      <c r="X423" s="241"/>
      <c r="Y423" s="241"/>
      <c r="Z423" s="241"/>
    </row>
    <row r="424" spans="1:26" s="78" customFormat="1" ht="27" hidden="1" customHeight="1" x14ac:dyDescent="0.25">
      <c r="A424" s="80"/>
      <c r="B424" s="384"/>
      <c r="C424" s="362" t="s">
        <v>777</v>
      </c>
      <c r="D424" s="362"/>
      <c r="E424" s="362"/>
      <c r="F424" s="105">
        <v>40</v>
      </c>
      <c r="G424" s="106">
        <f>ROUND(+'Datos contribuyente'!E858,-3)</f>
        <v>0</v>
      </c>
      <c r="H424" s="384"/>
      <c r="I424" s="384"/>
      <c r="J424" s="381" t="s">
        <v>805</v>
      </c>
      <c r="K424" s="381"/>
      <c r="L424" s="381"/>
      <c r="M424" s="381"/>
      <c r="N424" s="105">
        <v>75</v>
      </c>
      <c r="O424" s="424">
        <f ca="1">ROUND(+IF('Datos contribuyente'!$D$842="No",'Datos contribuyente'!E877,'Datos contribuyente'!E877-'Datos contribuyente'!G877),-3)</f>
        <v>0</v>
      </c>
      <c r="P424" s="424"/>
      <c r="Q424" s="240"/>
      <c r="R424" s="240"/>
      <c r="S424" s="240"/>
      <c r="T424" s="241"/>
      <c r="U424" s="241"/>
      <c r="V424" s="241"/>
      <c r="W424" s="241"/>
      <c r="X424" s="241"/>
      <c r="Y424" s="241"/>
      <c r="Z424" s="241"/>
    </row>
    <row r="425" spans="1:26" s="78" customFormat="1" ht="27" hidden="1" customHeight="1" x14ac:dyDescent="0.25">
      <c r="A425" s="80"/>
      <c r="B425" s="384"/>
      <c r="C425" s="395" t="s">
        <v>779</v>
      </c>
      <c r="D425" s="395"/>
      <c r="E425" s="395"/>
      <c r="F425" s="107">
        <v>41</v>
      </c>
      <c r="G425" s="108">
        <f>ROUND(+SUM(G411:G424),-3)</f>
        <v>0</v>
      </c>
      <c r="H425" s="384"/>
      <c r="I425" s="384"/>
      <c r="J425" s="382" t="s">
        <v>806</v>
      </c>
      <c r="K425" s="382"/>
      <c r="L425" s="382"/>
      <c r="M425" s="382"/>
      <c r="N425" s="103">
        <v>76</v>
      </c>
      <c r="O425" s="387">
        <f>ROUND(+'Datos contribuyente'!K430+'Datos contribuyente'!O430+'Datos contribuyente'!S430+'Datos contribuyente'!W430+'Datos contribuyente'!AA430+'Datos contribuyente'!AE430+'Datos contribuyente'!AI430+'Datos contribuyente'!AM430+'Datos contribuyente'!AQ430+'Datos contribuyente'!AU430+'Datos contribuyente'!AY430+'Datos contribuyente'!BC430,-3)</f>
        <v>0</v>
      </c>
      <c r="P425" s="387"/>
      <c r="Q425" s="240"/>
      <c r="R425" s="240"/>
      <c r="S425" s="240"/>
      <c r="T425" s="241"/>
      <c r="U425" s="241"/>
      <c r="V425" s="241"/>
      <c r="W425" s="241"/>
      <c r="X425" s="241"/>
      <c r="Y425" s="241"/>
      <c r="Z425" s="241"/>
    </row>
    <row r="426" spans="1:26" s="78" customFormat="1" ht="27" hidden="1" customHeight="1" x14ac:dyDescent="0.25">
      <c r="A426" s="80"/>
      <c r="B426" s="384"/>
      <c r="C426" s="362" t="s">
        <v>778</v>
      </c>
      <c r="D426" s="362"/>
      <c r="E426" s="362"/>
      <c r="F426" s="105">
        <v>42</v>
      </c>
      <c r="G426" s="106">
        <f ca="1">ROUND(+'Datos contribuyente'!F859,-3)</f>
        <v>0</v>
      </c>
      <c r="H426" s="384"/>
      <c r="I426" s="384"/>
      <c r="J426" s="383" t="s">
        <v>807</v>
      </c>
      <c r="K426" s="383"/>
      <c r="L426" s="383"/>
      <c r="M426" s="383"/>
      <c r="N426" s="117">
        <v>77</v>
      </c>
      <c r="O426" s="388">
        <f ca="1">ROUND(+SUM(O417:P425),-3)</f>
        <v>0</v>
      </c>
      <c r="P426" s="388"/>
      <c r="Q426" s="240"/>
      <c r="R426" s="240"/>
      <c r="S426" s="240"/>
      <c r="T426" s="241"/>
      <c r="U426" s="241"/>
      <c r="V426" s="241"/>
      <c r="W426" s="241"/>
      <c r="X426" s="241"/>
      <c r="Y426" s="241"/>
      <c r="Z426" s="241"/>
    </row>
    <row r="427" spans="1:26" s="78" customFormat="1" ht="27" hidden="1" customHeight="1" x14ac:dyDescent="0.25">
      <c r="A427" s="80"/>
      <c r="B427" s="384"/>
      <c r="C427" s="418" t="s">
        <v>780</v>
      </c>
      <c r="D427" s="418"/>
      <c r="E427" s="418"/>
      <c r="F427" s="110">
        <v>43</v>
      </c>
      <c r="G427" s="111">
        <f ca="1">ROUND(+G425-G426,-3)</f>
        <v>0</v>
      </c>
      <c r="H427" s="384"/>
      <c r="I427" s="384"/>
      <c r="J427" s="382" t="s">
        <v>46</v>
      </c>
      <c r="K427" s="382"/>
      <c r="L427" s="382"/>
      <c r="M427" s="382"/>
      <c r="N427" s="103">
        <v>78</v>
      </c>
      <c r="O427" s="387">
        <f>ROUND(+'Datos contribuyente'!K444+'Datos contribuyente'!O444+'Datos contribuyente'!S444+'Datos contribuyente'!W444+'Datos contribuyente'!AA444+'Datos contribuyente'!AE444+'Datos contribuyente'!AI444+'Datos contribuyente'!AM444+'Datos contribuyente'!AQ444+'Datos contribuyente'!AU444+'Datos contribuyente'!AY444+'Datos contribuyente'!BC444,-3)</f>
        <v>0</v>
      </c>
      <c r="P427" s="387"/>
      <c r="Q427" s="240"/>
      <c r="R427" s="240"/>
      <c r="S427" s="240"/>
      <c r="T427" s="241"/>
      <c r="U427" s="241"/>
      <c r="V427" s="241"/>
      <c r="W427" s="241"/>
      <c r="X427" s="241"/>
      <c r="Y427" s="241"/>
      <c r="Z427" s="241"/>
    </row>
    <row r="428" spans="1:26" s="78" customFormat="1" ht="27" hidden="1" customHeight="1" x14ac:dyDescent="0.25">
      <c r="A428" s="80"/>
      <c r="B428" s="384" t="s">
        <v>793</v>
      </c>
      <c r="C428" s="390" t="s">
        <v>47</v>
      </c>
      <c r="D428" s="362" t="s">
        <v>781</v>
      </c>
      <c r="E428" s="362"/>
      <c r="F428" s="105">
        <v>44</v>
      </c>
      <c r="G428" s="106">
        <f>ROUND(+'Datos contribuyente'!I235+'Datos contribuyente'!M235+'Datos contribuyente'!Q235+'Datos contribuyente'!U235+'Datos contribuyente'!Y235+'Datos contribuyente'!AC235+'Datos contribuyente'!AG235+'Datos contribuyente'!AK235+'Datos contribuyente'!AO235+'Datos contribuyente'!AS235+'Datos contribuyente'!AW235+'Datos contribuyente'!BA235,-3)</f>
        <v>0</v>
      </c>
      <c r="H428" s="384"/>
      <c r="I428" s="384"/>
      <c r="J428" s="381" t="s">
        <v>808</v>
      </c>
      <c r="K428" s="381"/>
      <c r="L428" s="381"/>
      <c r="M428" s="381"/>
      <c r="N428" s="105">
        <v>79</v>
      </c>
      <c r="O428" s="386">
        <f>ROUND(+'Datos contribuyente'!K219+'Datos contribuyente'!O219+'Datos contribuyente'!S219+'Datos contribuyente'!W219+'Datos contribuyente'!AA219+'Datos contribuyente'!AE219+'Datos contribuyente'!AI219+'Datos contribuyente'!AM219+'Datos contribuyente'!AQ219+'Datos contribuyente'!AU219+'Datos contribuyente'!AY219+'Datos contribuyente'!BC219,-3)</f>
        <v>0</v>
      </c>
      <c r="P428" s="386"/>
      <c r="Q428" s="240"/>
      <c r="R428" s="240"/>
      <c r="S428" s="240"/>
      <c r="T428" s="241"/>
      <c r="U428" s="241"/>
      <c r="V428" s="241"/>
      <c r="W428" s="241"/>
      <c r="X428" s="241"/>
      <c r="Y428" s="241"/>
      <c r="Z428" s="241"/>
    </row>
    <row r="429" spans="1:26" s="78" customFormat="1" ht="27" hidden="1" customHeight="1" x14ac:dyDescent="0.25">
      <c r="A429" s="80"/>
      <c r="B429" s="384"/>
      <c r="C429" s="384"/>
      <c r="D429" s="385" t="s">
        <v>782</v>
      </c>
      <c r="E429" s="385"/>
      <c r="F429" s="103">
        <v>45</v>
      </c>
      <c r="G429" s="104">
        <f>ROUND(+'Datos contribuyente'!I249+'Datos contribuyente'!M249+'Datos contribuyente'!Q249+'Datos contribuyente'!U249+'Datos contribuyente'!Y249+'Datos contribuyente'!AC249+'Datos contribuyente'!AG249+'Datos contribuyente'!AK249+'Datos contribuyente'!AO249+'Datos contribuyente'!AS249+'Datos contribuyente'!AW249+'Datos contribuyente'!BA249,-3)</f>
        <v>0</v>
      </c>
      <c r="H429" s="384"/>
      <c r="I429" s="384"/>
      <c r="J429" s="382" t="s">
        <v>48</v>
      </c>
      <c r="K429" s="382"/>
      <c r="L429" s="382"/>
      <c r="M429" s="382"/>
      <c r="N429" s="103">
        <v>80</v>
      </c>
      <c r="O429" s="387">
        <f>ROUND(+'Datos contribuyente'!K458+'Datos contribuyente'!O458+'Datos contribuyente'!S458+'Datos contribuyente'!W458+'Datos contribuyente'!AA458+'Datos contribuyente'!AE458+'Datos contribuyente'!AI458+'Datos contribuyente'!AM458+'Datos contribuyente'!AQ458+'Datos contribuyente'!AU458+'Datos contribuyente'!AY458+'Datos contribuyente'!BC458,-3)</f>
        <v>0</v>
      </c>
      <c r="P429" s="387"/>
      <c r="Q429" s="240"/>
      <c r="R429" s="240"/>
      <c r="S429" s="240"/>
      <c r="T429" s="241"/>
      <c r="U429" s="241"/>
      <c r="V429" s="241"/>
      <c r="W429" s="241"/>
      <c r="X429" s="241"/>
      <c r="Y429" s="241"/>
      <c r="Z429" s="241"/>
    </row>
    <row r="430" spans="1:26" s="78" customFormat="1" ht="27" hidden="1" customHeight="1" x14ac:dyDescent="0.25">
      <c r="A430" s="80"/>
      <c r="B430" s="384"/>
      <c r="C430" s="384"/>
      <c r="D430" s="362" t="s">
        <v>783</v>
      </c>
      <c r="E430" s="362"/>
      <c r="F430" s="105">
        <v>46</v>
      </c>
      <c r="G430" s="106">
        <f>ROUND(+'Datos contribuyente'!I263+'Datos contribuyente'!M263+'Datos contribuyente'!Q263+'Datos contribuyente'!U263+'Datos contribuyente'!Y263+'Datos contribuyente'!AC263+'Datos contribuyente'!AG263+'Datos contribuyente'!AK263+'Datos contribuyente'!AO263+'Datos contribuyente'!AS263+'Datos contribuyente'!AW263+'Datos contribuyente'!BA263,-3)</f>
        <v>0</v>
      </c>
      <c r="H430" s="384"/>
      <c r="I430" s="391"/>
      <c r="J430" s="383" t="s">
        <v>809</v>
      </c>
      <c r="K430" s="383"/>
      <c r="L430" s="383"/>
      <c r="M430" s="383"/>
      <c r="N430" s="117">
        <v>81</v>
      </c>
      <c r="O430" s="388">
        <f ca="1">ROUND(+O426+O427+O428-O429,-3)</f>
        <v>0</v>
      </c>
      <c r="P430" s="388"/>
      <c r="Q430" s="240"/>
      <c r="R430" s="240"/>
      <c r="S430" s="240"/>
      <c r="T430" s="241"/>
      <c r="U430" s="241"/>
      <c r="V430" s="241"/>
      <c r="W430" s="241"/>
      <c r="X430" s="241"/>
      <c r="Y430" s="241"/>
      <c r="Z430" s="241"/>
    </row>
    <row r="431" spans="1:26" s="78" customFormat="1" ht="27" hidden="1" customHeight="1" x14ac:dyDescent="0.25">
      <c r="A431" s="80"/>
      <c r="B431" s="384"/>
      <c r="C431" s="384"/>
      <c r="D431" s="385" t="s">
        <v>784</v>
      </c>
      <c r="E431" s="385"/>
      <c r="F431" s="103">
        <v>47</v>
      </c>
      <c r="G431" s="104">
        <f>ROUND(+'Datos contribuyente'!I276+'Datos contribuyente'!M276+'Datos contribuyente'!Q276+'Datos contribuyente'!U276+'Datos contribuyente'!Y276+'Datos contribuyente'!AC276+'Datos contribuyente'!AG276+'Datos contribuyente'!AK276+'Datos contribuyente'!AO276+'Datos contribuyente'!AS276+'Datos contribuyente'!AW276+'Datos contribuyente'!BA276,-3)</f>
        <v>0</v>
      </c>
      <c r="H431" s="384"/>
      <c r="I431" s="393" t="s">
        <v>810</v>
      </c>
      <c r="J431" s="393"/>
      <c r="K431" s="393"/>
      <c r="L431" s="393"/>
      <c r="M431" s="393"/>
      <c r="N431" s="107">
        <v>82</v>
      </c>
      <c r="O431" s="392">
        <f ca="1">ROUND(+IF(O416-O430&gt;0,O416-O430,0),-3)</f>
        <v>0</v>
      </c>
      <c r="P431" s="392"/>
      <c r="Q431" s="240"/>
      <c r="R431" s="240"/>
      <c r="S431" s="240"/>
      <c r="T431" s="241"/>
      <c r="U431" s="241"/>
      <c r="V431" s="241"/>
      <c r="W431" s="241"/>
      <c r="X431" s="241"/>
      <c r="Y431" s="241"/>
      <c r="Z431" s="241"/>
    </row>
    <row r="432" spans="1:26" s="78" customFormat="1" ht="27" hidden="1" customHeight="1" x14ac:dyDescent="0.25">
      <c r="A432" s="80"/>
      <c r="B432" s="384"/>
      <c r="C432" s="384"/>
      <c r="D432" s="362" t="s">
        <v>785</v>
      </c>
      <c r="E432" s="362"/>
      <c r="F432" s="105">
        <v>48</v>
      </c>
      <c r="G432" s="106">
        <f>ROUND(+'Datos contribuyente'!I289+'Datos contribuyente'!M289+'Datos contribuyente'!Q289+'Datos contribuyente'!U289+'Datos contribuyente'!Y289+'Datos contribuyente'!AC289+'Datos contribuyente'!AG289+'Datos contribuyente'!AK289+'Datos contribuyente'!AO289+'Datos contribuyente'!AS289+'Datos contribuyente'!AW289+'Datos contribuyente'!BA289,-3)</f>
        <v>0</v>
      </c>
      <c r="H432" s="384"/>
      <c r="I432" s="394" t="s">
        <v>811</v>
      </c>
      <c r="J432" s="394"/>
      <c r="K432" s="394"/>
      <c r="L432" s="394"/>
      <c r="M432" s="394"/>
      <c r="N432" s="102">
        <v>83</v>
      </c>
      <c r="O432" s="419">
        <f ca="1">ROUND(+IF(O430-O416&gt;0,O430-O416,0),-3)</f>
        <v>0</v>
      </c>
      <c r="P432" s="419"/>
      <c r="Q432" s="240"/>
      <c r="R432" s="240"/>
      <c r="S432" s="240"/>
      <c r="T432" s="241"/>
      <c r="U432" s="241"/>
      <c r="V432" s="241"/>
      <c r="W432" s="241"/>
      <c r="X432" s="241"/>
      <c r="Y432" s="241"/>
      <c r="Z432" s="241"/>
    </row>
    <row r="433" spans="1:26" s="78" customFormat="1" ht="27" hidden="1" customHeight="1" x14ac:dyDescent="0.25">
      <c r="A433" s="80"/>
      <c r="B433" s="384"/>
      <c r="C433" s="391"/>
      <c r="D433" s="418" t="s">
        <v>786</v>
      </c>
      <c r="E433" s="418"/>
      <c r="F433" s="112">
        <v>49</v>
      </c>
      <c r="G433" s="113">
        <f>ROUND(+'Datos contribuyente'!I303+'Datos contribuyente'!M303+'Datos contribuyente'!Q303+'Datos contribuyente'!U303+'Datos contribuyente'!Y303+'Datos contribuyente'!AC303+'Datos contribuyente'!AG303+'Datos contribuyente'!AK303+'Datos contribuyente'!AO303+'Datos contribuyente'!AS303+'Datos contribuyente'!AW303+'Datos contribuyente'!BA303,-3)</f>
        <v>0</v>
      </c>
      <c r="H433" s="384"/>
      <c r="I433" s="382" t="s">
        <v>49</v>
      </c>
      <c r="J433" s="382"/>
      <c r="K433" s="382"/>
      <c r="L433" s="382"/>
      <c r="M433" s="382"/>
      <c r="N433" s="103">
        <v>84</v>
      </c>
      <c r="O433" s="387">
        <f>ROUND(+IF('Datos contribuyente'!E999="No",'Datos contribuyente'!E998,0),-3)</f>
        <v>0</v>
      </c>
      <c r="P433" s="387"/>
      <c r="Q433" s="240"/>
      <c r="R433" s="240"/>
      <c r="S433" s="240"/>
      <c r="T433" s="241"/>
      <c r="U433" s="241"/>
      <c r="V433" s="241"/>
      <c r="W433" s="241"/>
      <c r="X433" s="241"/>
      <c r="Y433" s="241"/>
      <c r="Z433" s="241"/>
    </row>
    <row r="434" spans="1:26" s="78" customFormat="1" ht="27" hidden="1" customHeight="1" x14ac:dyDescent="0.25">
      <c r="A434" s="79"/>
      <c r="B434" s="384"/>
      <c r="C434" s="390" t="s">
        <v>50</v>
      </c>
      <c r="D434" s="362" t="s">
        <v>781</v>
      </c>
      <c r="E434" s="362"/>
      <c r="F434" s="105">
        <v>50</v>
      </c>
      <c r="G434" s="106">
        <f>ROUND(+'Datos contribuyente'!I317+'Datos contribuyente'!M317+'Datos contribuyente'!Q317+'Datos contribuyente'!U317+'Datos contribuyente'!Y317+'Datos contribuyente'!AC317+'Datos contribuyente'!AG317+'Datos contribuyente'!AK317+'Datos contribuyente'!AO317+'Datos contribuyente'!AS317+'Datos contribuyente'!AW317+'Datos contribuyente'!BA317,-3)</f>
        <v>0</v>
      </c>
      <c r="H434" s="384"/>
      <c r="I434" s="381" t="s">
        <v>51</v>
      </c>
      <c r="J434" s="381"/>
      <c r="K434" s="381"/>
      <c r="L434" s="381"/>
      <c r="M434" s="381"/>
      <c r="N434" s="105">
        <v>85</v>
      </c>
      <c r="O434" s="386">
        <f>ROUND(+'Datos contribuyente'!K472+'Datos contribuyente'!O472+'Datos contribuyente'!S472+'Datos contribuyente'!W472+'Datos contribuyente'!AA472+'Datos contribuyente'!AE472+'Datos contribuyente'!AI472+'Datos contribuyente'!AM472+'Datos contribuyente'!AQ472+'Datos contribuyente'!AU472+'Datos contribuyente'!AY472+'Datos contribuyente'!BC472,-3)</f>
        <v>0</v>
      </c>
      <c r="P434" s="386"/>
      <c r="Q434" s="240"/>
      <c r="R434" s="240"/>
      <c r="S434" s="240"/>
      <c r="T434" s="241"/>
      <c r="U434" s="241"/>
      <c r="V434" s="241"/>
      <c r="W434" s="241"/>
      <c r="X434" s="241"/>
      <c r="Y434" s="241"/>
      <c r="Z434" s="241"/>
    </row>
    <row r="435" spans="1:26" s="78" customFormat="1" ht="27" hidden="1" customHeight="1" x14ac:dyDescent="0.25">
      <c r="A435" s="79"/>
      <c r="B435" s="384"/>
      <c r="C435" s="384"/>
      <c r="D435" s="385" t="s">
        <v>782</v>
      </c>
      <c r="E435" s="385"/>
      <c r="F435" s="103">
        <v>51</v>
      </c>
      <c r="G435" s="104">
        <f>ROUND(+'Datos contribuyente'!I331+'Datos contribuyente'!M331+'Datos contribuyente'!Q331+'Datos contribuyente'!U331+'Datos contribuyente'!Y331+'Datos contribuyente'!AC331+'Datos contribuyente'!AG331+'Datos contribuyente'!AK331+'Datos contribuyente'!AO331+'Datos contribuyente'!AS331+'Datos contribuyente'!AW331+'Datos contribuyente'!BA331,-3)</f>
        <v>0</v>
      </c>
      <c r="H435" s="384"/>
      <c r="I435" s="393" t="s">
        <v>812</v>
      </c>
      <c r="J435" s="393"/>
      <c r="K435" s="393"/>
      <c r="L435" s="393"/>
      <c r="M435" s="393"/>
      <c r="N435" s="107">
        <v>86</v>
      </c>
      <c r="O435" s="392">
        <f ca="1">ROUND(+IF(O431-O433-O434&gt;0,O431-O433-O434,0),-3)</f>
        <v>0</v>
      </c>
      <c r="P435" s="392"/>
      <c r="Q435" s="240"/>
      <c r="R435" s="240"/>
      <c r="S435" s="240"/>
      <c r="T435" s="241"/>
      <c r="U435" s="241"/>
      <c r="V435" s="241"/>
      <c r="W435" s="241"/>
      <c r="X435" s="241"/>
      <c r="Y435" s="241"/>
      <c r="Z435" s="241"/>
    </row>
    <row r="436" spans="1:26" s="78" customFormat="1" ht="27" hidden="1" customHeight="1" x14ac:dyDescent="0.25">
      <c r="A436" s="79"/>
      <c r="B436" s="384"/>
      <c r="C436" s="384"/>
      <c r="D436" s="362" t="s">
        <v>787</v>
      </c>
      <c r="E436" s="362"/>
      <c r="F436" s="105">
        <v>52</v>
      </c>
      <c r="G436" s="106">
        <f>ROUND(+'Datos contribuyente'!I345+'Datos contribuyente'!M345+'Datos contribuyente'!Q345+'Datos contribuyente'!U345+'Datos contribuyente'!Y345+'Datos contribuyente'!AC345+'Datos contribuyente'!AG345+'Datos contribuyente'!AK345+'Datos contribuyente'!AO345+'Datos contribuyente'!AS345+'Datos contribuyente'!AW345+'Datos contribuyente'!BA345,-3)</f>
        <v>0</v>
      </c>
      <c r="H436" s="384"/>
      <c r="I436" s="381" t="s">
        <v>52</v>
      </c>
      <c r="J436" s="381"/>
      <c r="K436" s="381"/>
      <c r="L436" s="381"/>
      <c r="M436" s="381"/>
      <c r="N436" s="105">
        <v>87</v>
      </c>
      <c r="O436" s="386">
        <f>ROUND(+'Datos contribuyente'!G914+'Datos contribuyente'!G944,-3)</f>
        <v>0</v>
      </c>
      <c r="P436" s="386"/>
      <c r="Q436" s="240"/>
      <c r="R436" s="240"/>
      <c r="S436" s="240"/>
      <c r="T436" s="241"/>
      <c r="U436" s="241"/>
      <c r="V436" s="241"/>
      <c r="W436" s="241"/>
      <c r="X436" s="241"/>
      <c r="Y436" s="241"/>
      <c r="Z436" s="241"/>
    </row>
    <row r="437" spans="1:26" s="78" customFormat="1" ht="27" hidden="1" customHeight="1" x14ac:dyDescent="0.25">
      <c r="A437" s="80"/>
      <c r="B437" s="384"/>
      <c r="C437" s="384"/>
      <c r="D437" s="385" t="s">
        <v>788</v>
      </c>
      <c r="E437" s="385"/>
      <c r="F437" s="103">
        <v>53</v>
      </c>
      <c r="G437" s="104">
        <f>ROUND(+'Datos contribuyente'!I359+'Datos contribuyente'!M359+'Datos contribuyente'!Q359+'Datos contribuyente'!U359+'Datos contribuyente'!Y359+'Datos contribuyente'!AC359+'Datos contribuyente'!AG359+'Datos contribuyente'!AK359+'Datos contribuyente'!AO359+'Datos contribuyente'!AS359+'Datos contribuyente'!AW359+'Datos contribuyente'!BA359,-3)</f>
        <v>0</v>
      </c>
      <c r="H437" s="384"/>
      <c r="I437" s="393" t="s">
        <v>813</v>
      </c>
      <c r="J437" s="393"/>
      <c r="K437" s="393"/>
      <c r="L437" s="393"/>
      <c r="M437" s="393"/>
      <c r="N437" s="107">
        <v>88</v>
      </c>
      <c r="O437" s="392">
        <f ca="1">ROUND(+IF(O431-O433-O434+O436&gt;0,O431-O433-O434+O436,0),-3)</f>
        <v>0</v>
      </c>
      <c r="P437" s="392"/>
      <c r="Q437" s="240"/>
      <c r="R437" s="240"/>
      <c r="S437" s="240"/>
      <c r="T437" s="241"/>
      <c r="U437" s="241"/>
      <c r="V437" s="241"/>
      <c r="W437" s="241"/>
      <c r="X437" s="241"/>
      <c r="Y437" s="241"/>
      <c r="Z437" s="241"/>
    </row>
    <row r="438" spans="1:26" s="78" customFormat="1" ht="27" hidden="1" customHeight="1" x14ac:dyDescent="0.25">
      <c r="A438" s="80"/>
      <c r="B438" s="384"/>
      <c r="C438" s="391"/>
      <c r="D438" s="420" t="s">
        <v>789</v>
      </c>
      <c r="E438" s="420"/>
      <c r="F438" s="114">
        <v>54</v>
      </c>
      <c r="G438" s="115">
        <f>ROUND(+'Datos contribuyente'!I372+'Datos contribuyente'!M372+'Datos contribuyente'!Q372+'Datos contribuyente'!U372+'Datos contribuyente'!Y372+'Datos contribuyente'!AC372+'Datos contribuyente'!AG372+'Datos contribuyente'!AK372+'Datos contribuyente'!AO372+'Datos contribuyente'!AS372+'Datos contribuyente'!AW372+'Datos contribuyente'!BA372,-3)</f>
        <v>0</v>
      </c>
      <c r="H438" s="391"/>
      <c r="I438" s="383" t="s">
        <v>1034</v>
      </c>
      <c r="J438" s="383"/>
      <c r="K438" s="383"/>
      <c r="L438" s="383"/>
      <c r="M438" s="383"/>
      <c r="N438" s="117">
        <v>89</v>
      </c>
      <c r="O438" s="388">
        <f ca="1">+IF(O432+O433+O434-O436-O435-O431&gt;0,O432+O433+O434-O436-O435-O431,0)</f>
        <v>0</v>
      </c>
      <c r="P438" s="388"/>
      <c r="Q438" s="240"/>
      <c r="R438" s="240"/>
      <c r="S438" s="240"/>
      <c r="T438" s="241"/>
      <c r="U438" s="241"/>
      <c r="V438" s="241"/>
      <c r="W438" s="241"/>
      <c r="X438" s="241"/>
      <c r="Y438" s="241"/>
      <c r="Z438" s="241"/>
    </row>
    <row r="439" spans="1:26" s="78" customFormat="1" ht="27" hidden="1" customHeight="1" x14ac:dyDescent="0.25">
      <c r="A439" s="80"/>
      <c r="B439" s="384"/>
      <c r="C439" s="395" t="s">
        <v>790</v>
      </c>
      <c r="D439" s="395"/>
      <c r="E439" s="395"/>
      <c r="F439" s="107">
        <v>55</v>
      </c>
      <c r="G439" s="108">
        <f>ROUND(+SUM(G428:G438),-3)</f>
        <v>0</v>
      </c>
      <c r="H439" s="390" t="s">
        <v>53</v>
      </c>
      <c r="I439" s="380" t="s">
        <v>54</v>
      </c>
      <c r="J439" s="380"/>
      <c r="K439" s="380"/>
      <c r="L439" s="380"/>
      <c r="M439" s="380"/>
      <c r="N439" s="116">
        <v>90</v>
      </c>
      <c r="O439" s="389">
        <f>ROUND(+'Datos contribuyente'!G990,-3)</f>
        <v>0</v>
      </c>
      <c r="P439" s="389"/>
      <c r="Q439" s="240"/>
      <c r="R439" s="240"/>
      <c r="S439" s="240"/>
      <c r="T439" s="241"/>
      <c r="U439" s="241"/>
      <c r="V439" s="241"/>
      <c r="W439" s="241"/>
      <c r="X439" s="241"/>
      <c r="Y439" s="241"/>
      <c r="Z439" s="241"/>
    </row>
    <row r="440" spans="1:26" s="78" customFormat="1" ht="27" hidden="1" customHeight="1" x14ac:dyDescent="0.25">
      <c r="A440" s="80"/>
      <c r="B440" s="384"/>
      <c r="C440" s="362" t="s">
        <v>791</v>
      </c>
      <c r="D440" s="362"/>
      <c r="E440" s="362"/>
      <c r="F440" s="105">
        <v>56</v>
      </c>
      <c r="G440" s="106">
        <f>ROUND(+'Datos contribuyente'!I386+'Datos contribuyente'!M386+'Datos contribuyente'!Q386+'Datos contribuyente'!U386+'Datos contribuyente'!Y386+'Datos contribuyente'!AC386+'Datos contribuyente'!AG386+'Datos contribuyente'!AK386+'Datos contribuyente'!AO386+'Datos contribuyente'!AS386+'Datos contribuyente'!AW386+'Datos contribuyente'!BA386,-3)</f>
        <v>0</v>
      </c>
      <c r="H440" s="384"/>
      <c r="I440" s="381" t="s">
        <v>55</v>
      </c>
      <c r="J440" s="381"/>
      <c r="K440" s="381"/>
      <c r="L440" s="381"/>
      <c r="M440" s="381"/>
      <c r="N440" s="105">
        <v>91</v>
      </c>
      <c r="O440" s="386">
        <f ca="1">ROUND(+'Datos contribuyente'!G991,-3)</f>
        <v>0</v>
      </c>
      <c r="P440" s="386"/>
      <c r="Q440" s="240"/>
      <c r="R440" s="240"/>
      <c r="S440" s="240"/>
      <c r="T440" s="241"/>
      <c r="U440" s="241"/>
      <c r="V440" s="241"/>
      <c r="W440" s="241"/>
      <c r="X440" s="241"/>
      <c r="Y440" s="241"/>
      <c r="Z440" s="241"/>
    </row>
    <row r="441" spans="1:26" s="78" customFormat="1" ht="27" hidden="1" customHeight="1" x14ac:dyDescent="0.25">
      <c r="A441" s="80"/>
      <c r="B441" s="384"/>
      <c r="C441" s="409" t="s">
        <v>792</v>
      </c>
      <c r="D441" s="409"/>
      <c r="E441" s="409"/>
      <c r="F441" s="110">
        <v>57</v>
      </c>
      <c r="G441" s="111">
        <f>ROUND(+G439-G440,-3)</f>
        <v>0</v>
      </c>
      <c r="H441" s="384"/>
      <c r="I441" s="382" t="s">
        <v>56</v>
      </c>
      <c r="J441" s="382"/>
      <c r="K441" s="382"/>
      <c r="L441" s="382"/>
      <c r="M441" s="382"/>
      <c r="N441" s="103">
        <v>92</v>
      </c>
      <c r="O441" s="387">
        <f>ROUND(+'Datos contribuyente'!G992,-3)</f>
        <v>0</v>
      </c>
      <c r="P441" s="387"/>
      <c r="Q441" s="240"/>
      <c r="R441" s="240"/>
      <c r="S441" s="240"/>
      <c r="T441" s="241"/>
      <c r="U441" s="241"/>
      <c r="V441" s="241"/>
      <c r="W441" s="241"/>
      <c r="X441" s="241"/>
      <c r="Y441" s="241"/>
      <c r="Z441" s="241"/>
    </row>
    <row r="442" spans="1:26" s="78" customFormat="1" ht="27" hidden="1" customHeight="1" x14ac:dyDescent="0.25">
      <c r="A442" s="80"/>
      <c r="B442" s="399" t="s">
        <v>57</v>
      </c>
      <c r="C442" s="399" t="s">
        <v>794</v>
      </c>
      <c r="D442" s="402" t="s">
        <v>795</v>
      </c>
      <c r="E442" s="402"/>
      <c r="F442" s="118">
        <v>58</v>
      </c>
      <c r="G442" s="119">
        <f>ROUND(+'Datos contribuyente'!K30+'Datos contribuyente'!O30+'Datos contribuyente'!S30+'Datos contribuyente'!W30+'Datos contribuyente'!AA30+'Datos contribuyente'!AE30+'Datos contribuyente'!AI30+'Datos contribuyente'!AM30+'Datos contribuyente'!AQ30+'Datos contribuyente'!AU30+'Datos contribuyente'!AY30+'Datos contribuyente'!BC30,-3)</f>
        <v>0</v>
      </c>
      <c r="H442" s="391"/>
      <c r="I442" s="383" t="s">
        <v>814</v>
      </c>
      <c r="J442" s="383"/>
      <c r="K442" s="383"/>
      <c r="L442" s="383"/>
      <c r="M442" s="383"/>
      <c r="N442" s="117">
        <v>93</v>
      </c>
      <c r="O442" s="388">
        <f ca="1">ROUND(+'Datos contribuyente'!G993,-3)</f>
        <v>0</v>
      </c>
      <c r="P442" s="388"/>
      <c r="Q442" s="240"/>
      <c r="R442" s="240"/>
      <c r="S442" s="240"/>
      <c r="T442" s="241"/>
      <c r="U442" s="241"/>
      <c r="V442" s="241"/>
      <c r="W442" s="241"/>
      <c r="X442" s="241"/>
      <c r="Y442" s="241"/>
      <c r="Z442" s="241"/>
    </row>
    <row r="443" spans="1:26" s="78" customFormat="1" ht="27" hidden="1" customHeight="1" x14ac:dyDescent="0.25">
      <c r="A443" s="80"/>
      <c r="B443" s="400"/>
      <c r="C443" s="400"/>
      <c r="D443" s="385" t="s">
        <v>796</v>
      </c>
      <c r="E443" s="385"/>
      <c r="F443" s="103">
        <v>59</v>
      </c>
      <c r="G443" s="104">
        <f>ROUND(+'Datos contribuyente'!K44+'Datos contribuyente'!O44+'Datos contribuyente'!S44+'Datos contribuyente'!W44+'Datos contribuyente'!AA44+'Datos contribuyente'!AE44+'Datos contribuyente'!AI44+'Datos contribuyente'!AM44+'Datos contribuyente'!AQ44+'Datos contribuyente'!AU44+'Datos contribuyente'!AY44+'Datos contribuyente'!BC44,-3)</f>
        <v>0</v>
      </c>
      <c r="H443" s="399" t="s">
        <v>815</v>
      </c>
      <c r="I443" s="399"/>
      <c r="J443" s="403" t="s">
        <v>58</v>
      </c>
      <c r="K443" s="98">
        <v>1</v>
      </c>
      <c r="L443" s="132">
        <f ca="1">+'Datos contribuyente'!G1012</f>
        <v>0</v>
      </c>
      <c r="M443" s="403" t="s">
        <v>58</v>
      </c>
      <c r="N443" s="101">
        <v>4</v>
      </c>
      <c r="O443" s="406">
        <f ca="1">ROUND(+'Datos contribuyente'!M1012,-3)</f>
        <v>0</v>
      </c>
      <c r="P443" s="406"/>
      <c r="Q443" s="240"/>
      <c r="R443" s="240"/>
      <c r="S443" s="240"/>
      <c r="T443" s="241"/>
      <c r="U443" s="241"/>
      <c r="V443" s="241"/>
      <c r="W443" s="241"/>
      <c r="X443" s="241"/>
      <c r="Y443" s="241"/>
      <c r="Z443" s="241"/>
    </row>
    <row r="444" spans="1:26" s="78" customFormat="1" ht="27" hidden="1" customHeight="1" x14ac:dyDescent="0.25">
      <c r="A444" s="80"/>
      <c r="B444" s="400"/>
      <c r="C444" s="400"/>
      <c r="D444" s="362" t="s">
        <v>765</v>
      </c>
      <c r="E444" s="362"/>
      <c r="F444" s="105">
        <v>60</v>
      </c>
      <c r="G444" s="109">
        <f>ROUND(+'Datos contribuyente'!K58+'Datos contribuyente'!O58+'Datos contribuyente'!S58+'Datos contribuyente'!W58+'Datos contribuyente'!AA58+'Datos contribuyente'!AE58+'Datos contribuyente'!AI58+'Datos contribuyente'!AM58+'Datos contribuyente'!AQ58+'Datos contribuyente'!AU58+'Datos contribuyente'!AY58+'Datos contribuyente'!BC58,-3)</f>
        <v>0</v>
      </c>
      <c r="H444" s="400"/>
      <c r="I444" s="400"/>
      <c r="J444" s="404"/>
      <c r="K444" s="96">
        <v>2</v>
      </c>
      <c r="L444" s="133">
        <f ca="1">+'Datos contribuyente'!I1012</f>
        <v>0</v>
      </c>
      <c r="M444" s="404"/>
      <c r="N444" s="101">
        <v>5</v>
      </c>
      <c r="O444" s="407">
        <f ca="1">ROUND(+'Datos contribuyente'!O1012,-3)</f>
        <v>0</v>
      </c>
      <c r="P444" s="407"/>
      <c r="Q444" s="240"/>
      <c r="R444" s="240"/>
      <c r="S444" s="240"/>
      <c r="T444" s="241"/>
      <c r="U444" s="241"/>
      <c r="V444" s="241"/>
      <c r="W444" s="241"/>
      <c r="X444" s="241"/>
      <c r="Y444" s="241"/>
      <c r="Z444" s="241"/>
    </row>
    <row r="445" spans="1:26" s="78" customFormat="1" ht="27" hidden="1" customHeight="1" x14ac:dyDescent="0.25">
      <c r="A445" s="80"/>
      <c r="B445" s="401"/>
      <c r="C445" s="401"/>
      <c r="D445" s="418" t="s">
        <v>797</v>
      </c>
      <c r="E445" s="418"/>
      <c r="F445" s="112">
        <v>61</v>
      </c>
      <c r="G445" s="113">
        <f>ROUND(+'Datos contribuyente'!K124+'Datos contribuyente'!O124+'Datos contribuyente'!S124+'Datos contribuyente'!W124+'Datos contribuyente'!AA124+'Datos contribuyente'!AE124+'Datos contribuyente'!AI124+'Datos contribuyente'!AM124+'Datos contribuyente'!AQ124+'Datos contribuyente'!AU124+'Datos contribuyente'!AY124+'Datos contribuyente'!BC124,-3)</f>
        <v>0</v>
      </c>
      <c r="H445" s="401"/>
      <c r="I445" s="401"/>
      <c r="J445" s="405"/>
      <c r="K445" s="98">
        <v>3</v>
      </c>
      <c r="L445" s="128">
        <f ca="1">+'Datos contribuyente'!K1012</f>
        <v>0</v>
      </c>
      <c r="M445" s="405"/>
      <c r="N445" s="101">
        <v>6</v>
      </c>
      <c r="O445" s="408">
        <f ca="1">ROUND(+'Datos contribuyente'!Q1012,-3)</f>
        <v>0</v>
      </c>
      <c r="P445" s="408"/>
      <c r="Q445" s="240"/>
      <c r="R445" s="240"/>
      <c r="S445" s="240"/>
      <c r="T445" s="241"/>
      <c r="U445" s="241"/>
      <c r="V445" s="241"/>
      <c r="W445" s="241"/>
      <c r="X445" s="241"/>
      <c r="Y445" s="241"/>
      <c r="Z445" s="241"/>
    </row>
    <row r="446" spans="1:26" s="78" customFormat="1" ht="27" hidden="1" customHeight="1" x14ac:dyDescent="0.25">
      <c r="A446" s="80"/>
      <c r="B446" s="396" t="s">
        <v>59</v>
      </c>
      <c r="C446" s="397"/>
      <c r="D446" s="397"/>
      <c r="E446" s="397"/>
      <c r="F446" s="120"/>
      <c r="G446" s="97"/>
      <c r="H446" s="398" t="s">
        <v>816</v>
      </c>
      <c r="I446" s="398"/>
      <c r="J446" s="398"/>
      <c r="K446" s="398"/>
      <c r="L446" s="398"/>
      <c r="M446" s="376">
        <v>100</v>
      </c>
      <c r="N446" s="377"/>
      <c r="O446" s="421">
        <f ca="1">SUM(L443:L445,O443:P445)</f>
        <v>0</v>
      </c>
      <c r="P446" s="421"/>
      <c r="Q446" s="240"/>
      <c r="R446" s="240"/>
      <c r="S446" s="240"/>
      <c r="T446" s="241"/>
      <c r="U446" s="241"/>
      <c r="V446" s="241"/>
      <c r="W446" s="241"/>
      <c r="X446" s="241"/>
      <c r="Y446" s="241"/>
      <c r="Z446" s="241"/>
    </row>
    <row r="447" spans="1:26" hidden="1" x14ac:dyDescent="0.25"/>
  </sheetData>
  <sheetProtection algorithmName="SHA-512" hashValue="TBk5ABjusaRhQAEansUYPvSGZVaAmKy6CW1u8IYtS8lDnuMfrg5EYaDYDhTzxEDRKJtrhu7BlgQ1Z10+qiXzUA==" saltValue="Bu0zQVdg9jOu9o+8KCQtBg==" spinCount="100000" sheet="1" objects="1" scenarios="1"/>
  <mergeCells count="1372">
    <mergeCell ref="I440:M440"/>
    <mergeCell ref="O440:P440"/>
    <mergeCell ref="C441:E441"/>
    <mergeCell ref="I441:M441"/>
    <mergeCell ref="O441:P441"/>
    <mergeCell ref="D434:E434"/>
    <mergeCell ref="I434:M434"/>
    <mergeCell ref="O434:P434"/>
    <mergeCell ref="D435:E435"/>
    <mergeCell ref="I435:M435"/>
    <mergeCell ref="O435:P435"/>
    <mergeCell ref="D436:E436"/>
    <mergeCell ref="I436:M436"/>
    <mergeCell ref="O436:P436"/>
    <mergeCell ref="B446:E446"/>
    <mergeCell ref="H446:L446"/>
    <mergeCell ref="M446:N446"/>
    <mergeCell ref="O446:P446"/>
    <mergeCell ref="B442:B445"/>
    <mergeCell ref="C442:C445"/>
    <mergeCell ref="D442:E442"/>
    <mergeCell ref="I442:M442"/>
    <mergeCell ref="O442:P442"/>
    <mergeCell ref="D443:E443"/>
    <mergeCell ref="H443:I445"/>
    <mergeCell ref="J443:J445"/>
    <mergeCell ref="M443:M445"/>
    <mergeCell ref="O443:P443"/>
    <mergeCell ref="D444:E444"/>
    <mergeCell ref="O444:P444"/>
    <mergeCell ref="D445:E445"/>
    <mergeCell ref="O445:P445"/>
    <mergeCell ref="B428:B441"/>
    <mergeCell ref="C428:C433"/>
    <mergeCell ref="D428:E428"/>
    <mergeCell ref="J428:M428"/>
    <mergeCell ref="O428:P428"/>
    <mergeCell ref="D429:E429"/>
    <mergeCell ref="J429:M429"/>
    <mergeCell ref="O429:P429"/>
    <mergeCell ref="D430:E430"/>
    <mergeCell ref="J430:M430"/>
    <mergeCell ref="O430:P430"/>
    <mergeCell ref="D431:E431"/>
    <mergeCell ref="I431:M431"/>
    <mergeCell ref="O431:P431"/>
    <mergeCell ref="D432:E432"/>
    <mergeCell ref="I432:M432"/>
    <mergeCell ref="O432:P432"/>
    <mergeCell ref="D433:E433"/>
    <mergeCell ref="I433:M433"/>
    <mergeCell ref="O433:P433"/>
    <mergeCell ref="C434:C438"/>
    <mergeCell ref="D437:E437"/>
    <mergeCell ref="I437:M437"/>
    <mergeCell ref="O437:P437"/>
    <mergeCell ref="D438:E438"/>
    <mergeCell ref="I438:M438"/>
    <mergeCell ref="O438:P438"/>
    <mergeCell ref="C439:E439"/>
    <mergeCell ref="H439:H442"/>
    <mergeCell ref="I439:M439"/>
    <mergeCell ref="O439:P439"/>
    <mergeCell ref="C440:E440"/>
    <mergeCell ref="J421:M421"/>
    <mergeCell ref="O421:P421"/>
    <mergeCell ref="C422:E422"/>
    <mergeCell ref="J422:M422"/>
    <mergeCell ref="O422:P422"/>
    <mergeCell ref="C423:E423"/>
    <mergeCell ref="J423:M423"/>
    <mergeCell ref="O423:P423"/>
    <mergeCell ref="I417:I430"/>
    <mergeCell ref="J417:M417"/>
    <mergeCell ref="C427:E427"/>
    <mergeCell ref="J427:M427"/>
    <mergeCell ref="O427:P427"/>
    <mergeCell ref="O417:P417"/>
    <mergeCell ref="C418:E418"/>
    <mergeCell ref="J418:M418"/>
    <mergeCell ref="O418:P418"/>
    <mergeCell ref="C419:E419"/>
    <mergeCell ref="J419:M419"/>
    <mergeCell ref="O419:P419"/>
    <mergeCell ref="C420:E420"/>
    <mergeCell ref="J420:M420"/>
    <mergeCell ref="O420:P420"/>
    <mergeCell ref="B411:B427"/>
    <mergeCell ref="C411:E411"/>
    <mergeCell ref="H411:H438"/>
    <mergeCell ref="I411:I416"/>
    <mergeCell ref="J411:M411"/>
    <mergeCell ref="O411:P411"/>
    <mergeCell ref="C412:E412"/>
    <mergeCell ref="J412:M412"/>
    <mergeCell ref="O412:P412"/>
    <mergeCell ref="C413:E413"/>
    <mergeCell ref="J413:M413"/>
    <mergeCell ref="O413:P413"/>
    <mergeCell ref="C414:E414"/>
    <mergeCell ref="J414:M414"/>
    <mergeCell ref="O414:P414"/>
    <mergeCell ref="C415:E415"/>
    <mergeCell ref="J415:M415"/>
    <mergeCell ref="O415:P415"/>
    <mergeCell ref="C416:E416"/>
    <mergeCell ref="J416:M416"/>
    <mergeCell ref="O416:P416"/>
    <mergeCell ref="C417:E417"/>
    <mergeCell ref="C424:E424"/>
    <mergeCell ref="J424:M424"/>
    <mergeCell ref="O424:P424"/>
    <mergeCell ref="C425:E425"/>
    <mergeCell ref="J425:M425"/>
    <mergeCell ref="O425:P425"/>
    <mergeCell ref="C426:E426"/>
    <mergeCell ref="J426:M426"/>
    <mergeCell ref="O426:P426"/>
    <mergeCell ref="C421:E421"/>
    <mergeCell ref="B407:C407"/>
    <mergeCell ref="F407:G407"/>
    <mergeCell ref="H407:I407"/>
    <mergeCell ref="J407:P407"/>
    <mergeCell ref="B408:C410"/>
    <mergeCell ref="D408:E408"/>
    <mergeCell ref="F408:M408"/>
    <mergeCell ref="N408:P408"/>
    <mergeCell ref="D409:E409"/>
    <mergeCell ref="F409:M409"/>
    <mergeCell ref="N409:P409"/>
    <mergeCell ref="D410:E410"/>
    <mergeCell ref="F410:P410"/>
    <mergeCell ref="B402:E402"/>
    <mergeCell ref="H402:L402"/>
    <mergeCell ref="M402:N402"/>
    <mergeCell ref="O402:P402"/>
    <mergeCell ref="B404:P404"/>
    <mergeCell ref="B406:D406"/>
    <mergeCell ref="E406:K406"/>
    <mergeCell ref="L406:N406"/>
    <mergeCell ref="O406:P406"/>
    <mergeCell ref="B398:B401"/>
    <mergeCell ref="C398:C401"/>
    <mergeCell ref="D398:E398"/>
    <mergeCell ref="I398:M398"/>
    <mergeCell ref="O398:P398"/>
    <mergeCell ref="D399:E399"/>
    <mergeCell ref="H399:I401"/>
    <mergeCell ref="J399:J401"/>
    <mergeCell ref="M399:M401"/>
    <mergeCell ref="O399:P399"/>
    <mergeCell ref="D400:E400"/>
    <mergeCell ref="O400:P400"/>
    <mergeCell ref="D401:E401"/>
    <mergeCell ref="O401:P401"/>
    <mergeCell ref="D393:E393"/>
    <mergeCell ref="I393:M393"/>
    <mergeCell ref="O393:P393"/>
    <mergeCell ref="D394:E394"/>
    <mergeCell ref="I394:M394"/>
    <mergeCell ref="O394:P394"/>
    <mergeCell ref="C395:E395"/>
    <mergeCell ref="H395:H398"/>
    <mergeCell ref="I395:M395"/>
    <mergeCell ref="O395:P395"/>
    <mergeCell ref="C396:E396"/>
    <mergeCell ref="I396:M396"/>
    <mergeCell ref="O396:P396"/>
    <mergeCell ref="C397:E397"/>
    <mergeCell ref="I397:M397"/>
    <mergeCell ref="O397:P397"/>
    <mergeCell ref="C390:C394"/>
    <mergeCell ref="D390:E390"/>
    <mergeCell ref="I390:M390"/>
    <mergeCell ref="O390:P390"/>
    <mergeCell ref="D391:E391"/>
    <mergeCell ref="I391:M391"/>
    <mergeCell ref="O391:P391"/>
    <mergeCell ref="D392:E392"/>
    <mergeCell ref="I392:M392"/>
    <mergeCell ref="O392:P392"/>
    <mergeCell ref="C383:E383"/>
    <mergeCell ref="J383:M383"/>
    <mergeCell ref="O383:P383"/>
    <mergeCell ref="B384:B397"/>
    <mergeCell ref="C384:C389"/>
    <mergeCell ref="D384:E384"/>
    <mergeCell ref="J384:M384"/>
    <mergeCell ref="O384:P384"/>
    <mergeCell ref="D385:E385"/>
    <mergeCell ref="J385:M385"/>
    <mergeCell ref="O385:P385"/>
    <mergeCell ref="D386:E386"/>
    <mergeCell ref="J386:M386"/>
    <mergeCell ref="O386:P386"/>
    <mergeCell ref="D387:E387"/>
    <mergeCell ref="I387:M387"/>
    <mergeCell ref="O387:P387"/>
    <mergeCell ref="D388:E388"/>
    <mergeCell ref="I388:M388"/>
    <mergeCell ref="O388:P388"/>
    <mergeCell ref="D389:E389"/>
    <mergeCell ref="I389:M389"/>
    <mergeCell ref="O389:P389"/>
    <mergeCell ref="B367:B383"/>
    <mergeCell ref="O377:P377"/>
    <mergeCell ref="C378:E378"/>
    <mergeCell ref="J378:M378"/>
    <mergeCell ref="O378:P378"/>
    <mergeCell ref="C379:E379"/>
    <mergeCell ref="J379:M379"/>
    <mergeCell ref="O379:P379"/>
    <mergeCell ref="I373:I386"/>
    <mergeCell ref="J373:M373"/>
    <mergeCell ref="O373:P373"/>
    <mergeCell ref="C374:E374"/>
    <mergeCell ref="J374:M374"/>
    <mergeCell ref="O374:P374"/>
    <mergeCell ref="C375:E375"/>
    <mergeCell ref="J375:M375"/>
    <mergeCell ref="O375:P375"/>
    <mergeCell ref="C376:E376"/>
    <mergeCell ref="J376:M376"/>
    <mergeCell ref="O376:P376"/>
    <mergeCell ref="C367:E367"/>
    <mergeCell ref="H367:H394"/>
    <mergeCell ref="I367:I372"/>
    <mergeCell ref="J367:M367"/>
    <mergeCell ref="O367:P367"/>
    <mergeCell ref="C368:E368"/>
    <mergeCell ref="J368:M368"/>
    <mergeCell ref="O368:P368"/>
    <mergeCell ref="C369:E369"/>
    <mergeCell ref="J369:M369"/>
    <mergeCell ref="O369:P369"/>
    <mergeCell ref="C370:E370"/>
    <mergeCell ref="J370:M370"/>
    <mergeCell ref="O370:P370"/>
    <mergeCell ref="C371:E371"/>
    <mergeCell ref="J371:M371"/>
    <mergeCell ref="O371:P371"/>
    <mergeCell ref="C372:E372"/>
    <mergeCell ref="J372:M372"/>
    <mergeCell ref="O372:P372"/>
    <mergeCell ref="C373:E373"/>
    <mergeCell ref="C380:E380"/>
    <mergeCell ref="J380:M380"/>
    <mergeCell ref="O380:P380"/>
    <mergeCell ref="C381:E381"/>
    <mergeCell ref="J381:M381"/>
    <mergeCell ref="O381:P381"/>
    <mergeCell ref="C382:E382"/>
    <mergeCell ref="J382:M382"/>
    <mergeCell ref="O382:P382"/>
    <mergeCell ref="C377:E377"/>
    <mergeCell ref="J377:M377"/>
    <mergeCell ref="B363:C363"/>
    <mergeCell ref="F363:G363"/>
    <mergeCell ref="H363:I363"/>
    <mergeCell ref="J363:P363"/>
    <mergeCell ref="B364:C366"/>
    <mergeCell ref="D364:E364"/>
    <mergeCell ref="F364:M364"/>
    <mergeCell ref="N364:P364"/>
    <mergeCell ref="D365:E365"/>
    <mergeCell ref="F365:M365"/>
    <mergeCell ref="N365:P365"/>
    <mergeCell ref="D366:E366"/>
    <mergeCell ref="F366:P366"/>
    <mergeCell ref="B358:E358"/>
    <mergeCell ref="H358:L358"/>
    <mergeCell ref="M358:N358"/>
    <mergeCell ref="O358:P358"/>
    <mergeCell ref="B360:P360"/>
    <mergeCell ref="B362:D362"/>
    <mergeCell ref="E362:K362"/>
    <mergeCell ref="L362:N362"/>
    <mergeCell ref="O362:P362"/>
    <mergeCell ref="B354:B357"/>
    <mergeCell ref="C354:C357"/>
    <mergeCell ref="D354:E354"/>
    <mergeCell ref="I354:M354"/>
    <mergeCell ref="O354:P354"/>
    <mergeCell ref="D355:E355"/>
    <mergeCell ref="H355:I357"/>
    <mergeCell ref="J355:J357"/>
    <mergeCell ref="M355:M357"/>
    <mergeCell ref="O355:P355"/>
    <mergeCell ref="D356:E356"/>
    <mergeCell ref="O356:P356"/>
    <mergeCell ref="D357:E357"/>
    <mergeCell ref="O357:P357"/>
    <mergeCell ref="D349:E349"/>
    <mergeCell ref="I349:M349"/>
    <mergeCell ref="O349:P349"/>
    <mergeCell ref="D350:E350"/>
    <mergeCell ref="I350:M350"/>
    <mergeCell ref="O350:P350"/>
    <mergeCell ref="C351:E351"/>
    <mergeCell ref="H351:H354"/>
    <mergeCell ref="I351:M351"/>
    <mergeCell ref="O351:P351"/>
    <mergeCell ref="C352:E352"/>
    <mergeCell ref="I352:M352"/>
    <mergeCell ref="O352:P352"/>
    <mergeCell ref="C353:E353"/>
    <mergeCell ref="I353:M353"/>
    <mergeCell ref="O353:P353"/>
    <mergeCell ref="C346:C350"/>
    <mergeCell ref="D346:E346"/>
    <mergeCell ref="I346:M346"/>
    <mergeCell ref="O346:P346"/>
    <mergeCell ref="D347:E347"/>
    <mergeCell ref="I347:M347"/>
    <mergeCell ref="O347:P347"/>
    <mergeCell ref="D348:E348"/>
    <mergeCell ref="I348:M348"/>
    <mergeCell ref="O348:P348"/>
    <mergeCell ref="C339:E339"/>
    <mergeCell ref="J339:M339"/>
    <mergeCell ref="O339:P339"/>
    <mergeCell ref="B340:B353"/>
    <mergeCell ref="C340:C345"/>
    <mergeCell ref="D340:E340"/>
    <mergeCell ref="J340:M340"/>
    <mergeCell ref="O340:P340"/>
    <mergeCell ref="D341:E341"/>
    <mergeCell ref="J341:M341"/>
    <mergeCell ref="O341:P341"/>
    <mergeCell ref="D342:E342"/>
    <mergeCell ref="J342:M342"/>
    <mergeCell ref="O342:P342"/>
    <mergeCell ref="D343:E343"/>
    <mergeCell ref="I343:M343"/>
    <mergeCell ref="O343:P343"/>
    <mergeCell ref="D344:E344"/>
    <mergeCell ref="I344:M344"/>
    <mergeCell ref="O344:P344"/>
    <mergeCell ref="D345:E345"/>
    <mergeCell ref="I345:M345"/>
    <mergeCell ref="O345:P345"/>
    <mergeCell ref="B323:B339"/>
    <mergeCell ref="O333:P333"/>
    <mergeCell ref="C334:E334"/>
    <mergeCell ref="J334:M334"/>
    <mergeCell ref="O334:P334"/>
    <mergeCell ref="C335:E335"/>
    <mergeCell ref="J335:M335"/>
    <mergeCell ref="O335:P335"/>
    <mergeCell ref="I329:I342"/>
    <mergeCell ref="J329:M329"/>
    <mergeCell ref="O329:P329"/>
    <mergeCell ref="C330:E330"/>
    <mergeCell ref="J330:M330"/>
    <mergeCell ref="O330:P330"/>
    <mergeCell ref="C331:E331"/>
    <mergeCell ref="J331:M331"/>
    <mergeCell ref="O331:P331"/>
    <mergeCell ref="C332:E332"/>
    <mergeCell ref="J332:M332"/>
    <mergeCell ref="O332:P332"/>
    <mergeCell ref="C323:E323"/>
    <mergeCell ref="H323:H350"/>
    <mergeCell ref="I323:I328"/>
    <mergeCell ref="J323:M323"/>
    <mergeCell ref="O323:P323"/>
    <mergeCell ref="C324:E324"/>
    <mergeCell ref="J324:M324"/>
    <mergeCell ref="O324:P324"/>
    <mergeCell ref="C325:E325"/>
    <mergeCell ref="J325:M325"/>
    <mergeCell ref="O325:P325"/>
    <mergeCell ref="C326:E326"/>
    <mergeCell ref="J326:M326"/>
    <mergeCell ref="O326:P326"/>
    <mergeCell ref="C327:E327"/>
    <mergeCell ref="J327:M327"/>
    <mergeCell ref="O327:P327"/>
    <mergeCell ref="C328:E328"/>
    <mergeCell ref="J328:M328"/>
    <mergeCell ref="O328:P328"/>
    <mergeCell ref="C329:E329"/>
    <mergeCell ref="C336:E336"/>
    <mergeCell ref="J336:M336"/>
    <mergeCell ref="O336:P336"/>
    <mergeCell ref="C337:E337"/>
    <mergeCell ref="J337:M337"/>
    <mergeCell ref="O337:P337"/>
    <mergeCell ref="C338:E338"/>
    <mergeCell ref="J338:M338"/>
    <mergeCell ref="O338:P338"/>
    <mergeCell ref="C333:E333"/>
    <mergeCell ref="J333:M333"/>
    <mergeCell ref="B319:C319"/>
    <mergeCell ref="F319:G319"/>
    <mergeCell ref="H319:I319"/>
    <mergeCell ref="J319:P319"/>
    <mergeCell ref="B320:C322"/>
    <mergeCell ref="D320:E320"/>
    <mergeCell ref="F320:M320"/>
    <mergeCell ref="N320:P320"/>
    <mergeCell ref="D321:E321"/>
    <mergeCell ref="F321:M321"/>
    <mergeCell ref="N321:P321"/>
    <mergeCell ref="D322:E322"/>
    <mergeCell ref="F322:P322"/>
    <mergeCell ref="B314:E314"/>
    <mergeCell ref="H314:L314"/>
    <mergeCell ref="M314:N314"/>
    <mergeCell ref="O314:P314"/>
    <mergeCell ref="B316:P316"/>
    <mergeCell ref="B318:D318"/>
    <mergeCell ref="E318:K318"/>
    <mergeCell ref="L318:N318"/>
    <mergeCell ref="O318:P318"/>
    <mergeCell ref="B310:B313"/>
    <mergeCell ref="C310:C313"/>
    <mergeCell ref="D310:E310"/>
    <mergeCell ref="I310:M310"/>
    <mergeCell ref="O310:P310"/>
    <mergeCell ref="D311:E311"/>
    <mergeCell ref="H311:I313"/>
    <mergeCell ref="J311:J313"/>
    <mergeCell ref="M311:M313"/>
    <mergeCell ref="O311:P311"/>
    <mergeCell ref="D312:E312"/>
    <mergeCell ref="O312:P312"/>
    <mergeCell ref="D313:E313"/>
    <mergeCell ref="O313:P313"/>
    <mergeCell ref="D305:E305"/>
    <mergeCell ref="I305:M305"/>
    <mergeCell ref="O305:P305"/>
    <mergeCell ref="D306:E306"/>
    <mergeCell ref="I306:M306"/>
    <mergeCell ref="O306:P306"/>
    <mergeCell ref="C307:E307"/>
    <mergeCell ref="H307:H310"/>
    <mergeCell ref="I307:M307"/>
    <mergeCell ref="O307:P307"/>
    <mergeCell ref="C308:E308"/>
    <mergeCell ref="I308:M308"/>
    <mergeCell ref="O308:P308"/>
    <mergeCell ref="C309:E309"/>
    <mergeCell ref="I309:M309"/>
    <mergeCell ref="O309:P309"/>
    <mergeCell ref="C302:C306"/>
    <mergeCell ref="D302:E302"/>
    <mergeCell ref="I302:M302"/>
    <mergeCell ref="O302:P302"/>
    <mergeCell ref="D303:E303"/>
    <mergeCell ref="I303:M303"/>
    <mergeCell ref="O303:P303"/>
    <mergeCell ref="D304:E304"/>
    <mergeCell ref="I304:M304"/>
    <mergeCell ref="O304:P304"/>
    <mergeCell ref="C295:E295"/>
    <mergeCell ref="J295:M295"/>
    <mergeCell ref="O295:P295"/>
    <mergeCell ref="B296:B309"/>
    <mergeCell ref="C296:C301"/>
    <mergeCell ref="D296:E296"/>
    <mergeCell ref="J296:M296"/>
    <mergeCell ref="O296:P296"/>
    <mergeCell ref="D297:E297"/>
    <mergeCell ref="J297:M297"/>
    <mergeCell ref="O297:P297"/>
    <mergeCell ref="D298:E298"/>
    <mergeCell ref="J298:M298"/>
    <mergeCell ref="O298:P298"/>
    <mergeCell ref="D299:E299"/>
    <mergeCell ref="I299:M299"/>
    <mergeCell ref="O299:P299"/>
    <mergeCell ref="D300:E300"/>
    <mergeCell ref="I300:M300"/>
    <mergeCell ref="O300:P300"/>
    <mergeCell ref="D301:E301"/>
    <mergeCell ref="I301:M301"/>
    <mergeCell ref="O301:P301"/>
    <mergeCell ref="B279:B295"/>
    <mergeCell ref="O289:P289"/>
    <mergeCell ref="C290:E290"/>
    <mergeCell ref="J290:M290"/>
    <mergeCell ref="O290:P290"/>
    <mergeCell ref="C291:E291"/>
    <mergeCell ref="J291:M291"/>
    <mergeCell ref="O291:P291"/>
    <mergeCell ref="I285:I298"/>
    <mergeCell ref="J285:M285"/>
    <mergeCell ref="O285:P285"/>
    <mergeCell ref="C286:E286"/>
    <mergeCell ref="J286:M286"/>
    <mergeCell ref="O286:P286"/>
    <mergeCell ref="C287:E287"/>
    <mergeCell ref="J287:M287"/>
    <mergeCell ref="O287:P287"/>
    <mergeCell ref="C288:E288"/>
    <mergeCell ref="J288:M288"/>
    <mergeCell ref="O288:P288"/>
    <mergeCell ref="C279:E279"/>
    <mergeCell ref="H279:H306"/>
    <mergeCell ref="I279:I284"/>
    <mergeCell ref="J279:M279"/>
    <mergeCell ref="O279:P279"/>
    <mergeCell ref="C280:E280"/>
    <mergeCell ref="J280:M280"/>
    <mergeCell ref="O280:P280"/>
    <mergeCell ref="C281:E281"/>
    <mergeCell ref="J281:M281"/>
    <mergeCell ref="O281:P281"/>
    <mergeCell ref="C282:E282"/>
    <mergeCell ref="J282:M282"/>
    <mergeCell ref="O282:P282"/>
    <mergeCell ref="C283:E283"/>
    <mergeCell ref="J283:M283"/>
    <mergeCell ref="O283:P283"/>
    <mergeCell ref="C284:E284"/>
    <mergeCell ref="J284:M284"/>
    <mergeCell ref="O284:P284"/>
    <mergeCell ref="C285:E285"/>
    <mergeCell ref="C292:E292"/>
    <mergeCell ref="J292:M292"/>
    <mergeCell ref="O292:P292"/>
    <mergeCell ref="C293:E293"/>
    <mergeCell ref="J293:M293"/>
    <mergeCell ref="O293:P293"/>
    <mergeCell ref="C294:E294"/>
    <mergeCell ref="J294:M294"/>
    <mergeCell ref="O294:P294"/>
    <mergeCell ref="C289:E289"/>
    <mergeCell ref="J289:M289"/>
    <mergeCell ref="B276:C278"/>
    <mergeCell ref="D276:E276"/>
    <mergeCell ref="F276:M276"/>
    <mergeCell ref="N276:P276"/>
    <mergeCell ref="D277:E277"/>
    <mergeCell ref="F277:M277"/>
    <mergeCell ref="N277:P277"/>
    <mergeCell ref="D278:E278"/>
    <mergeCell ref="F278:P278"/>
    <mergeCell ref="B270:P270"/>
    <mergeCell ref="B272:P272"/>
    <mergeCell ref="B274:D274"/>
    <mergeCell ref="E274:K274"/>
    <mergeCell ref="L274:N274"/>
    <mergeCell ref="O274:P274"/>
    <mergeCell ref="B275:C275"/>
    <mergeCell ref="F275:G275"/>
    <mergeCell ref="H275:I275"/>
    <mergeCell ref="J275:P275"/>
    <mergeCell ref="I262:M262"/>
    <mergeCell ref="O262:P262"/>
    <mergeCell ref="C263:E263"/>
    <mergeCell ref="I263:M263"/>
    <mergeCell ref="O263:P263"/>
    <mergeCell ref="D256:E256"/>
    <mergeCell ref="I256:M256"/>
    <mergeCell ref="O256:P256"/>
    <mergeCell ref="D257:E257"/>
    <mergeCell ref="I257:M257"/>
    <mergeCell ref="O257:P257"/>
    <mergeCell ref="D258:E258"/>
    <mergeCell ref="I258:M258"/>
    <mergeCell ref="O258:P258"/>
    <mergeCell ref="B268:E268"/>
    <mergeCell ref="H268:L268"/>
    <mergeCell ref="M268:N268"/>
    <mergeCell ref="O268:P268"/>
    <mergeCell ref="B264:B267"/>
    <mergeCell ref="C264:C267"/>
    <mergeCell ref="D264:E264"/>
    <mergeCell ref="I264:M264"/>
    <mergeCell ref="O264:P264"/>
    <mergeCell ref="D265:E265"/>
    <mergeCell ref="H265:I267"/>
    <mergeCell ref="J265:J267"/>
    <mergeCell ref="M265:M267"/>
    <mergeCell ref="O265:P265"/>
    <mergeCell ref="D266:E266"/>
    <mergeCell ref="O266:P266"/>
    <mergeCell ref="D267:E267"/>
    <mergeCell ref="O267:P267"/>
    <mergeCell ref="B250:B263"/>
    <mergeCell ref="C250:C255"/>
    <mergeCell ref="D250:E250"/>
    <mergeCell ref="J250:M250"/>
    <mergeCell ref="O250:P250"/>
    <mergeCell ref="D251:E251"/>
    <mergeCell ref="J251:M251"/>
    <mergeCell ref="O251:P251"/>
    <mergeCell ref="D252:E252"/>
    <mergeCell ref="J252:M252"/>
    <mergeCell ref="O252:P252"/>
    <mergeCell ref="D253:E253"/>
    <mergeCell ref="I253:M253"/>
    <mergeCell ref="O253:P253"/>
    <mergeCell ref="D254:E254"/>
    <mergeCell ref="I254:M254"/>
    <mergeCell ref="O254:P254"/>
    <mergeCell ref="D255:E255"/>
    <mergeCell ref="I255:M255"/>
    <mergeCell ref="O255:P255"/>
    <mergeCell ref="C256:C260"/>
    <mergeCell ref="D259:E259"/>
    <mergeCell ref="I259:M259"/>
    <mergeCell ref="O259:P259"/>
    <mergeCell ref="D260:E260"/>
    <mergeCell ref="I260:M260"/>
    <mergeCell ref="O260:P260"/>
    <mergeCell ref="C261:E261"/>
    <mergeCell ref="H261:H264"/>
    <mergeCell ref="I261:M261"/>
    <mergeCell ref="O261:P261"/>
    <mergeCell ref="C262:E262"/>
    <mergeCell ref="J243:M243"/>
    <mergeCell ref="O243:P243"/>
    <mergeCell ref="C244:E244"/>
    <mergeCell ref="J244:M244"/>
    <mergeCell ref="O244:P244"/>
    <mergeCell ref="C245:E245"/>
    <mergeCell ref="J245:M245"/>
    <mergeCell ref="O245:P245"/>
    <mergeCell ref="I239:I252"/>
    <mergeCell ref="J239:M239"/>
    <mergeCell ref="C249:E249"/>
    <mergeCell ref="J249:M249"/>
    <mergeCell ref="O249:P249"/>
    <mergeCell ref="O239:P239"/>
    <mergeCell ref="C240:E240"/>
    <mergeCell ref="J240:M240"/>
    <mergeCell ref="O240:P240"/>
    <mergeCell ref="C241:E241"/>
    <mergeCell ref="J241:M241"/>
    <mergeCell ref="O241:P241"/>
    <mergeCell ref="C242:E242"/>
    <mergeCell ref="J242:M242"/>
    <mergeCell ref="O242:P242"/>
    <mergeCell ref="B233:B249"/>
    <mergeCell ref="C233:E233"/>
    <mergeCell ref="H233:H260"/>
    <mergeCell ref="I233:I238"/>
    <mergeCell ref="J233:M233"/>
    <mergeCell ref="O233:P233"/>
    <mergeCell ref="C234:E234"/>
    <mergeCell ref="J234:M234"/>
    <mergeCell ref="O234:P234"/>
    <mergeCell ref="C235:E235"/>
    <mergeCell ref="J235:M235"/>
    <mergeCell ref="O235:P235"/>
    <mergeCell ref="C236:E236"/>
    <mergeCell ref="J236:M236"/>
    <mergeCell ref="O236:P236"/>
    <mergeCell ref="C237:E237"/>
    <mergeCell ref="J237:M237"/>
    <mergeCell ref="O237:P237"/>
    <mergeCell ref="C238:E238"/>
    <mergeCell ref="J238:M238"/>
    <mergeCell ref="O238:P238"/>
    <mergeCell ref="C239:E239"/>
    <mergeCell ref="C246:E246"/>
    <mergeCell ref="J246:M246"/>
    <mergeCell ref="O246:P246"/>
    <mergeCell ref="C247:E247"/>
    <mergeCell ref="J247:M247"/>
    <mergeCell ref="O247:P247"/>
    <mergeCell ref="C248:E248"/>
    <mergeCell ref="J248:M248"/>
    <mergeCell ref="O248:P248"/>
    <mergeCell ref="C243:E243"/>
    <mergeCell ref="B229:C229"/>
    <mergeCell ref="F229:G229"/>
    <mergeCell ref="H229:I229"/>
    <mergeCell ref="J229:P229"/>
    <mergeCell ref="B230:C232"/>
    <mergeCell ref="D230:E230"/>
    <mergeCell ref="F230:M230"/>
    <mergeCell ref="N230:P230"/>
    <mergeCell ref="D231:E231"/>
    <mergeCell ref="F231:M231"/>
    <mergeCell ref="N231:P231"/>
    <mergeCell ref="D232:E232"/>
    <mergeCell ref="F232:P232"/>
    <mergeCell ref="B224:E224"/>
    <mergeCell ref="H224:L224"/>
    <mergeCell ref="M224:N224"/>
    <mergeCell ref="O224:P224"/>
    <mergeCell ref="B226:P226"/>
    <mergeCell ref="B228:D228"/>
    <mergeCell ref="E228:K228"/>
    <mergeCell ref="L228:N228"/>
    <mergeCell ref="O228:P228"/>
    <mergeCell ref="B220:B223"/>
    <mergeCell ref="C220:C223"/>
    <mergeCell ref="D220:E220"/>
    <mergeCell ref="I220:M220"/>
    <mergeCell ref="O220:P220"/>
    <mergeCell ref="D221:E221"/>
    <mergeCell ref="H221:I223"/>
    <mergeCell ref="J221:J223"/>
    <mergeCell ref="M221:M223"/>
    <mergeCell ref="O221:P221"/>
    <mergeCell ref="D222:E222"/>
    <mergeCell ref="O222:P222"/>
    <mergeCell ref="D223:E223"/>
    <mergeCell ref="O223:P223"/>
    <mergeCell ref="D215:E215"/>
    <mergeCell ref="I215:M215"/>
    <mergeCell ref="O215:P215"/>
    <mergeCell ref="D216:E216"/>
    <mergeCell ref="I216:M216"/>
    <mergeCell ref="O216:P216"/>
    <mergeCell ref="C217:E217"/>
    <mergeCell ref="H217:H220"/>
    <mergeCell ref="I217:M217"/>
    <mergeCell ref="O217:P217"/>
    <mergeCell ref="C218:E218"/>
    <mergeCell ref="I218:M218"/>
    <mergeCell ref="O218:P218"/>
    <mergeCell ref="C219:E219"/>
    <mergeCell ref="I219:M219"/>
    <mergeCell ref="O219:P219"/>
    <mergeCell ref="C212:C216"/>
    <mergeCell ref="D212:E212"/>
    <mergeCell ref="I212:M212"/>
    <mergeCell ref="O212:P212"/>
    <mergeCell ref="D213:E213"/>
    <mergeCell ref="I213:M213"/>
    <mergeCell ref="O213:P213"/>
    <mergeCell ref="D214:E214"/>
    <mergeCell ref="I214:M214"/>
    <mergeCell ref="O214:P214"/>
    <mergeCell ref="C205:E205"/>
    <mergeCell ref="J205:M205"/>
    <mergeCell ref="O205:P205"/>
    <mergeCell ref="B206:B219"/>
    <mergeCell ref="C206:C211"/>
    <mergeCell ref="D206:E206"/>
    <mergeCell ref="J206:M206"/>
    <mergeCell ref="O206:P206"/>
    <mergeCell ref="D207:E207"/>
    <mergeCell ref="J207:M207"/>
    <mergeCell ref="O207:P207"/>
    <mergeCell ref="D208:E208"/>
    <mergeCell ref="J208:M208"/>
    <mergeCell ref="O208:P208"/>
    <mergeCell ref="D209:E209"/>
    <mergeCell ref="I209:M209"/>
    <mergeCell ref="O209:P209"/>
    <mergeCell ref="D210:E210"/>
    <mergeCell ref="I210:M210"/>
    <mergeCell ref="O210:P210"/>
    <mergeCell ref="D211:E211"/>
    <mergeCell ref="I211:M211"/>
    <mergeCell ref="O211:P211"/>
    <mergeCell ref="B189:B205"/>
    <mergeCell ref="O199:P199"/>
    <mergeCell ref="C200:E200"/>
    <mergeCell ref="J200:M200"/>
    <mergeCell ref="O200:P200"/>
    <mergeCell ref="C201:E201"/>
    <mergeCell ref="J201:M201"/>
    <mergeCell ref="O201:P201"/>
    <mergeCell ref="I195:I208"/>
    <mergeCell ref="J195:M195"/>
    <mergeCell ref="O195:P195"/>
    <mergeCell ref="C196:E196"/>
    <mergeCell ref="J196:M196"/>
    <mergeCell ref="O196:P196"/>
    <mergeCell ref="C197:E197"/>
    <mergeCell ref="J197:M197"/>
    <mergeCell ref="O197:P197"/>
    <mergeCell ref="C198:E198"/>
    <mergeCell ref="J198:M198"/>
    <mergeCell ref="O198:P198"/>
    <mergeCell ref="C189:E189"/>
    <mergeCell ref="H189:H216"/>
    <mergeCell ref="I189:I194"/>
    <mergeCell ref="J189:M189"/>
    <mergeCell ref="O189:P189"/>
    <mergeCell ref="C190:E190"/>
    <mergeCell ref="J190:M190"/>
    <mergeCell ref="O190:P190"/>
    <mergeCell ref="C191:E191"/>
    <mergeCell ref="J191:M191"/>
    <mergeCell ref="O191:P191"/>
    <mergeCell ref="C192:E192"/>
    <mergeCell ref="J192:M192"/>
    <mergeCell ref="O192:P192"/>
    <mergeCell ref="C193:E193"/>
    <mergeCell ref="J193:M193"/>
    <mergeCell ref="O193:P193"/>
    <mergeCell ref="C194:E194"/>
    <mergeCell ref="J194:M194"/>
    <mergeCell ref="O194:P194"/>
    <mergeCell ref="C195:E195"/>
    <mergeCell ref="C202:E202"/>
    <mergeCell ref="J202:M202"/>
    <mergeCell ref="O202:P202"/>
    <mergeCell ref="C203:E203"/>
    <mergeCell ref="J203:M203"/>
    <mergeCell ref="O203:P203"/>
    <mergeCell ref="C204:E204"/>
    <mergeCell ref="J204:M204"/>
    <mergeCell ref="O204:P204"/>
    <mergeCell ref="C199:E199"/>
    <mergeCell ref="J199:M199"/>
    <mergeCell ref="B185:C185"/>
    <mergeCell ref="F185:G185"/>
    <mergeCell ref="H185:I185"/>
    <mergeCell ref="J185:P185"/>
    <mergeCell ref="B186:C188"/>
    <mergeCell ref="D186:E186"/>
    <mergeCell ref="F186:M186"/>
    <mergeCell ref="N186:P186"/>
    <mergeCell ref="D187:E187"/>
    <mergeCell ref="F187:M187"/>
    <mergeCell ref="N187:P187"/>
    <mergeCell ref="D188:E188"/>
    <mergeCell ref="F188:P188"/>
    <mergeCell ref="B180:E180"/>
    <mergeCell ref="H180:L180"/>
    <mergeCell ref="M180:N180"/>
    <mergeCell ref="O180:P180"/>
    <mergeCell ref="B182:P182"/>
    <mergeCell ref="B184:D184"/>
    <mergeCell ref="E184:K184"/>
    <mergeCell ref="L184:N184"/>
    <mergeCell ref="O184:P184"/>
    <mergeCell ref="B176:B179"/>
    <mergeCell ref="C176:C179"/>
    <mergeCell ref="D176:E176"/>
    <mergeCell ref="I176:M176"/>
    <mergeCell ref="O176:P176"/>
    <mergeCell ref="D177:E177"/>
    <mergeCell ref="H177:I179"/>
    <mergeCell ref="J177:J179"/>
    <mergeCell ref="M177:M179"/>
    <mergeCell ref="O177:P177"/>
    <mergeCell ref="D178:E178"/>
    <mergeCell ref="O178:P178"/>
    <mergeCell ref="D179:E179"/>
    <mergeCell ref="O179:P179"/>
    <mergeCell ref="D171:E171"/>
    <mergeCell ref="I171:M171"/>
    <mergeCell ref="O171:P171"/>
    <mergeCell ref="D172:E172"/>
    <mergeCell ref="I172:M172"/>
    <mergeCell ref="O172:P172"/>
    <mergeCell ref="C173:E173"/>
    <mergeCell ref="H173:H176"/>
    <mergeCell ref="I173:M173"/>
    <mergeCell ref="O173:P173"/>
    <mergeCell ref="C174:E174"/>
    <mergeCell ref="I174:M174"/>
    <mergeCell ref="O174:P174"/>
    <mergeCell ref="C175:E175"/>
    <mergeCell ref="I175:M175"/>
    <mergeCell ref="O175:P175"/>
    <mergeCell ref="C168:C172"/>
    <mergeCell ref="D168:E168"/>
    <mergeCell ref="I168:M168"/>
    <mergeCell ref="O168:P168"/>
    <mergeCell ref="D169:E169"/>
    <mergeCell ref="I169:M169"/>
    <mergeCell ref="O169:P169"/>
    <mergeCell ref="D170:E170"/>
    <mergeCell ref="I170:M170"/>
    <mergeCell ref="O170:P170"/>
    <mergeCell ref="C161:E161"/>
    <mergeCell ref="J161:M161"/>
    <mergeCell ref="O161:P161"/>
    <mergeCell ref="B162:B175"/>
    <mergeCell ref="C162:C167"/>
    <mergeCell ref="D162:E162"/>
    <mergeCell ref="J162:M162"/>
    <mergeCell ref="O162:P162"/>
    <mergeCell ref="D163:E163"/>
    <mergeCell ref="J163:M163"/>
    <mergeCell ref="O163:P163"/>
    <mergeCell ref="D164:E164"/>
    <mergeCell ref="J164:M164"/>
    <mergeCell ref="O164:P164"/>
    <mergeCell ref="D165:E165"/>
    <mergeCell ref="I165:M165"/>
    <mergeCell ref="O165:P165"/>
    <mergeCell ref="D166:E166"/>
    <mergeCell ref="I166:M166"/>
    <mergeCell ref="O166:P166"/>
    <mergeCell ref="D167:E167"/>
    <mergeCell ref="I167:M167"/>
    <mergeCell ref="O167:P167"/>
    <mergeCell ref="B145:B161"/>
    <mergeCell ref="O155:P155"/>
    <mergeCell ref="C156:E156"/>
    <mergeCell ref="J156:M156"/>
    <mergeCell ref="O156:P156"/>
    <mergeCell ref="C157:E157"/>
    <mergeCell ref="J157:M157"/>
    <mergeCell ref="O157:P157"/>
    <mergeCell ref="I151:I164"/>
    <mergeCell ref="J151:M151"/>
    <mergeCell ref="O151:P151"/>
    <mergeCell ref="C152:E152"/>
    <mergeCell ref="J152:M152"/>
    <mergeCell ref="O152:P152"/>
    <mergeCell ref="C153:E153"/>
    <mergeCell ref="J153:M153"/>
    <mergeCell ref="O153:P153"/>
    <mergeCell ref="C154:E154"/>
    <mergeCell ref="J154:M154"/>
    <mergeCell ref="O154:P154"/>
    <mergeCell ref="C145:E145"/>
    <mergeCell ref="H145:H172"/>
    <mergeCell ref="I145:I150"/>
    <mergeCell ref="J145:M145"/>
    <mergeCell ref="O145:P145"/>
    <mergeCell ref="C146:E146"/>
    <mergeCell ref="J146:M146"/>
    <mergeCell ref="O146:P146"/>
    <mergeCell ref="C147:E147"/>
    <mergeCell ref="J147:M147"/>
    <mergeCell ref="O147:P147"/>
    <mergeCell ref="C148:E148"/>
    <mergeCell ref="J148:M148"/>
    <mergeCell ref="O148:P148"/>
    <mergeCell ref="C149:E149"/>
    <mergeCell ref="J149:M149"/>
    <mergeCell ref="O149:P149"/>
    <mergeCell ref="C150:E150"/>
    <mergeCell ref="J150:M150"/>
    <mergeCell ref="O150:P150"/>
    <mergeCell ref="C151:E151"/>
    <mergeCell ref="C158:E158"/>
    <mergeCell ref="J158:M158"/>
    <mergeCell ref="O158:P158"/>
    <mergeCell ref="C159:E159"/>
    <mergeCell ref="J159:M159"/>
    <mergeCell ref="O159:P159"/>
    <mergeCell ref="C160:E160"/>
    <mergeCell ref="J160:M160"/>
    <mergeCell ref="O160:P160"/>
    <mergeCell ref="C155:E155"/>
    <mergeCell ref="J155:M155"/>
    <mergeCell ref="B141:C141"/>
    <mergeCell ref="F141:G141"/>
    <mergeCell ref="H141:I141"/>
    <mergeCell ref="J141:P141"/>
    <mergeCell ref="B142:C144"/>
    <mergeCell ref="D142:E142"/>
    <mergeCell ref="F142:M142"/>
    <mergeCell ref="N142:P142"/>
    <mergeCell ref="D143:E143"/>
    <mergeCell ref="F143:M143"/>
    <mergeCell ref="N143:P143"/>
    <mergeCell ref="D144:E144"/>
    <mergeCell ref="F144:P144"/>
    <mergeCell ref="B136:E136"/>
    <mergeCell ref="H136:L136"/>
    <mergeCell ref="M136:N136"/>
    <mergeCell ref="O136:P136"/>
    <mergeCell ref="B138:P138"/>
    <mergeCell ref="B140:D140"/>
    <mergeCell ref="E140:K140"/>
    <mergeCell ref="L140:N140"/>
    <mergeCell ref="O140:P140"/>
    <mergeCell ref="B132:B135"/>
    <mergeCell ref="C132:C135"/>
    <mergeCell ref="D132:E132"/>
    <mergeCell ref="I132:M132"/>
    <mergeCell ref="O132:P132"/>
    <mergeCell ref="D133:E133"/>
    <mergeCell ref="H133:I135"/>
    <mergeCell ref="J133:J135"/>
    <mergeCell ref="M133:M135"/>
    <mergeCell ref="O133:P133"/>
    <mergeCell ref="D134:E134"/>
    <mergeCell ref="O134:P134"/>
    <mergeCell ref="D135:E135"/>
    <mergeCell ref="O135:P135"/>
    <mergeCell ref="D127:E127"/>
    <mergeCell ref="I127:M127"/>
    <mergeCell ref="O127:P127"/>
    <mergeCell ref="D128:E128"/>
    <mergeCell ref="I128:M128"/>
    <mergeCell ref="O128:P128"/>
    <mergeCell ref="C129:E129"/>
    <mergeCell ref="H129:H132"/>
    <mergeCell ref="I129:M129"/>
    <mergeCell ref="O129:P129"/>
    <mergeCell ref="C130:E130"/>
    <mergeCell ref="I130:M130"/>
    <mergeCell ref="O130:P130"/>
    <mergeCell ref="C131:E131"/>
    <mergeCell ref="I131:M131"/>
    <mergeCell ref="O131:P131"/>
    <mergeCell ref="C124:C128"/>
    <mergeCell ref="D124:E124"/>
    <mergeCell ref="I124:M124"/>
    <mergeCell ref="O124:P124"/>
    <mergeCell ref="D125:E125"/>
    <mergeCell ref="I125:M125"/>
    <mergeCell ref="O125:P125"/>
    <mergeCell ref="D126:E126"/>
    <mergeCell ref="I126:M126"/>
    <mergeCell ref="O126:P126"/>
    <mergeCell ref="C117:E117"/>
    <mergeCell ref="J117:M117"/>
    <mergeCell ref="O117:P117"/>
    <mergeCell ref="B118:B131"/>
    <mergeCell ref="C118:C123"/>
    <mergeCell ref="D118:E118"/>
    <mergeCell ref="J118:M118"/>
    <mergeCell ref="O118:P118"/>
    <mergeCell ref="D119:E119"/>
    <mergeCell ref="J119:M119"/>
    <mergeCell ref="O119:P119"/>
    <mergeCell ref="D120:E120"/>
    <mergeCell ref="J120:M120"/>
    <mergeCell ref="O120:P120"/>
    <mergeCell ref="D121:E121"/>
    <mergeCell ref="I121:M121"/>
    <mergeCell ref="O121:P121"/>
    <mergeCell ref="D122:E122"/>
    <mergeCell ref="I122:M122"/>
    <mergeCell ref="O122:P122"/>
    <mergeCell ref="D123:E123"/>
    <mergeCell ref="I123:M123"/>
    <mergeCell ref="O123:P123"/>
    <mergeCell ref="B101:B117"/>
    <mergeCell ref="O111:P111"/>
    <mergeCell ref="C112:E112"/>
    <mergeCell ref="J112:M112"/>
    <mergeCell ref="O112:P112"/>
    <mergeCell ref="C113:E113"/>
    <mergeCell ref="J113:M113"/>
    <mergeCell ref="O113:P113"/>
    <mergeCell ref="I107:I120"/>
    <mergeCell ref="J107:M107"/>
    <mergeCell ref="O107:P107"/>
    <mergeCell ref="C108:E108"/>
    <mergeCell ref="J108:M108"/>
    <mergeCell ref="O108:P108"/>
    <mergeCell ref="C109:E109"/>
    <mergeCell ref="J109:M109"/>
    <mergeCell ref="O109:P109"/>
    <mergeCell ref="C110:E110"/>
    <mergeCell ref="J110:M110"/>
    <mergeCell ref="O110:P110"/>
    <mergeCell ref="C101:E101"/>
    <mergeCell ref="H101:H128"/>
    <mergeCell ref="I101:I106"/>
    <mergeCell ref="J101:M101"/>
    <mergeCell ref="O101:P101"/>
    <mergeCell ref="C102:E102"/>
    <mergeCell ref="J102:M102"/>
    <mergeCell ref="O102:P102"/>
    <mergeCell ref="C103:E103"/>
    <mergeCell ref="J103:M103"/>
    <mergeCell ref="O103:P103"/>
    <mergeCell ref="C104:E104"/>
    <mergeCell ref="J104:M104"/>
    <mergeCell ref="O104:P104"/>
    <mergeCell ref="C105:E105"/>
    <mergeCell ref="J105:M105"/>
    <mergeCell ref="O105:P105"/>
    <mergeCell ref="C106:E106"/>
    <mergeCell ref="J106:M106"/>
    <mergeCell ref="O106:P106"/>
    <mergeCell ref="C107:E107"/>
    <mergeCell ref="C114:E114"/>
    <mergeCell ref="J114:M114"/>
    <mergeCell ref="O114:P114"/>
    <mergeCell ref="C115:E115"/>
    <mergeCell ref="J115:M115"/>
    <mergeCell ref="O115:P115"/>
    <mergeCell ref="C116:E116"/>
    <mergeCell ref="J116:M116"/>
    <mergeCell ref="O116:P116"/>
    <mergeCell ref="C111:E111"/>
    <mergeCell ref="J111:M111"/>
    <mergeCell ref="B97:C97"/>
    <mergeCell ref="F97:G97"/>
    <mergeCell ref="H97:I97"/>
    <mergeCell ref="J97:P97"/>
    <mergeCell ref="B98:C100"/>
    <mergeCell ref="D98:E98"/>
    <mergeCell ref="F98:M98"/>
    <mergeCell ref="N98:P98"/>
    <mergeCell ref="D99:E99"/>
    <mergeCell ref="F99:M99"/>
    <mergeCell ref="N99:P99"/>
    <mergeCell ref="D100:E100"/>
    <mergeCell ref="F100:P100"/>
    <mergeCell ref="B92:E92"/>
    <mergeCell ref="H92:L92"/>
    <mergeCell ref="M92:N92"/>
    <mergeCell ref="O92:P92"/>
    <mergeCell ref="B94:P94"/>
    <mergeCell ref="B96:D96"/>
    <mergeCell ref="E96:K96"/>
    <mergeCell ref="L96:N96"/>
    <mergeCell ref="O96:P96"/>
    <mergeCell ref="B88:B91"/>
    <mergeCell ref="C88:C91"/>
    <mergeCell ref="D88:E88"/>
    <mergeCell ref="I88:M88"/>
    <mergeCell ref="O88:P88"/>
    <mergeCell ref="D89:E89"/>
    <mergeCell ref="H89:I91"/>
    <mergeCell ref="J89:J91"/>
    <mergeCell ref="M89:M91"/>
    <mergeCell ref="O89:P89"/>
    <mergeCell ref="D90:E90"/>
    <mergeCell ref="O90:P90"/>
    <mergeCell ref="D91:E91"/>
    <mergeCell ref="O91:P91"/>
    <mergeCell ref="D83:E83"/>
    <mergeCell ref="I83:M83"/>
    <mergeCell ref="O83:P83"/>
    <mergeCell ref="D84:E84"/>
    <mergeCell ref="I84:M84"/>
    <mergeCell ref="O84:P84"/>
    <mergeCell ref="C85:E85"/>
    <mergeCell ref="H85:H88"/>
    <mergeCell ref="I85:M85"/>
    <mergeCell ref="O85:P85"/>
    <mergeCell ref="C86:E86"/>
    <mergeCell ref="I86:M86"/>
    <mergeCell ref="O86:P86"/>
    <mergeCell ref="C87:E87"/>
    <mergeCell ref="I87:M87"/>
    <mergeCell ref="O87:P87"/>
    <mergeCell ref="C80:C84"/>
    <mergeCell ref="D80:E80"/>
    <mergeCell ref="I80:M80"/>
    <mergeCell ref="O80:P80"/>
    <mergeCell ref="D81:E81"/>
    <mergeCell ref="I81:M81"/>
    <mergeCell ref="O81:P81"/>
    <mergeCell ref="D82:E82"/>
    <mergeCell ref="I82:M82"/>
    <mergeCell ref="O82:P82"/>
    <mergeCell ref="C73:E73"/>
    <mergeCell ref="J73:M73"/>
    <mergeCell ref="O73:P73"/>
    <mergeCell ref="B74:B87"/>
    <mergeCell ref="C74:C79"/>
    <mergeCell ref="D74:E74"/>
    <mergeCell ref="J74:M74"/>
    <mergeCell ref="O74:P74"/>
    <mergeCell ref="D75:E75"/>
    <mergeCell ref="J75:M75"/>
    <mergeCell ref="O75:P75"/>
    <mergeCell ref="D76:E76"/>
    <mergeCell ref="J76:M76"/>
    <mergeCell ref="O76:P76"/>
    <mergeCell ref="D77:E77"/>
    <mergeCell ref="I77:M77"/>
    <mergeCell ref="O77:P77"/>
    <mergeCell ref="D78:E78"/>
    <mergeCell ref="I78:M78"/>
    <mergeCell ref="O78:P78"/>
    <mergeCell ref="D79:E79"/>
    <mergeCell ref="I79:M79"/>
    <mergeCell ref="O79:P79"/>
    <mergeCell ref="B57:B73"/>
    <mergeCell ref="O67:P67"/>
    <mergeCell ref="C68:E68"/>
    <mergeCell ref="J68:M68"/>
    <mergeCell ref="O68:P68"/>
    <mergeCell ref="C69:E69"/>
    <mergeCell ref="J69:M69"/>
    <mergeCell ref="O69:P69"/>
    <mergeCell ref="I63:I76"/>
    <mergeCell ref="J63:M63"/>
    <mergeCell ref="O63:P63"/>
    <mergeCell ref="C64:E64"/>
    <mergeCell ref="J64:M64"/>
    <mergeCell ref="O64:P64"/>
    <mergeCell ref="C65:E65"/>
    <mergeCell ref="J65:M65"/>
    <mergeCell ref="O65:P65"/>
    <mergeCell ref="C66:E66"/>
    <mergeCell ref="J66:M66"/>
    <mergeCell ref="O66:P66"/>
    <mergeCell ref="C57:E57"/>
    <mergeCell ref="H57:H84"/>
    <mergeCell ref="I57:I62"/>
    <mergeCell ref="J57:M57"/>
    <mergeCell ref="O57:P57"/>
    <mergeCell ref="C58:E58"/>
    <mergeCell ref="J58:M58"/>
    <mergeCell ref="O58:P58"/>
    <mergeCell ref="C59:E59"/>
    <mergeCell ref="J59:M59"/>
    <mergeCell ref="O59:P59"/>
    <mergeCell ref="C60:E60"/>
    <mergeCell ref="J60:M60"/>
    <mergeCell ref="O60:P60"/>
    <mergeCell ref="C61:E61"/>
    <mergeCell ref="J61:M61"/>
    <mergeCell ref="O61:P61"/>
    <mergeCell ref="C62:E62"/>
    <mergeCell ref="J62:M62"/>
    <mergeCell ref="O62:P62"/>
    <mergeCell ref="C63:E63"/>
    <mergeCell ref="C70:E70"/>
    <mergeCell ref="J70:M70"/>
    <mergeCell ref="O70:P70"/>
    <mergeCell ref="C71:E71"/>
    <mergeCell ref="J71:M71"/>
    <mergeCell ref="O71:P71"/>
    <mergeCell ref="C72:E72"/>
    <mergeCell ref="J72:M72"/>
    <mergeCell ref="O72:P72"/>
    <mergeCell ref="C67:E67"/>
    <mergeCell ref="J67:M67"/>
    <mergeCell ref="B54:C56"/>
    <mergeCell ref="D54:E54"/>
    <mergeCell ref="F54:M54"/>
    <mergeCell ref="N54:P54"/>
    <mergeCell ref="D55:E55"/>
    <mergeCell ref="F55:M55"/>
    <mergeCell ref="N55:P55"/>
    <mergeCell ref="D56:E56"/>
    <mergeCell ref="F56:P56"/>
    <mergeCell ref="B50:P50"/>
    <mergeCell ref="B52:D52"/>
    <mergeCell ref="E52:K52"/>
    <mergeCell ref="L52:N52"/>
    <mergeCell ref="O52:P52"/>
    <mergeCell ref="B53:C53"/>
    <mergeCell ref="F53:G53"/>
    <mergeCell ref="H53:I53"/>
    <mergeCell ref="J53:P53"/>
    <mergeCell ref="B4:P4"/>
    <mergeCell ref="B6:P6"/>
    <mergeCell ref="F10:M10"/>
    <mergeCell ref="F11:M11"/>
    <mergeCell ref="F9:G9"/>
    <mergeCell ref="D47:E47"/>
    <mergeCell ref="C41:E41"/>
    <mergeCell ref="I43:M43"/>
    <mergeCell ref="I44:M44"/>
    <mergeCell ref="B30:B43"/>
    <mergeCell ref="C30:C35"/>
    <mergeCell ref="D30:E30"/>
    <mergeCell ref="O30:P30"/>
    <mergeCell ref="D31:E31"/>
    <mergeCell ref="D34:E34"/>
    <mergeCell ref="O34:P34"/>
    <mergeCell ref="D35:E35"/>
    <mergeCell ref="O35:P35"/>
    <mergeCell ref="O31:P31"/>
    <mergeCell ref="D32:E32"/>
    <mergeCell ref="O32:P32"/>
    <mergeCell ref="C29:E29"/>
    <mergeCell ref="O29:P29"/>
    <mergeCell ref="J30:M30"/>
    <mergeCell ref="O33:P33"/>
    <mergeCell ref="D39:E39"/>
    <mergeCell ref="O39:P39"/>
    <mergeCell ref="D40:E40"/>
    <mergeCell ref="O40:P40"/>
    <mergeCell ref="C36:C40"/>
    <mergeCell ref="D36:E36"/>
    <mergeCell ref="O36:P36"/>
    <mergeCell ref="B48:E48"/>
    <mergeCell ref="H48:L48"/>
    <mergeCell ref="B44:B47"/>
    <mergeCell ref="C44:C47"/>
    <mergeCell ref="D44:E44"/>
    <mergeCell ref="O44:P44"/>
    <mergeCell ref="D45:E45"/>
    <mergeCell ref="H45:I47"/>
    <mergeCell ref="J45:J47"/>
    <mergeCell ref="M45:M47"/>
    <mergeCell ref="D46:E46"/>
    <mergeCell ref="O45:P45"/>
    <mergeCell ref="O46:P46"/>
    <mergeCell ref="O47:P47"/>
    <mergeCell ref="O48:P48"/>
    <mergeCell ref="M48:N48"/>
    <mergeCell ref="H41:H44"/>
    <mergeCell ref="O41:P41"/>
    <mergeCell ref="C42:E42"/>
    <mergeCell ref="O42:P42"/>
    <mergeCell ref="C43:E43"/>
    <mergeCell ref="O43:P43"/>
    <mergeCell ref="I41:M41"/>
    <mergeCell ref="I42:M42"/>
    <mergeCell ref="O37:P37"/>
    <mergeCell ref="D38:E38"/>
    <mergeCell ref="O38:P38"/>
    <mergeCell ref="I36:M36"/>
    <mergeCell ref="I37:M37"/>
    <mergeCell ref="I38:M38"/>
    <mergeCell ref="I39:M39"/>
    <mergeCell ref="I40:M40"/>
    <mergeCell ref="I33:M33"/>
    <mergeCell ref="I34:M34"/>
    <mergeCell ref="I35:M35"/>
    <mergeCell ref="O20:P20"/>
    <mergeCell ref="C21:E21"/>
    <mergeCell ref="O21:P21"/>
    <mergeCell ref="C22:E22"/>
    <mergeCell ref="C27:E27"/>
    <mergeCell ref="O27:P27"/>
    <mergeCell ref="C28:E28"/>
    <mergeCell ref="O28:P28"/>
    <mergeCell ref="C25:E25"/>
    <mergeCell ref="O25:P25"/>
    <mergeCell ref="C26:E26"/>
    <mergeCell ref="O26:P26"/>
    <mergeCell ref="J26:M26"/>
    <mergeCell ref="O22:P22"/>
    <mergeCell ref="C23:E23"/>
    <mergeCell ref="O23:P23"/>
    <mergeCell ref="C24:E24"/>
    <mergeCell ref="O24:P24"/>
    <mergeCell ref="I19:I32"/>
    <mergeCell ref="O19:P19"/>
    <mergeCell ref="J31:M31"/>
    <mergeCell ref="J32:M32"/>
    <mergeCell ref="B13:B29"/>
    <mergeCell ref="C13:E13"/>
    <mergeCell ref="J27:M27"/>
    <mergeCell ref="J28:M28"/>
    <mergeCell ref="J29:M29"/>
    <mergeCell ref="O16:P16"/>
    <mergeCell ref="C17:E17"/>
    <mergeCell ref="O17:P17"/>
    <mergeCell ref="C18:E18"/>
    <mergeCell ref="O18:P18"/>
    <mergeCell ref="O13:P13"/>
    <mergeCell ref="C14:E14"/>
    <mergeCell ref="O14:P14"/>
    <mergeCell ref="C15:E15"/>
    <mergeCell ref="O15:P15"/>
    <mergeCell ref="H13:H40"/>
    <mergeCell ref="I13:I18"/>
    <mergeCell ref="C16:E16"/>
    <mergeCell ref="C19:E19"/>
    <mergeCell ref="D33:E33"/>
    <mergeCell ref="J18:M18"/>
    <mergeCell ref="J19:M19"/>
    <mergeCell ref="J20:M20"/>
    <mergeCell ref="J21:M21"/>
    <mergeCell ref="J16:M16"/>
    <mergeCell ref="J17:M17"/>
    <mergeCell ref="J22:M22"/>
    <mergeCell ref="J23:M23"/>
    <mergeCell ref="J24:M24"/>
    <mergeCell ref="D37:E37"/>
    <mergeCell ref="J25:M25"/>
    <mergeCell ref="C20:E20"/>
    <mergeCell ref="B10:C12"/>
    <mergeCell ref="D10:E10"/>
    <mergeCell ref="N10:P10"/>
    <mergeCell ref="D11:E11"/>
    <mergeCell ref="N11:P11"/>
    <mergeCell ref="B8:D8"/>
    <mergeCell ref="L8:N8"/>
    <mergeCell ref="B9:C9"/>
    <mergeCell ref="J9:P9"/>
    <mergeCell ref="D12:E12"/>
    <mergeCell ref="F12:P12"/>
    <mergeCell ref="H9:I9"/>
    <mergeCell ref="E8:K8"/>
    <mergeCell ref="O8:P8"/>
    <mergeCell ref="J13:M13"/>
    <mergeCell ref="J14:M14"/>
    <mergeCell ref="J15:M15"/>
  </mergeCells>
  <conditionalFormatting sqref="U1:AC2 A1:A2">
    <cfRule type="expression" dxfId="1" priority="2">
      <formula>$B$1=MSG_MACRO</formula>
    </cfRule>
  </conditionalFormatting>
  <conditionalFormatting sqref="B1">
    <cfRule type="expression" dxfId="0" priority="1">
      <formula>$B$1=MSG_MACRO</formula>
    </cfRule>
  </conditionalFormatting>
  <pageMargins left="0.7" right="0.7" top="0.75" bottom="0.75" header="0.3" footer="0.3"/>
  <pageSetup paperSize="9" scale="25"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6"/>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2</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7"/>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4</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720DD-1F18-4129-A3D4-E7B5DBB409E3}">
  <sheetPr codeName="Hoja18"/>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970</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E7B4B-3433-4683-98A4-6B30543966DB}">
  <sheetPr codeName="Hoja19"/>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971</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255AC-7184-487D-9C88-66C7D10929DB}">
  <sheetPr codeName="Hoja22"/>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972</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F3F0E-CCAE-4421-AB9B-46B6C554D1AD}">
  <sheetPr codeName="Hoja23"/>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973</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mergeCells count="2">
    <mergeCell ref="A1:P1"/>
    <mergeCell ref="A2:P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BEAD5-2301-418F-AE3D-72FB0A1BB8E4}">
  <sheetPr codeName="Hoja24"/>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1027</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9F786-791E-434C-9FA7-24AD9B90A92C}">
  <sheetPr codeName="Hoja25"/>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1028</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A503-BB73-40F8-B9B7-8F3680BB5597}">
  <sheetPr codeName="Hoja26"/>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1029</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CA8AD-F35B-45FE-B14A-F1DEFEF412B6}">
  <sheetPr codeName="Hoja27"/>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1030</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863A-A5AE-441B-9E69-3FE7843B2C23}">
  <sheetPr codeName="Hoja28"/>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1031</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E8216-3C85-48EE-B364-BB8E43D72816}">
  <sheetPr codeName="Hoja29"/>
  <dimension ref="A1:Q2"/>
  <sheetViews>
    <sheetView workbookViewId="0">
      <selection sqref="A1:P1"/>
    </sheetView>
  </sheetViews>
  <sheetFormatPr baseColWidth="10" defaultColWidth="11.42578125" defaultRowHeight="15" x14ac:dyDescent="0.25"/>
  <cols>
    <col min="1" max="16384" width="11.42578125" style="17"/>
  </cols>
  <sheetData>
    <row r="1" spans="1:17" s="14" customFormat="1" ht="26.25" customHeight="1" x14ac:dyDescent="0.25">
      <c r="A1" s="426" t="s">
        <v>1032</v>
      </c>
      <c r="B1" s="426"/>
      <c r="C1" s="426"/>
      <c r="D1" s="426"/>
      <c r="E1" s="426"/>
      <c r="F1" s="426"/>
      <c r="G1" s="426"/>
      <c r="H1" s="426"/>
      <c r="I1" s="426"/>
      <c r="J1" s="426"/>
      <c r="K1" s="426"/>
      <c r="L1" s="426"/>
      <c r="M1" s="426"/>
      <c r="N1" s="426"/>
      <c r="O1" s="426"/>
      <c r="P1" s="426"/>
      <c r="Q1" s="13"/>
    </row>
    <row r="2" spans="1:17" s="16" customFormat="1" ht="25.5" customHeight="1" x14ac:dyDescent="0.25">
      <c r="A2" s="427" t="s">
        <v>3</v>
      </c>
      <c r="B2" s="427"/>
      <c r="C2" s="427"/>
      <c r="D2" s="427"/>
      <c r="E2" s="427"/>
      <c r="F2" s="427"/>
      <c r="G2" s="427"/>
      <c r="H2" s="427"/>
      <c r="I2" s="427"/>
      <c r="J2" s="427"/>
      <c r="K2" s="427"/>
      <c r="L2" s="427"/>
      <c r="M2" s="427"/>
      <c r="N2" s="427"/>
      <c r="O2" s="427"/>
      <c r="P2" s="427"/>
      <c r="Q2" s="15"/>
    </row>
  </sheetData>
  <sheetProtection formatRows="0" sort="0"/>
  <mergeCells count="2">
    <mergeCell ref="A1:P1"/>
    <mergeCell ref="A2:P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218</vt:i4>
      </vt:variant>
    </vt:vector>
  </HeadingPairs>
  <TitlesOfParts>
    <vt:vector size="233" baseType="lpstr">
      <vt:lpstr>Inicio</vt:lpstr>
      <vt:lpstr>Datos contribuyente</vt:lpstr>
      <vt:lpstr>F300-2025</vt:lpstr>
      <vt:lpstr>H.T 1</vt:lpstr>
      <vt:lpstr>H.T 2</vt:lpstr>
      <vt:lpstr>H.T 3</vt:lpstr>
      <vt:lpstr>H.T 4</vt:lpstr>
      <vt:lpstr>H.T 5</vt:lpstr>
      <vt:lpstr>H.T 6</vt:lpstr>
      <vt:lpstr>H.T 7</vt:lpstr>
      <vt:lpstr>H.T 8</vt:lpstr>
      <vt:lpstr>H.T 9</vt:lpstr>
      <vt:lpstr>H.T 10</vt:lpstr>
      <vt:lpstr>H.T 11</vt:lpstr>
      <vt:lpstr>H.T 12</vt:lpstr>
      <vt:lpstr>ANUAL_EXPORTAR</vt:lpstr>
      <vt:lpstr>Inicio!Área_de_impresión</vt:lpstr>
      <vt:lpstr>BIMESTRE1_EXPORTAR</vt:lpstr>
      <vt:lpstr>BIMESTRE2_EXPORTAR</vt:lpstr>
      <vt:lpstr>BIMESTRE3_EXPORTAR</vt:lpstr>
      <vt:lpstr>BIMESTRE4_EXPORTAR</vt:lpstr>
      <vt:lpstr>BIMESTRE5_EXPORTAR</vt:lpstr>
      <vt:lpstr>BIMESTRE6_EXPORTAR</vt:lpstr>
      <vt:lpstr>CC</vt:lpstr>
      <vt:lpstr>CUATRIMESTRE1_EXPORTAR</vt:lpstr>
      <vt:lpstr>CUATRIMESTRE2_EXPORTAR</vt:lpstr>
      <vt:lpstr>CUATRIMESTRE3_EXPORTAR</vt:lpstr>
      <vt:lpstr>Plantilla_1001</vt:lpstr>
      <vt:lpstr>Plantilla_1002</vt:lpstr>
      <vt:lpstr>Plantilla_1003</vt:lpstr>
      <vt:lpstr>Plantilla_1004</vt:lpstr>
      <vt:lpstr>Plantilla_1005</vt:lpstr>
      <vt:lpstr>Plantilla_1006</vt:lpstr>
      <vt:lpstr>Plantilla_1007</vt:lpstr>
      <vt:lpstr>Plantilla_1008</vt:lpstr>
      <vt:lpstr>Plantilla_1009</vt:lpstr>
      <vt:lpstr>Plantilla_1010</vt:lpstr>
      <vt:lpstr>Plantilla_1011</vt:lpstr>
      <vt:lpstr>Plantilla_1012</vt:lpstr>
      <vt:lpstr>Plantilla_1013</vt:lpstr>
      <vt:lpstr>Plantilla_1014</vt:lpstr>
      <vt:lpstr>Plantilla_1015</vt:lpstr>
      <vt:lpstr>Plantilla_2001</vt:lpstr>
      <vt:lpstr>Plantilla_2002</vt:lpstr>
      <vt:lpstr>Plantilla_2003</vt:lpstr>
      <vt:lpstr>Plantilla_2004</vt:lpstr>
      <vt:lpstr>Plantilla_2005</vt:lpstr>
      <vt:lpstr>Plantilla_2006</vt:lpstr>
      <vt:lpstr>Plantilla_2007</vt:lpstr>
      <vt:lpstr>Plantilla_2008</vt:lpstr>
      <vt:lpstr>Plantilla_2009</vt:lpstr>
      <vt:lpstr>Plantilla_2010</vt:lpstr>
      <vt:lpstr>Plantilla_2011</vt:lpstr>
      <vt:lpstr>Plantilla_2012</vt:lpstr>
      <vt:lpstr>Plantilla_3001</vt:lpstr>
      <vt:lpstr>Plantilla_3002</vt:lpstr>
      <vt:lpstr>Plantilla_3003</vt:lpstr>
      <vt:lpstr>Plantilla_3004</vt:lpstr>
      <vt:lpstr>Plantilla_3005</vt:lpstr>
      <vt:lpstr>Plantilla_3006</vt:lpstr>
      <vt:lpstr>SECCION1000</vt:lpstr>
      <vt:lpstr>SECCION1001</vt:lpstr>
      <vt:lpstr>SECCION1002</vt:lpstr>
      <vt:lpstr>SECCION1003</vt:lpstr>
      <vt:lpstr>SECCION1004</vt:lpstr>
      <vt:lpstr>SECCION1005</vt:lpstr>
      <vt:lpstr>SECCION1006</vt:lpstr>
      <vt:lpstr>SECCION1007</vt:lpstr>
      <vt:lpstr>SECCION1008</vt:lpstr>
      <vt:lpstr>SECCION1009</vt:lpstr>
      <vt:lpstr>SECCION1010</vt:lpstr>
      <vt:lpstr>SECCION1011</vt:lpstr>
      <vt:lpstr>SECCION1012</vt:lpstr>
      <vt:lpstr>SECCION1013</vt:lpstr>
      <vt:lpstr>SECCION1014</vt:lpstr>
      <vt:lpstr>SECCION1015</vt:lpstr>
      <vt:lpstr>SECCION2000</vt:lpstr>
      <vt:lpstr>SECCION2001</vt:lpstr>
      <vt:lpstr>SECCION2002</vt:lpstr>
      <vt:lpstr>SECCION2003</vt:lpstr>
      <vt:lpstr>SECCION2004</vt:lpstr>
      <vt:lpstr>SECCION2005</vt:lpstr>
      <vt:lpstr>SECCION2006</vt:lpstr>
      <vt:lpstr>SECCION2007</vt:lpstr>
      <vt:lpstr>SECCION2008</vt:lpstr>
      <vt:lpstr>SECCION2009</vt:lpstr>
      <vt:lpstr>SECCION2010</vt:lpstr>
      <vt:lpstr>SECCION2011</vt:lpstr>
      <vt:lpstr>SECCION2012</vt:lpstr>
      <vt:lpstr>SECCION3000</vt:lpstr>
      <vt:lpstr>SECCION3001</vt:lpstr>
      <vt:lpstr>SECCION3002</vt:lpstr>
      <vt:lpstr>SECCION3003</vt:lpstr>
      <vt:lpstr>SECCION3004</vt:lpstr>
      <vt:lpstr>SECCION3005</vt:lpstr>
      <vt:lpstr>SECCION3006</vt:lpstr>
      <vt:lpstr>SECCION4000</vt:lpstr>
      <vt:lpstr>SECCION4001</vt:lpstr>
      <vt:lpstr>SECCION4002</vt:lpstr>
      <vt:lpstr>SECCION4003</vt:lpstr>
      <vt:lpstr>SECCION4004</vt:lpstr>
      <vt:lpstr>SECCION4005</vt:lpstr>
      <vt:lpstr>SECCION4006</vt:lpstr>
      <vt:lpstr>SECCION4007</vt:lpstr>
      <vt:lpstr>SECCION4008</vt:lpstr>
      <vt:lpstr>SECCION4009</vt:lpstr>
      <vt:lpstr>SECCION4010</vt:lpstr>
      <vt:lpstr>SECCION4011</vt:lpstr>
      <vt:lpstr>SECCION4012</vt:lpstr>
      <vt:lpstr>SECCION5000</vt:lpstr>
      <vt:lpstr>SECCION5001</vt:lpstr>
      <vt:lpstr>SECCION5002</vt:lpstr>
      <vt:lpstr>SECCION6000</vt:lpstr>
      <vt:lpstr>SECCION6001</vt:lpstr>
      <vt:lpstr>SECCION6002</vt:lpstr>
      <vt:lpstr>SECCION6003</vt:lpstr>
      <vt:lpstr>SECCION7000</vt:lpstr>
      <vt:lpstr>SECCION8000</vt:lpstr>
      <vt:lpstr>SECCION8001</vt:lpstr>
      <vt:lpstr>SECCION8002</vt:lpstr>
      <vt:lpstr>SECCION8003</vt:lpstr>
      <vt:lpstr>SECCION8004</vt:lpstr>
      <vt:lpstr>SECCION8005</vt:lpstr>
      <vt:lpstr>SECCION8006</vt:lpstr>
      <vt:lpstr>SECCION9000</vt:lpstr>
      <vt:lpstr>SECCION9001</vt:lpstr>
      <vt:lpstr>SECCION9002</vt:lpstr>
      <vt:lpstr>SECCION9003</vt:lpstr>
      <vt:lpstr>SECCION9004</vt:lpstr>
      <vt:lpstr>TIT_SECCION1000</vt:lpstr>
      <vt:lpstr>TIT_SECCION1001</vt:lpstr>
      <vt:lpstr>TIT_SECCION1002</vt:lpstr>
      <vt:lpstr>TIT_SECCION1003</vt:lpstr>
      <vt:lpstr>TIT_SECCION1004</vt:lpstr>
      <vt:lpstr>TIT_SECCION1005</vt:lpstr>
      <vt:lpstr>TIT_SECCION1006</vt:lpstr>
      <vt:lpstr>TIT_SECCION1007</vt:lpstr>
      <vt:lpstr>TIT_SECCION1008</vt:lpstr>
      <vt:lpstr>TIT_SECCION1009</vt:lpstr>
      <vt:lpstr>TIT_SECCION1010</vt:lpstr>
      <vt:lpstr>TIT_SECCION1011</vt:lpstr>
      <vt:lpstr>TIT_SECCION1012</vt:lpstr>
      <vt:lpstr>TIT_SECCION1013</vt:lpstr>
      <vt:lpstr>TIT_SECCION1014</vt:lpstr>
      <vt:lpstr>TIT_SECCION1015</vt:lpstr>
      <vt:lpstr>TIT_SECCION2000</vt:lpstr>
      <vt:lpstr>TIT_SECCION2001</vt:lpstr>
      <vt:lpstr>TIT_SECCION2002</vt:lpstr>
      <vt:lpstr>TIT_SECCION2003</vt:lpstr>
      <vt:lpstr>TIT_SECCION2004</vt:lpstr>
      <vt:lpstr>TIT_SECCION2005</vt:lpstr>
      <vt:lpstr>TIT_SECCION2006</vt:lpstr>
      <vt:lpstr>TIT_SECCION2007</vt:lpstr>
      <vt:lpstr>TIT_SECCION2008</vt:lpstr>
      <vt:lpstr>TIT_SECCION2009</vt:lpstr>
      <vt:lpstr>TIT_SECCION2010</vt:lpstr>
      <vt:lpstr>TIT_SECCION2011</vt:lpstr>
      <vt:lpstr>TIT_SECCION2012</vt:lpstr>
      <vt:lpstr>TIT_SECCION3000</vt:lpstr>
      <vt:lpstr>TIT_SECCION3001</vt:lpstr>
      <vt:lpstr>TIT_SECCION3002</vt:lpstr>
      <vt:lpstr>TIT_SECCION3003</vt:lpstr>
      <vt:lpstr>TIT_SECCION3004</vt:lpstr>
      <vt:lpstr>TIT_SECCION3005</vt:lpstr>
      <vt:lpstr>TIT_SECCION3006</vt:lpstr>
      <vt:lpstr>TIT_SECCION4000</vt:lpstr>
      <vt:lpstr>TIT_SECCION4001</vt:lpstr>
      <vt:lpstr>TIT_SECCION4002</vt:lpstr>
      <vt:lpstr>TIT_SECCION4003</vt:lpstr>
      <vt:lpstr>TIT_SECCION4004</vt:lpstr>
      <vt:lpstr>TIT_SECCION4005</vt:lpstr>
      <vt:lpstr>TIT_SECCION4006</vt:lpstr>
      <vt:lpstr>TIT_SECCION4007</vt:lpstr>
      <vt:lpstr>TIT_SECCION4008</vt:lpstr>
      <vt:lpstr>TIT_SECCION4009</vt:lpstr>
      <vt:lpstr>TIT_SECCION4010</vt:lpstr>
      <vt:lpstr>TIT_SECCION4011</vt:lpstr>
      <vt:lpstr>TIT_SECCION4012</vt:lpstr>
      <vt:lpstr>TIT_SECCION5000</vt:lpstr>
      <vt:lpstr>TIT_SECCION5001</vt:lpstr>
      <vt:lpstr>TIT_SECCION5002</vt:lpstr>
      <vt:lpstr>TIT_SECCION6000</vt:lpstr>
      <vt:lpstr>TIT_SECCION6001</vt:lpstr>
      <vt:lpstr>TIT_SECCION6002</vt:lpstr>
      <vt:lpstr>TIT_SECCION6003</vt:lpstr>
      <vt:lpstr>TIT_SECCION7000</vt:lpstr>
      <vt:lpstr>TIT_SECCION8000</vt:lpstr>
      <vt:lpstr>TIT_SECCION8001</vt:lpstr>
      <vt:lpstr>TIT_SECCION8002</vt:lpstr>
      <vt:lpstr>TIT_SECCION8003</vt:lpstr>
      <vt:lpstr>TIT_SECCION8004</vt:lpstr>
      <vt:lpstr>TIT_SECCION8005</vt:lpstr>
      <vt:lpstr>TIT_SECCION8006</vt:lpstr>
      <vt:lpstr>TIT_SECCION9000</vt:lpstr>
      <vt:lpstr>TIT_SECCION9001</vt:lpstr>
      <vt:lpstr>TIT_SECCION9002</vt:lpstr>
      <vt:lpstr>TIT_SECCION9003</vt:lpstr>
      <vt:lpstr>TIT_SECCION9004</vt:lpstr>
      <vt:lpstr>Ult_1001</vt:lpstr>
      <vt:lpstr>Ult_1002</vt:lpstr>
      <vt:lpstr>Ult_1003</vt:lpstr>
      <vt:lpstr>Ult_1004</vt:lpstr>
      <vt:lpstr>Ult_1005</vt:lpstr>
      <vt:lpstr>Ult_1006</vt:lpstr>
      <vt:lpstr>Ult_1007</vt:lpstr>
      <vt:lpstr>Ult_1008</vt:lpstr>
      <vt:lpstr>Ult_1009</vt:lpstr>
      <vt:lpstr>Ult_1010</vt:lpstr>
      <vt:lpstr>Ult_1011</vt:lpstr>
      <vt:lpstr>Ult_1012</vt:lpstr>
      <vt:lpstr>Ult_1013</vt:lpstr>
      <vt:lpstr>Ult_1014</vt:lpstr>
      <vt:lpstr>Ult_1015</vt:lpstr>
      <vt:lpstr>Ult_2001</vt:lpstr>
      <vt:lpstr>Ult_2002</vt:lpstr>
      <vt:lpstr>Ult_2003</vt:lpstr>
      <vt:lpstr>Ult_2004</vt:lpstr>
      <vt:lpstr>Ult_2005</vt:lpstr>
      <vt:lpstr>Ult_2006</vt:lpstr>
      <vt:lpstr>Ult_2007</vt:lpstr>
      <vt:lpstr>Ult_2008</vt:lpstr>
      <vt:lpstr>Ult_2009</vt:lpstr>
      <vt:lpstr>Ult_2010</vt:lpstr>
      <vt:lpstr>Ult_2011</vt:lpstr>
      <vt:lpstr>Ult_2012</vt:lpstr>
      <vt:lpstr>Ult_3001</vt:lpstr>
      <vt:lpstr>Ult_3002</vt:lpstr>
      <vt:lpstr>Ult_3003</vt:lpstr>
      <vt:lpstr>Ult_3004</vt:lpstr>
      <vt:lpstr>Ult_3005</vt:lpstr>
      <vt:lpstr>Ult_3006</vt:lpstr>
      <vt:lpstr>X_2</vt:lpstr>
      <vt:lpstr>X_5</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Declarando Renta 210 - Guillermo Trejo</dc:creator>
  <cp:keywords/>
  <dc:description/>
  <cp:lastModifiedBy>Vawins Gomez</cp:lastModifiedBy>
  <cp:lastPrinted>2025-03-17T22:02:28Z</cp:lastPrinted>
  <dcterms:created xsi:type="dcterms:W3CDTF">2026-01-20T23:31:29Z</dcterms:created>
  <dcterms:modified xsi:type="dcterms:W3CDTF">2026-01-21T01:04:08Z</dcterms:modified>
  <cp:category/>
</cp:coreProperties>
</file>